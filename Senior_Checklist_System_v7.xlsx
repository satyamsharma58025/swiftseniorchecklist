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 &amp; Settings" sheetId="1" state="visible" r:id="rId3"/>
    <sheet name="Employees" sheetId="2" state="visible" r:id="rId4"/>
    <sheet name="Task Master" sheetId="3" state="visible" r:id="rId5"/>
    <sheet name="Checklist Templates" sheetId="4" state="visible" r:id="rId6"/>
    <sheet name="Today's Assignment Queue" sheetId="5" state="visible" r:id="rId7"/>
    <sheet name="Daily Checklist" sheetId="6" state="visible" r:id="rId8"/>
    <sheet name="Employee Day-Wise Tracker" sheetId="7" state="visible" r:id="rId9"/>
    <sheet name="Form Responses" sheetId="8" state="visible" r:id="rId10"/>
    <sheet name="Escalation Log" sheetId="9" state="visible" r:id="rId11"/>
    <sheet name="Dashboard" sheetId="10" state="visible" r:id="rId12"/>
    <sheet name="Holiday Calendar" sheetId="11" state="visible" r:id="rId13"/>
    <sheet name="Task Pause Log" sheetId="12" state="visible" r:id="rId14"/>
    <sheet name="Reassignment History" sheetId="13" state="visible" r:id="rId15"/>
    <sheet name="Access Control Log" sheetId="14" state="visible" r:id="rId16"/>
    <sheet name="Employee Scorecard" sheetId="15" state="visible" r:id="rId17"/>
  </sheets>
  <definedNames>
    <definedName function="false" hidden="true" localSheetId="5" name="_xlnm._FilterDatabase" vbProcedure="false">'Daily Checklist'!$A$1:$T$1013</definedName>
    <definedName function="false" hidden="true" localSheetId="2" name="_xlnm._FilterDatabase" vbProcedure="false">'Task Master'!$A$1:$P$27</definedName>
    <definedName function="false" hidden="false" name="EmployeeList" vbProcedure="false">Employees!$A$2:$A$500</definedName>
    <definedName function="false" hidden="false" name="SupervisorList" vbProcedure="false">Employees!$D$2:$D$500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<sst xmlns="http://schemas.openxmlformats.org/spreadsheetml/2006/main" count="1635" uniqueCount="502">
  <si>
    <t xml:space="preserve">Senior Authority Daily Checklist &amp; Escalation System</t>
  </si>
  <si>
    <t xml:space="preserve">Independent workbook — separate from the existing Task Delegation system</t>
  </si>
  <si>
    <t xml:space="preserve">HOW THIS WORKBOOK WORKS</t>
  </si>
  <si>
    <t xml:space="preserve">1. Employees</t>
  </si>
  <si>
    <t xml:space="preserve">Master list of employees/supervisors — the ONLY place you add a new person.</t>
  </si>
  <si>
    <t xml:space="preserve">2. Task Master</t>
  </si>
  <si>
    <t xml:space="preserve">Recurring assignment definitions: Daily/Weekly/Monthly, mapped to Employee + Supervisor.</t>
  </si>
  <si>
    <t xml:space="preserve">3. Today's Assignment Queue</t>
  </si>
  <si>
    <t xml:space="preserve">Auto-generated draft of today's tasks per employee. MANAGER REVIEWS THIS FIRST — untick 'Include Today' to drop a task, or add an ad-hoc row for a one-off task, before it's locked and sent to the Senior Authority as the checklist form. This is how you change what's assigned on a given day.</t>
  </si>
  <si>
    <t xml:space="preserve">4. Daily Checklist</t>
  </si>
  <si>
    <t xml:space="preserve">The finalized, locked record of every task instance for the day, per employee, per task — one row each. Shows Status, Senior Remarks (from the form) AND Employee Response (their WhatsApp reply to a reminder) side by side, so the manager sees both sides in one place.</t>
  </si>
  <si>
    <t xml:space="preserve">5. Employee Day-Wise Tracker</t>
  </si>
  <si>
    <t xml:space="preserve">One row per employee, one column per day — shows completion as 'Done/Total' (e.g. 3/5) plus color, so a partially-completed day is visible at a glance, not just pass/fail.</t>
  </si>
  <si>
    <t xml:space="preserve">6. Form Responses</t>
  </si>
  <si>
    <t xml:space="preserve">Raw Google Form submissions from the Senior Authority land here.</t>
  </si>
  <si>
    <t xml:space="preserve">7. Escalation Log</t>
  </si>
  <si>
    <t xml:space="preserve">Every escalation to a Supervisor is recorded here for audit.</t>
  </si>
  <si>
    <t xml:space="preserve">8. Dashboard</t>
  </si>
  <si>
    <t xml:space="preserve">Live rollup with color-coded status counts for today.</t>
  </si>
  <si>
    <t xml:space="preserve">9. Holiday Calendar</t>
  </si>
  <si>
    <t xml:space="preserve">Company holidays that pause Daily-cadence expansion (Sundays are hardcoded separately).</t>
  </si>
  <si>
    <t xml:space="preserve">10. Task Pause Log</t>
  </si>
  <si>
    <t xml:space="preserve">Put a task on hold for a date range (employee leave, etc.) instead of un-ticking it in the Queue every day.</t>
  </si>
  <si>
    <t xml:space="preserve">11. Reassignment History</t>
  </si>
  <si>
    <t xml:space="preserve">Audit trail for moving a recurring task from one employee to another mid-cycle.</t>
  </si>
  <si>
    <t xml:space="preserve">12. Employee Scorecard</t>
  </si>
  <si>
    <t xml:space="preserve">7-day / 30-day completion % and escalation trend per employee, for spotting chronic under-performers at a glance.</t>
  </si>
  <si>
    <t xml:space="preserve">13. Access Control Log</t>
  </si>
  <si>
    <t xml:space="preserve">Lightweight record of who has what access, since Sheets' own sharing UI doesn't self-document.</t>
  </si>
  <si>
    <t xml:space="preserve">COLOR KEY FOR EDITABLE CELLS</t>
  </si>
  <si>
    <t xml:space="preserve">Yellow fill</t>
  </si>
  <si>
    <t xml:space="preserve">Direct manual input (Employees, Task Master)</t>
  </si>
  <si>
    <t xml:space="preserve">Blue fill</t>
  </si>
  <si>
    <t xml:space="preserve">Manager review/decision cells (Today's Assignment Queue) — this is your daily control point</t>
  </si>
  <si>
    <t xml:space="preserve">Setting</t>
  </si>
  <si>
    <t xml:space="preserve">Value</t>
  </si>
  <si>
    <t xml:space="preserve">ESCALATION_THRESHOLD_DEFAULT</t>
  </si>
  <si>
    <t xml:space="preserve">Reminders sent to employee before auto-escalating to supervisor</t>
  </si>
  <si>
    <t xml:space="preserve">REMINDER_INTERVAL_HOURS</t>
  </si>
  <si>
    <t xml:space="preserve">Hours between reminders to employee on a Not-Done task</t>
  </si>
  <si>
    <t xml:space="preserve">ASSIGNMENT_QUEUE_LOCK_TIME_IST</t>
  </si>
  <si>
    <t xml:space="preserve">08:30</t>
  </si>
  <si>
    <t xml:space="preserve">Time n8n locks the Queue and generates the Daily Checklist</t>
  </si>
  <si>
    <t xml:space="preserve">DAILY_FORM_SEND_TIME_IST</t>
  </si>
  <si>
    <t xml:space="preserve">09:00</t>
  </si>
  <si>
    <t xml:space="preserve">Time the checklist form link is sent to Senior Authority</t>
  </si>
  <si>
    <t xml:space="preserve">EOD_CUTOFF_TIME_IST</t>
  </si>
  <si>
    <t xml:space="preserve">19:00</t>
  </si>
  <si>
    <t xml:space="preserve">Time after which a Pending task is marked Not Done / Red</t>
  </si>
  <si>
    <t xml:space="preserve">TIMEZONE</t>
  </si>
  <si>
    <t xml:space="preserve">Asia/Kolkata</t>
  </si>
  <si>
    <t xml:space="preserve">All schedules run in this timezone</t>
  </si>
  <si>
    <t xml:space="preserve">WHATSAPP_PHONE_NUMBER_ID</t>
  </si>
  <si>
    <t xml:space="preserve">1158085794064004</t>
  </si>
  <si>
    <t xml:space="preserve">Same WABA number as existing system</t>
  </si>
  <si>
    <t xml:space="preserve">SENIOR_AUTHORITY_NAME</t>
  </si>
  <si>
    <t xml:space="preserve">Satyam Sharma</t>
  </si>
  <si>
    <t xml:space="preserve">Person who fills the daily checklist form</t>
  </si>
  <si>
    <t xml:space="preserve">SENIOR_AUTHORITY_PHONE</t>
  </si>
  <si>
    <t xml:space="preserve">919798637485</t>
  </si>
  <si>
    <t xml:space="preserve">Receives the daily form link</t>
  </si>
  <si>
    <t xml:space="preserve">REMINDER_INTERVAL_HOURS_HIGH</t>
  </si>
  <si>
    <t xml:space="preserve">Hours between reminders for High-priority tasks (faster cadence than standard)</t>
  </si>
  <si>
    <t xml:space="preserve">MAX_REMINDERS_PER_DAY_HIGH</t>
  </si>
  <si>
    <t xml:space="preserve">Cap on reminders/day for High-priority tasks; escalation should fire before this is hit</t>
  </si>
  <si>
    <t xml:space="preserve">ESCALATION_TIER_2_ENABLED</t>
  </si>
  <si>
    <t xml:space="preserve">N</t>
  </si>
  <si>
    <t xml:space="preserve">Y/N — governs whether Supervisor-&gt;Plant Head 2nd-tier escalation is active. N today (single-tier org).</t>
  </si>
  <si>
    <t xml:space="preserve">v5 DESIGN NOTES</t>
  </si>
  <si>
    <t xml:space="preserve">Priority (High/Medium/Low) added to Task Master — drives reminder interval and escalation speed (a floor, not a ceiling).</t>
  </si>
  <si>
    <t xml:space="preserve">New sheets: Holiday Calendar, Task Pause Log, Reassignment History, Employee Scorecard, Access Control Log.</t>
  </si>
  <si>
    <t xml:space="preserve">Assignment Queue is now a hard gate: Locked At is system-set at auto-lock (see n8n Trigger 1B) — do not hand-edit.</t>
  </si>
  <si>
    <t xml:space="preserve">T-Y-002 'Finalise &amp; File Balance Sheet' Schedule Detail is '20' with no month specified — FLAG: needs a real month from you before Yearly automation can handle it (kept as manual placeholder for now).</t>
  </si>
  <si>
    <t xml:space="preserve">v7 DESIGN NOTES</t>
  </si>
  <si>
    <t xml:space="preserve">Employee roster replaced with the 13-person staff list (Name/Department/Designation) supplied Sep 2026 — see Employees tab. Role/Category column renamed Designation; new Department column added (col I) so existing Task Master VLOOKUPs (cols B/D/E) were not disturbed.</t>
  </si>
  <si>
    <t xml:space="preserve">Employees whose names changed (Aparna -&gt; Aparna Kumari, Accounts Executive (TBD) -&gt; Rajeshwar Pandey) have had every existing Task Master row updated to the new name so VLOOKUPs keep resolving.</t>
  </si>
  <si>
    <t xml:space="preserve">New tab: Checklist Templates — predefined day-wise task lists per employee (from job descriptions / manager input). Review Cadence + Priority there, then copy finalised rows into Task Master.</t>
  </si>
  <si>
    <t xml:space="preserve">Yogesh Tomar (Plant Head) checklist (12 tasks, provided directly) has been added to Task Master as T-D-005 to T-D-016, Priority High, Escalation Threshold 1.</t>
  </si>
  <si>
    <t xml:space="preserve">Employees with no job description on file yet (flagged in Checklist Templates, greyed italics): Satish Bhumihar, Rajeshwar Pandey, Deb Kumar Nag, Om Kumar Choudhury, Ravi Anand, Shahin Sheikh — add their daily tasks manually.</t>
  </si>
  <si>
    <t xml:space="preserve">Phone numbers still TBD for: Yogesh Tomar, Satish Bhumihar, Rajeshwar Pandey, Deb Kumar Nag, Om Kumar Choudhury, Ravi Anand, Shahin Sheikh, Mobin Ansari, and the Plant Head Phone column for everyone — WhatsApp automation will silently no-op for these until filled in (see Apps Script SETUP_README).</t>
  </si>
  <si>
    <t xml:space="preserve">Employee Name</t>
  </si>
  <si>
    <t xml:space="preserve">Phone</t>
  </si>
  <si>
    <t xml:space="preserve">Designation</t>
  </si>
  <si>
    <t xml:space="preserve">Supervisor Name</t>
  </si>
  <si>
    <t xml:space="preserve">Supervisor Phone</t>
  </si>
  <si>
    <t xml:space="preserve">Active (Y/N)</t>
  </si>
  <si>
    <t xml:space="preserve">Plant Head Name</t>
  </si>
  <si>
    <t xml:space="preserve">Plant Head Phone</t>
  </si>
  <si>
    <t xml:space="preserve">Department</t>
  </si>
  <si>
    <t xml:space="preserve">Yogesh Tomar</t>
  </si>
  <si>
    <t xml:space="preserve">TBD - add phone number</t>
  </si>
  <si>
    <t xml:space="preserve">Plant Head</t>
  </si>
  <si>
    <t xml:space="preserve">Y</t>
  </si>
  <si>
    <t xml:space="preserve">Operation</t>
  </si>
  <si>
    <t xml:space="preserve">Santosh Guddu</t>
  </si>
  <si>
    <t xml:space="preserve">918250685227</t>
  </si>
  <si>
    <t xml:space="preserve">Operation Head</t>
  </si>
  <si>
    <t xml:space="preserve">Production</t>
  </si>
  <si>
    <t xml:space="preserve">Satish Bhumihar</t>
  </si>
  <si>
    <t xml:space="preserve">Incharge</t>
  </si>
  <si>
    <t xml:space="preserve">Sushmita Mukherjee</t>
  </si>
  <si>
    <t xml:space="preserve">917903066993</t>
  </si>
  <si>
    <t xml:space="preserve">EA to CEO</t>
  </si>
  <si>
    <t xml:space="preserve">Admin</t>
  </si>
  <si>
    <t xml:space="preserve">Rajeshwar Pandey</t>
  </si>
  <si>
    <t xml:space="preserve">Sr. Accountant</t>
  </si>
  <si>
    <t xml:space="preserve">Accounts</t>
  </si>
  <si>
    <t xml:space="preserve">Aparna Kumari</t>
  </si>
  <si>
    <t xml:space="preserve">918092902442</t>
  </si>
  <si>
    <t xml:space="preserve">Sr. Executive</t>
  </si>
  <si>
    <t xml:space="preserve">Import</t>
  </si>
  <si>
    <t xml:space="preserve">Deb Kumar Nag</t>
  </si>
  <si>
    <t xml:space="preserve">HOD</t>
  </si>
  <si>
    <t xml:space="preserve">Mech Maintenance</t>
  </si>
  <si>
    <t xml:space="preserve">Pratyush Nanda</t>
  </si>
  <si>
    <t xml:space="preserve">918093556090</t>
  </si>
  <si>
    <t xml:space="preserve">Elec Maintenance</t>
  </si>
  <si>
    <t xml:space="preserve">Om Kumar Choudhury</t>
  </si>
  <si>
    <t xml:space="preserve">Raw Material</t>
  </si>
  <si>
    <t xml:space="preserve">Chandan Kumar</t>
  </si>
  <si>
    <t xml:space="preserve">916205044831</t>
  </si>
  <si>
    <t xml:space="preserve">Store</t>
  </si>
  <si>
    <t xml:space="preserve">Ravi Anand</t>
  </si>
  <si>
    <t xml:space="preserve">Manager</t>
  </si>
  <si>
    <t xml:space="preserve">HR</t>
  </si>
  <si>
    <t xml:space="preserve">Shahin Sheikh</t>
  </si>
  <si>
    <t xml:space="preserve">Dispatch</t>
  </si>
  <si>
    <t xml:space="preserve">Mobin Ansari</t>
  </si>
  <si>
    <t xml:space="preserve">Task ID</t>
  </si>
  <si>
    <t xml:space="preserve">Employee Phone</t>
  </si>
  <si>
    <t xml:space="preserve">Task Description</t>
  </si>
  <si>
    <t xml:space="preserve">Cadence (Daily/Weekly/Monthly)</t>
  </si>
  <si>
    <t xml:space="preserve">Schedule Detail (Weekday / Day-of-Month)</t>
  </si>
  <si>
    <t xml:space="preserve">Start Date</t>
  </si>
  <si>
    <t xml:space="preserve">End Date</t>
  </si>
  <si>
    <t xml:space="preserve">Escalation Threshold</t>
  </si>
  <si>
    <t xml:space="preserve">Category</t>
  </si>
  <si>
    <t xml:space="preserve">Notes</t>
  </si>
  <si>
    <t xml:space="preserve">Priority (High/Medium/Low)</t>
  </si>
  <si>
    <t xml:space="preserve">Paused (Y/N — formula, do not hand-edit)</t>
  </si>
  <si>
    <t xml:space="preserve">T-D-001</t>
  </si>
  <si>
    <t xml:space="preserve">Submit daily scrap procurement figures</t>
  </si>
  <si>
    <t xml:space="preserve">Daily</t>
  </si>
  <si>
    <t xml:space="preserve">Every day</t>
  </si>
  <si>
    <t xml:space="preserve">2026-09-01</t>
  </si>
  <si>
    <t xml:space="preserve">2026-12-31</t>
  </si>
  <si>
    <t xml:space="preserve">Procurement</t>
  </si>
  <si>
    <t xml:space="preserve">Low</t>
  </si>
  <si>
    <t xml:space="preserve">T-D-002</t>
  </si>
  <si>
    <t xml:space="preserve">Update daily inbound scrap weighbridge log</t>
  </si>
  <si>
    <t xml:space="preserve">T-W-001</t>
  </si>
  <si>
    <t xml:space="preserve">Submit weekly stock reconciliation report</t>
  </si>
  <si>
    <t xml:space="preserve">Weekly</t>
  </si>
  <si>
    <t xml:space="preserve">Monday</t>
  </si>
  <si>
    <t xml:space="preserve">Operations</t>
  </si>
  <si>
    <t xml:space="preserve">Medium</t>
  </si>
  <si>
    <t xml:space="preserve">T-W-002</t>
  </si>
  <si>
    <t xml:space="preserve">Machine downtime log review</t>
  </si>
  <si>
    <t xml:space="preserve">Friday</t>
  </si>
  <si>
    <t xml:space="preserve">T-M-001</t>
  </si>
  <si>
    <t xml:space="preserve">Submit monthly quality audit summary</t>
  </si>
  <si>
    <t xml:space="preserve">Monthly</t>
  </si>
  <si>
    <t xml:space="preserve">1</t>
  </si>
  <si>
    <t xml:space="preserve">Quality</t>
  </si>
  <si>
    <t xml:space="preserve">T-D-003</t>
  </si>
  <si>
    <t xml:space="preserve">Prepare &amp; post Daily Production report in group</t>
  </si>
  <si>
    <t xml:space="preserve">Reporting</t>
  </si>
  <si>
    <t xml:space="preserve">From JD item 1</t>
  </si>
  <si>
    <t xml:space="preserve">T-W-003</t>
  </si>
  <si>
    <t xml:space="preserve">Weekly report collection &amp; reconciliation (Production &amp; RM)</t>
  </si>
  <si>
    <t xml:space="preserve">Saturday</t>
  </si>
  <si>
    <t xml:space="preserve">From JD item 8</t>
  </si>
  <si>
    <t xml:space="preserve">T-M-002</t>
  </si>
  <si>
    <t xml:space="preserve">Prepare monthwise dispatch details &amp; schedule vs dispatch data</t>
  </si>
  <si>
    <t xml:space="preserve">28</t>
  </si>
  <si>
    <t xml:space="preserve">From JD items 4-5</t>
  </si>
  <si>
    <t xml:space="preserve">T-W-004</t>
  </si>
  <si>
    <t xml:space="preserve">Update Weekly Tracking Sheet</t>
  </si>
  <si>
    <t xml:space="preserve">Import/Logistics</t>
  </si>
  <si>
    <t xml:space="preserve">T-M-003</t>
  </si>
  <si>
    <t xml:space="preserve">Monthly overall data &amp; NSO data compilation</t>
  </si>
  <si>
    <t xml:space="preserve">25</t>
  </si>
  <si>
    <t xml:space="preserve">From JD items 5,7</t>
  </si>
  <si>
    <t xml:space="preserve">T-M-004</t>
  </si>
  <si>
    <t xml:space="preserve">Marine Insurance monthly check</t>
  </si>
  <si>
    <t xml:space="preserve">20</t>
  </si>
  <si>
    <t xml:space="preserve">From JD item 11</t>
  </si>
  <si>
    <t xml:space="preserve">T-D-004</t>
  </si>
  <si>
    <t xml:space="preserve">Electricity reading collection (JUSCO/JBVNL/Warehouse)</t>
  </si>
  <si>
    <t xml:space="preserve">Maintenance</t>
  </si>
  <si>
    <t xml:space="preserve">T-M-005</t>
  </si>
  <si>
    <t xml:space="preserve">TDS/TCS Payment</t>
  </si>
  <si>
    <t xml:space="preserve">7</t>
  </si>
  <si>
    <t xml:space="preserve">Accounts/Statutory</t>
  </si>
  <si>
    <t xml:space="preserve">From Accounts Checklist</t>
  </si>
  <si>
    <t xml:space="preserve">High</t>
  </si>
  <si>
    <t xml:space="preserve">T-M-006</t>
  </si>
  <si>
    <t xml:space="preserve">GST Form 3B Filing</t>
  </si>
  <si>
    <t xml:space="preserve">T-M-007</t>
  </si>
  <si>
    <t xml:space="preserve">GSTR-1 Outward Supply Filing</t>
  </si>
  <si>
    <t xml:space="preserve">10</t>
  </si>
  <si>
    <t xml:space="preserve">T-M-008</t>
  </si>
  <si>
    <t xml:space="preserve">ESI Payment</t>
  </si>
  <si>
    <t xml:space="preserve">15</t>
  </si>
  <si>
    <t xml:space="preserve">T-M-009</t>
  </si>
  <si>
    <t xml:space="preserve">Monthly PF Return</t>
  </si>
  <si>
    <t xml:space="preserve">T-M-010</t>
  </si>
  <si>
    <t xml:space="preserve">Bill Payments</t>
  </si>
  <si>
    <t xml:space="preserve">T-M-011</t>
  </si>
  <si>
    <t xml:space="preserve">Bank Reconciliation - Bank 1 &amp; 2</t>
  </si>
  <si>
    <t xml:space="preserve">5</t>
  </si>
  <si>
    <t xml:space="preserve">T-M-012</t>
  </si>
  <si>
    <t xml:space="preserve">Finalise Trial Balance</t>
  </si>
  <si>
    <t xml:space="preserve">T-Q-001</t>
  </si>
  <si>
    <t xml:space="preserve">Advance Tax Payment</t>
  </si>
  <si>
    <t xml:space="preserve">Quarterly</t>
  </si>
  <si>
    <t xml:space="preserve">T-Q-002</t>
  </si>
  <si>
    <t xml:space="preserve">TDS Quarterly Return (collect docs)</t>
  </si>
  <si>
    <t xml:space="preserve">T-Q-003</t>
  </si>
  <si>
    <t xml:space="preserve">Issue &amp; Collect TDS Certificate</t>
  </si>
  <si>
    <t xml:space="preserve">T-Y-001</t>
  </si>
  <si>
    <t xml:space="preserve">Income Tax Return Filing</t>
  </si>
  <si>
    <t xml:space="preserve">Yearly</t>
  </si>
  <si>
    <t xml:space="preserve">31-Jul / 30-Sep</t>
  </si>
  <si>
    <t xml:space="preserve">From Accounts Checklist - two due dates, add as 2 rows if needed</t>
  </si>
  <si>
    <t xml:space="preserve">T-Y-002</t>
  </si>
  <si>
    <t xml:space="preserve">Finalise &amp; File Balance Sheet</t>
  </si>
  <si>
    <t xml:space="preserve">T-Y-003</t>
  </si>
  <si>
    <t xml:space="preserve">GSTR-9 Annual Return</t>
  </si>
  <si>
    <t xml:space="preserve">31</t>
  </si>
  <si>
    <t xml:space="preserve">T-D-005</t>
  </si>
  <si>
    <t xml:space="preserve">Daily recovery monitoring</t>
  </si>
  <si>
    <t xml:space="preserve">Operations - Plant Oversight</t>
  </si>
  <si>
    <t xml:space="preserve">From Yogesh ji Checklist (Sep 2026)</t>
  </si>
  <si>
    <t xml:space="preserve">T-D-006</t>
  </si>
  <si>
    <t xml:space="preserve">Daily batch monitoring</t>
  </si>
  <si>
    <t xml:space="preserve">T-D-007</t>
  </si>
  <si>
    <t xml:space="preserve">Daily input output difference monitoring</t>
  </si>
  <si>
    <t xml:space="preserve">T-D-008</t>
  </si>
  <si>
    <t xml:space="preserve">Daily machine status monitoring</t>
  </si>
  <si>
    <t xml:space="preserve">T-D-009</t>
  </si>
  <si>
    <t xml:space="preserve">Daily department wise manpower monitoring</t>
  </si>
  <si>
    <t xml:space="preserve">T-D-010</t>
  </si>
  <si>
    <t xml:space="preserve">Raw material management and planning</t>
  </si>
  <si>
    <t xml:space="preserve">T-D-011</t>
  </si>
  <si>
    <t xml:space="preserve">Container incoming schedule monitoring</t>
  </si>
  <si>
    <t xml:space="preserve">T-D-012</t>
  </si>
  <si>
    <t xml:space="preserve">Material dispatch schedule monitoring (decide product to produce)</t>
  </si>
  <si>
    <t xml:space="preserve">T-D-013</t>
  </si>
  <si>
    <t xml:space="preserve">Consumable stock monitoring</t>
  </si>
  <si>
    <t xml:space="preserve">T-D-014</t>
  </si>
  <si>
    <t xml:space="preserve">Any project related work planning</t>
  </si>
  <si>
    <t xml:space="preserve">Projects</t>
  </si>
  <si>
    <t xml:space="preserve">T-D-015</t>
  </si>
  <si>
    <t xml:space="preserve">HR related requirements and comment sheets</t>
  </si>
  <si>
    <t xml:space="preserve">T-D-016</t>
  </si>
  <si>
    <t xml:space="preserve">Delegation tasks from CEO</t>
  </si>
  <si>
    <t xml:space="preserve">Management</t>
  </si>
  <si>
    <t xml:space="preserve">Checklist Templates — predefined task lists per employee, pulled from job descriptions / manager input. Review, set final Cadence &amp; Priority, then copy the row(s) you want into Task Master (do not paste formulas — Task Master's Employee Phone / Supervisor columns auto-fill via VLOOKUP once the Employee Name matches a row in Employees).</t>
  </si>
  <si>
    <t xml:space="preserve">Suggested Task Description</t>
  </si>
  <si>
    <t xml:space="preserve">Suggested Cadence</t>
  </si>
  <si>
    <t xml:space="preserve">Source</t>
  </si>
  <si>
    <t xml:space="preserve">Copied to Task Master (Y/N)</t>
  </si>
  <si>
    <t xml:space="preserve">Yogesh ji Checklist (provided Sep 2026)</t>
  </si>
  <si>
    <t xml:space="preserve">Container driver follow up &amp; unloading</t>
  </si>
  <si>
    <t xml:space="preserve">As Needed</t>
  </si>
  <si>
    <t xml:space="preserve">Job Description sheet (Job_Description_staff.xls)</t>
  </si>
  <si>
    <t xml:space="preserve">Raw material process planning</t>
  </si>
  <si>
    <t xml:space="preserve">Raw material manpower arrangement</t>
  </si>
  <si>
    <t xml:space="preserve">Production (operator/contractor/helper/scaleman/supervisor) handling &amp; payment</t>
  </si>
  <si>
    <t xml:space="preserve">Dispatch Planning (Packing/Manpower arrangement/vehicle arrangement)</t>
  </si>
  <si>
    <t xml:space="preserve">Transporter incoming management</t>
  </si>
  <si>
    <t xml:space="preserve">Transporter outward management</t>
  </si>
  <si>
    <t xml:space="preserve">Dross management</t>
  </si>
  <si>
    <t xml:space="preserve">Pulverizer management</t>
  </si>
  <si>
    <t xml:space="preserve">Batch Plan Maintain</t>
  </si>
  <si>
    <t xml:space="preserve">Recovery Management</t>
  </si>
  <si>
    <t xml:space="preserve">Furnace operator management</t>
  </si>
  <si>
    <t xml:space="preserve">Stock Maintaining of Store &amp; Purchase</t>
  </si>
  <si>
    <t xml:space="preserve">All procurement</t>
  </si>
  <si>
    <t xml:space="preserve">Lookafter Maintenance &amp; Service of JCB &amp; Forklift</t>
  </si>
  <si>
    <t xml:space="preserve">Maintains all machines, motors, gearbox, AC etc. and arranges for their repair and servicing</t>
  </si>
  <si>
    <t xml:space="preserve">Checking &amp; approving all incoming materials</t>
  </si>
  <si>
    <t xml:space="preserve">Keeping records of JCB &amp; Forklift running hours</t>
  </si>
  <si>
    <t xml:space="preserve">Preparation of Daily Production report and post the reports in the group</t>
  </si>
  <si>
    <t xml:space="preserve">Preparing Purchase Indent, arranging approval, forwarded to intender &amp; store incharge for procurement</t>
  </si>
  <si>
    <t xml:space="preserve">On receipt of materials checked &amp; verified them for payment process</t>
  </si>
  <si>
    <t xml:space="preserve">Preparing dispatch details monthwise</t>
  </si>
  <si>
    <t xml:space="preserve">Maintaining Schedule Vs Dispatch data monthwise for planning</t>
  </si>
  <si>
    <t xml:space="preserve">Working on Delegation sheet (assigning work, follow up and reporting to CEO)</t>
  </si>
  <si>
    <t xml:space="preserve">Maintaining records of production data furnace wise, item wise on google sheet and reporting to Plant head Target Vs Actual daily</t>
  </si>
  <si>
    <t xml:space="preserve">Weekly report collection. Reconciliation of Production &amp; RM weekly report</t>
  </si>
  <si>
    <t xml:space="preserve">Weekly reports on Security (24x7), attendance &amp; bill checking</t>
  </si>
  <si>
    <t xml:space="preserve">Organizing Daily Morning Meeting, preparing MOM &amp; posting in the group</t>
  </si>
  <si>
    <t xml:space="preserve">Preparing attendance &amp; salary of contractor workmen (Packing, Belt &amp; Company Casual)</t>
  </si>
  <si>
    <t xml:space="preserve">Conducting interviews, preparing offer letter and following up with candidate till their joining</t>
  </si>
  <si>
    <t xml:space="preserve">Taking care of post joining formalities (Documents collection, Induction etc)</t>
  </si>
  <si>
    <t xml:space="preserve">Misc Works (HR, Welfare, Imports, various reports &amp; letters)</t>
  </si>
  <si>
    <t xml:space="preserve">Weekly Tracking Sheet</t>
  </si>
  <si>
    <t xml:space="preserve">Import Advance &amp; final payment sheet</t>
  </si>
  <si>
    <t xml:space="preserve">All BOE given to bank for mapping IDPMS site</t>
  </si>
  <si>
    <t xml:space="preserve">Custom duty payment details</t>
  </si>
  <si>
    <t xml:space="preserve">Monthly NSO data</t>
  </si>
  <si>
    <t xml:space="preserve">Write of cases</t>
  </si>
  <si>
    <t xml:space="preserve">Monthly overall data</t>
  </si>
  <si>
    <t xml:space="preserve">Shipping line follow up</t>
  </si>
  <si>
    <t xml:space="preserve">Transporter follow up</t>
  </si>
  <si>
    <t xml:space="preserve">Training provision (Ipsita &amp; Dev Kumar Mukherjee)</t>
  </si>
  <si>
    <t xml:space="preserve">Marine Insurance (Monthly)</t>
  </si>
  <si>
    <t xml:space="preserve">Documents verification</t>
  </si>
  <si>
    <t xml:space="preserve">Electricity reading collection and record maintain (JUSCO, JBVNL, JBVNL-Warehouse)</t>
  </si>
  <si>
    <t xml:space="preserve">New Machine Installation</t>
  </si>
  <si>
    <t xml:space="preserve">Breakdown attend &amp; machine repair</t>
  </si>
  <si>
    <t xml:space="preserve">Motor testing repairing</t>
  </si>
  <si>
    <t xml:space="preserve">Switch Gear maintenance</t>
  </si>
  <si>
    <t xml:space="preserve">Panel cleaning &amp; repairing</t>
  </si>
  <si>
    <t xml:space="preserve">VFD programming, Installation</t>
  </si>
  <si>
    <t xml:space="preserve">Furnace Installation and maintenance</t>
  </si>
  <si>
    <t xml:space="preserve">DG maintenance</t>
  </si>
  <si>
    <t xml:space="preserve">33KV sub station switch yard, switch gear observation &amp; maintenance</t>
  </si>
  <si>
    <t xml:space="preserve">Industrial fan repairing</t>
  </si>
  <si>
    <t xml:space="preserve">Stirrer repair and maintenance</t>
  </si>
  <si>
    <t xml:space="preserve">Manage 3 source power supply for uninterrupted power supply</t>
  </si>
  <si>
    <t xml:space="preserve">Shredder machine maintenance</t>
  </si>
  <si>
    <t xml:space="preserve">HT power monitoring for over voltage, low voltage, phase failure</t>
  </si>
  <si>
    <t xml:space="preserve">Electrical component repair/re-use (contactor, Relay, MCBs)</t>
  </si>
  <si>
    <t xml:space="preserve">Computer Installation, minor Internet issue</t>
  </si>
  <si>
    <t xml:space="preserve">Power factor maintain (JBVNL &amp; JUSCO)</t>
  </si>
  <si>
    <t xml:space="preserve">Transformer OTI, WTI, Oil level monitoring</t>
  </si>
  <si>
    <t xml:space="preserve">Dispatch Manpower handling</t>
  </si>
  <si>
    <t xml:space="preserve">Sampling of material</t>
  </si>
  <si>
    <t xml:space="preserve">Monitoring and manage shift schedule</t>
  </si>
  <si>
    <t xml:space="preserve">Shifting of manpower to other department and maintaining their records</t>
  </si>
  <si>
    <t xml:space="preserve">Preparing attendance sheet of packing manpower</t>
  </si>
  <si>
    <t xml:space="preserve">Following dispatch plan and sharing dispatch details in groups</t>
  </si>
  <si>
    <t xml:space="preserve">Perform calibration of weighing machine; coordinate with technician if problem persists</t>
  </si>
  <si>
    <t xml:space="preserve">Co-ordinating with JCB drivers for loading to meet the dispatch plan</t>
  </si>
  <si>
    <t xml:space="preserve">Co-ordinating with JCB drivers &amp; production supervisors for storing of materials at proper place</t>
  </si>
  <si>
    <t xml:space="preserve">Collection of documents from driver and co-ordinating for payment during weighment of vehicle</t>
  </si>
  <si>
    <t xml:space="preserve">After loading is complete, vehicle taken for external weighing / Tata Steel as required</t>
  </si>
  <si>
    <t xml:space="preserve">Prepare packing list and test certificate as required</t>
  </si>
  <si>
    <t xml:space="preserve">Attends meetings as and when required</t>
  </si>
  <si>
    <t xml:space="preserve">File dispatch documents for records</t>
  </si>
  <si>
    <t xml:space="preserve">Properly transfer and takeover shifts</t>
  </si>
  <si>
    <t xml:space="preserve">TBD - no job description on file yet. Add this employee's daily/weekly/monthly tasks here.</t>
  </si>
  <si>
    <t xml:space="preserve">Manager to fill</t>
  </si>
  <si>
    <t xml:space="preserve">Today's Assignment Queue — Review &amp; Adjust Before Sending</t>
  </si>
  <si>
    <t xml:space="preserve">n8n drops today's auto-generated tasks here every morning. Untick 'Include Today' to drop one. Add a new row manually (Source=Manual) for an ad-hoc task. Nothing reaches the Senior Authority's form until this queue is Locked.</t>
  </si>
  <si>
    <t xml:space="preserve">Priority (auto-VLOOKUP)</t>
  </si>
  <si>
    <t xml:space="preserve">Locked At (system-set)</t>
  </si>
  <si>
    <t xml:space="preserve">Queue ID</t>
  </si>
  <si>
    <t xml:space="preserve">Source (Auto/Manual)</t>
  </si>
  <si>
    <t xml:space="preserve">Task ID (if from Task Master)</t>
  </si>
  <si>
    <t xml:space="preserve">Include Today (Y/N)</t>
  </si>
  <si>
    <t xml:space="preserve">Locked (Y/N)</t>
  </si>
  <si>
    <t xml:space="preserve">Q-DEMO-001</t>
  </si>
  <si>
    <t xml:space="preserve">Auto</t>
  </si>
  <si>
    <t xml:space="preserve">Q-DEMO-002</t>
  </si>
  <si>
    <t xml:space="preserve">Q-DEMO-003</t>
  </si>
  <si>
    <t xml:space="preserve">One-off: verify vendor invoice #4521</t>
  </si>
  <si>
    <t xml:space="preserve">Checklist ID</t>
  </si>
  <si>
    <t xml:space="preserve">Date</t>
  </si>
  <si>
    <t xml:space="preserve">Status</t>
  </si>
  <si>
    <t xml:space="preserve">Senior Remarks (from Form)</t>
  </si>
  <si>
    <t xml:space="preserve">Employee Response (via WhatsApp)</t>
  </si>
  <si>
    <t xml:space="preserve">Employee Response At</t>
  </si>
  <si>
    <t xml:space="preserve">Reminder Count</t>
  </si>
  <si>
    <t xml:space="preserve">Last Reminded</t>
  </si>
  <si>
    <t xml:space="preserve">Escalated (Y/N)</t>
  </si>
  <si>
    <t xml:space="preserve">Escalated At</t>
  </si>
  <si>
    <t xml:space="preserve">Color Status</t>
  </si>
  <si>
    <t xml:space="preserve">Delivery Status (Sent/Delivered/Failed/Pending)</t>
  </si>
  <si>
    <t xml:space="preserve">Needs Manual Reconciliation (Y/N)</t>
  </si>
  <si>
    <t xml:space="preserve">Escalation Tier (1/2)</t>
  </si>
  <si>
    <t xml:space="preserve">Form Submission Timestamp</t>
  </si>
  <si>
    <t xml:space="preserve">CL-20260901-001</t>
  </si>
  <si>
    <t xml:space="preserve">Done</t>
  </si>
  <si>
    <t xml:space="preserve">0</t>
  </si>
  <si>
    <t xml:space="preserve">Delivered</t>
  </si>
  <si>
    <t xml:space="preserve">CL-20260901-002</t>
  </si>
  <si>
    <t xml:space="preserve">CL-20260901-003</t>
  </si>
  <si>
    <t xml:space="preserve">Not Done</t>
  </si>
  <si>
    <t xml:space="preserve">Pending clarification from HR</t>
  </si>
  <si>
    <t xml:space="preserve">Waiting on HR to confirm scope, will finish by EOD</t>
  </si>
  <si>
    <t xml:space="preserve">2026-09-01 16:10</t>
  </si>
  <si>
    <t xml:space="preserve">3</t>
  </si>
  <si>
    <t xml:space="preserve">2026-09-01 15:00</t>
  </si>
  <si>
    <t xml:space="preserve">2026-09-01 17:00</t>
  </si>
  <si>
    <t xml:space="preserve">CL-20260902-004</t>
  </si>
  <si>
    <t xml:space="preserve">2026-09-02</t>
  </si>
  <si>
    <t xml:space="preserve">CL-20260902-005</t>
  </si>
  <si>
    <t xml:space="preserve">Missed - no remarks yet</t>
  </si>
  <si>
    <t xml:space="preserve">CL-20260903-006</t>
  </si>
  <si>
    <t xml:space="preserve">2026-09-03</t>
  </si>
  <si>
    <t xml:space="preserve">CL-20260903-007</t>
  </si>
  <si>
    <t xml:space="preserve">CL-20260904-008</t>
  </si>
  <si>
    <t xml:space="preserve">2026-09-04</t>
  </si>
  <si>
    <t xml:space="preserve">Delayed - system down</t>
  </si>
  <si>
    <t xml:space="preserve">Sorry, weighbridge system was down till 2pm, updated manually now</t>
  </si>
  <si>
    <t xml:space="preserve">2026-09-04 14:20</t>
  </si>
  <si>
    <t xml:space="preserve">2026-09-04 13:00</t>
  </si>
  <si>
    <t xml:space="preserve">CL-20260904-009</t>
  </si>
  <si>
    <t xml:space="preserve">CL-20260904-010</t>
  </si>
  <si>
    <t xml:space="preserve">CL-20260905-011</t>
  </si>
  <si>
    <t xml:space="preserve">2026-09-05</t>
  </si>
  <si>
    <t xml:space="preserve">CL-20260905-012</t>
  </si>
  <si>
    <t xml:space="preserve">Employee Day-Wise Submission Tracker</t>
  </si>
  <si>
    <t xml:space="preserve">Each cell = Done/Total tasks that day for that employee, color-coded. A partially completed day (e.g. 3/5) is shown exactly as that, not collapsed into pass/fail.</t>
  </si>
  <si>
    <t xml:space="preserve">Month Start Date (edit this):</t>
  </si>
  <si>
    <t xml:space="preserve">Legend:</t>
  </si>
  <si>
    <t xml:space="preserve">5/5</t>
  </si>
  <si>
    <t xml:space="preserve">All tasks done</t>
  </si>
  <si>
    <t xml:space="preserve">3/5</t>
  </si>
  <si>
    <t xml:space="preserve">Partially done — some pending/not done</t>
  </si>
  <si>
    <t xml:space="preserve">0/5</t>
  </si>
  <si>
    <t xml:space="preserve">Nothing done that day</t>
  </si>
  <si>
    <t xml:space="preserve">3/5 ESC</t>
  </si>
  <si>
    <t xml:space="preserve">Escalated to supervisor</t>
  </si>
  <si>
    <t xml:space="preserve">-</t>
  </si>
  <si>
    <t xml:space="preserve">No task assigned that day</t>
  </si>
  <si>
    <t xml:space="preserve">Timestamp</t>
  </si>
  <si>
    <t xml:space="preserve">Senior Authority Name</t>
  </si>
  <si>
    <t xml:space="preserve">Checklist IDs Marked Done (raw)</t>
  </si>
  <si>
    <t xml:space="preserve">Remarks for Not Done Tasks (raw)</t>
  </si>
  <si>
    <t xml:space="preserve">Processed (Y/N)</t>
  </si>
  <si>
    <t xml:space="preserve">Is Correction (Y/N — system-set)</t>
  </si>
  <si>
    <t xml:space="preserve">Escalation ID</t>
  </si>
  <si>
    <t xml:space="preserve">Supervisor Notified</t>
  </si>
  <si>
    <t xml:space="preserve">Reminder Count At Escalation</t>
  </si>
  <si>
    <t xml:space="preserve">Resolved (Y/N)</t>
  </si>
  <si>
    <t xml:space="preserve">Resolved At</t>
  </si>
  <si>
    <t xml:space="preserve">Escalation Tier (1=Supervisor, 2=Plant Head)</t>
  </si>
  <si>
    <t xml:space="preserve">ESC-CL-20260901-005-DEMO</t>
  </si>
  <si>
    <t xml:space="preserve">CL-20260901-005</t>
  </si>
  <si>
    <t xml:space="preserve">Live Checklist Dashboard</t>
  </si>
  <si>
    <t xml:space="preserve">Today's Date</t>
  </si>
  <si>
    <t xml:space="preserve">Color Legend</t>
  </si>
  <si>
    <t xml:space="preserve">Total Tasks Today</t>
  </si>
  <si>
    <t xml:space="preserve">Green</t>
  </si>
  <si>
    <t xml:space="preserve">Yellow</t>
  </si>
  <si>
    <t xml:space="preserve">Pending, no reminder yet</t>
  </si>
  <si>
    <t xml:space="preserve">Pending (no reminder yet)</t>
  </si>
  <si>
    <t xml:space="preserve">Orange</t>
  </si>
  <si>
    <t xml:space="preserve">Pending, reminder sent</t>
  </si>
  <si>
    <t xml:space="preserve">Pending (reminded)</t>
  </si>
  <si>
    <t xml:space="preserve">Red</t>
  </si>
  <si>
    <t xml:space="preserve">Not Done / Overdue</t>
  </si>
  <si>
    <t xml:space="preserve">Grey</t>
  </si>
  <si>
    <t xml:space="preserve">Escalated to Supervisor</t>
  </si>
  <si>
    <t xml:space="preserve">Completion Rate</t>
  </si>
  <si>
    <t xml:space="preserve">By Priority (Today)</t>
  </si>
  <si>
    <t xml:space="preserve">High-Priority Not Done</t>
  </si>
  <si>
    <t xml:space="preserve">High-Priority Escalated</t>
  </si>
  <si>
    <t xml:space="preserve">See also</t>
  </si>
  <si>
    <t xml:space="preserve">Employee Scorecard tab -&gt; 7d/30d completion trend, chronic under-performer flags</t>
  </si>
  <si>
    <t xml:space="preserve">Daily-cadence expansion checks this sheet (plus a hardcoded Sunday weekly-off) before drafting a task for a given date. Add company-specific holidays here.</t>
  </si>
  <si>
    <t xml:space="preserve">Holiday ID</t>
  </si>
  <si>
    <t xml:space="preserve">Holiday Name</t>
  </si>
  <si>
    <t xml:space="preserve">Applies To [All / Employee Name]</t>
  </si>
  <si>
    <t xml:space="preserve">HOL-0001</t>
  </si>
  <si>
    <t xml:space="preserve">2026-10-02</t>
  </si>
  <si>
    <t xml:space="preserve">Gandhi Jayanti</t>
  </si>
  <si>
    <t xml:space="preserve">All</t>
  </si>
  <si>
    <t xml:space="preserve">National holiday — Daily-cadence tasks skip this date</t>
  </si>
  <si>
    <t xml:space="preserve">Cleaner alternative to un-ticking a task in the Queue every single day. Cadence-expansion code checks this before including a Task Master row for a given date. Auditable: who paused it, why, for what range.</t>
  </si>
  <si>
    <t xml:space="preserve">Pause ID</t>
  </si>
  <si>
    <t xml:space="preserve">Pause Start Date</t>
  </si>
  <si>
    <t xml:space="preserve">Pause End Date</t>
  </si>
  <si>
    <t xml:space="preserve">Reason</t>
  </si>
  <si>
    <t xml:space="preserve">Paused By</t>
  </si>
  <si>
    <t xml:space="preserve">Logged At</t>
  </si>
  <si>
    <t xml:space="preserve">Active (Y/N — auto)</t>
  </si>
  <si>
    <t xml:space="preserve">PAU-0001</t>
  </si>
  <si>
    <t xml:space="preserve">2026-09-10</t>
  </si>
  <si>
    <t xml:space="preserve">2026-09-14</t>
  </si>
  <si>
    <t xml:space="preserve">Employee on approved leave</t>
  </si>
  <si>
    <t xml:space="preserve">2026-09-08 10:00</t>
  </si>
  <si>
    <t xml:space="preserve">Task Master's Employee Name is never edited directly for a reassignment — use the manager's Reassign Task flow, which writes an audit row here and then updates Task Master, so every ownership change has a record of who held it before, when, and why.</t>
  </si>
  <si>
    <t xml:space="preserve">Reassignment ID</t>
  </si>
  <si>
    <t xml:space="preserve">Previous Employee</t>
  </si>
  <si>
    <t xml:space="preserve">New Employee</t>
  </si>
  <si>
    <t xml:space="preserve">Effective Date</t>
  </si>
  <si>
    <t xml:space="preserve">Reassigned By</t>
  </si>
  <si>
    <t xml:space="preserve">Google Sheets' native Viewer/Commenter/Editor is not sufficient alone for this workbook — see README §7 Access Control Model. This log is a lightweight record of who has what, since Sheets' sharing UI doesn't self-document.</t>
  </si>
  <si>
    <t xml:space="preserve">Person Name</t>
  </si>
  <si>
    <t xml:space="preserve">Role</t>
  </si>
  <si>
    <t xml:space="preserve">Sheet-Level Access</t>
  </si>
  <si>
    <t xml:space="preserve">Tab-Level Exceptions</t>
  </si>
  <si>
    <t xml:space="preserve">Granted By</t>
  </si>
  <si>
    <t xml:space="preserve">Granted Date</t>
  </si>
  <si>
    <t xml:space="preserve">Assigning Manager</t>
  </si>
  <si>
    <t xml:space="preserve">Editor (Task Master, Queue, Daily Checklist)</t>
  </si>
  <si>
    <t xml:space="preserve">None</t>
  </si>
  <si>
    <t xml:space="preserve">Senior Authority</t>
  </si>
  <si>
    <t xml:space="preserve">Form only — no sheet access</t>
  </si>
  <si>
    <t xml:space="preserve">N/A</t>
  </si>
  <si>
    <t xml:space="preserve">Employee Scorecard — 7-day / 30-day completion trend, for spotting chronic under-performers</t>
  </si>
  <si>
    <t xml:space="preserve">7-Day Completion %</t>
  </si>
  <si>
    <t xml:space="preserve">30-Day Completion %</t>
  </si>
  <si>
    <t xml:space="preserve">Total Escalations (30d)</t>
  </si>
  <si>
    <t xml:space="preserve">Trend (vs prior week)</t>
  </si>
  <si>
    <t xml:space="preserve">Flag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</si>
</sst>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DEBC8"/>
      </patternFill>
    </fill>
    <fill>
      <patternFill patternType="solid">
        <fgColor rgb="FFFFFF99"/>
        <bgColor rgb="FFFFF9C4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C6EFCE"/>
        <bgColor rgb="FFD9EAD3"/>
      </patternFill>
    </fill>
    <fill>
      <patternFill patternType="solid">
        <fgColor rgb="FFFFCC80"/>
        <bgColor rgb="FFF8CBCB"/>
      </patternFill>
    </fill>
    <fill>
      <patternFill patternType="solid">
        <fgColor rgb="FFFFC7CE"/>
        <bgColor rgb="FFF8CBCB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FDEB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FDEBC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CB"/>
        </patternFill>
      </fill>
    </dxf>
    <dxf>
      <fill>
        <patternFill>
          <bgColor rgb="FFFDEBC8"/>
        </patternFill>
      </fill>
    </dxf>
    <dxf>
      <fill>
        <patternFill>
          <bgColor rgb="FFD9EAD3"/>
        </patternFill>
      </fill>
    </dxf>
    <dxf>
      <font>
        <color rgb="FF999999"/>
      </font>
      <fill>
        <patternFill>
          <bgColor rgb="FFEFEFEF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C80"/>
        </patternFill>
      </fill>
    </dxf>
    <dxf>
      <fill>
        <patternFill>
          <bgColor rgb="FFFFEB9C"/>
        </patternFill>
      </fill>
    </dxf>
    <dxf>
      <fill>
        <patternFill>
          <bgColor rgb="FFE2F0D9"/>
        </patternFill>
      </fill>
    </dxf>
    <dxf>
      <fill>
        <patternFill>
          <bgColor rgb="FFFFF9C4"/>
        </patternFill>
      </fill>
    </dxf>
    <dxf>
      <font>
        <b val="1"/>
        <color rgb="FFC00000"/>
      </font>
    </dxf>
    <dxf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D9E1F2"/>
      <rgbColor rgb="FF993366"/>
      <rgbColor rgb="FFFFF9C4"/>
      <rgbColor rgb="FFE2F0D9"/>
      <rgbColor rgb="FF660066"/>
      <rgbColor rgb="FFEFEFEF"/>
      <rgbColor rgb="FF0066CC"/>
      <rgbColor rgb="FFBDD7EE"/>
      <rgbColor rgb="FF000080"/>
      <rgbColor rgb="FFFF00FF"/>
      <rgbColor rgb="FFFDEBC8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D9D9D9"/>
      <rgbColor rgb="FFFFC7CE"/>
      <rgbColor rgb="FFF8CBCB"/>
      <rgbColor rgb="FFFFCC80"/>
      <rgbColor rgb="FF3366FF"/>
      <rgbColor rgb="FF33CCCC"/>
      <rgbColor rgb="FF99CC00"/>
      <rgbColor rgb="FFFFF2CC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4"/>
    </row>
    <row r="5" customFormat="false" ht="15" hidden="false" customHeight="true" outlineLevel="0" collapsed="false">
      <c r="A5" s="5" t="s">
        <v>2</v>
      </c>
      <c r="B5" s="4"/>
    </row>
    <row r="6" customFormat="false" ht="15" hidden="false" customHeight="true" outlineLevel="0" collapsed="false">
      <c r="A6" s="4" t="s">
        <v>3</v>
      </c>
      <c r="B6" s="4" t="s">
        <v>4</v>
      </c>
    </row>
    <row r="7" customFormat="false" ht="15" hidden="false" customHeight="true" outlineLevel="0" collapsed="false">
      <c r="A7" s="4" t="s">
        <v>5</v>
      </c>
      <c r="B7" s="4" t="s">
        <v>6</v>
      </c>
    </row>
    <row r="8" customFormat="false" ht="15" hidden="false" customHeight="true" outlineLevel="0" collapsed="false">
      <c r="A8" s="4" t="s">
        <v>7</v>
      </c>
      <c r="B8" s="4" t="s">
        <v>8</v>
      </c>
    </row>
    <row r="9" customFormat="false" ht="15" hidden="false" customHeight="true" outlineLevel="0" collapsed="false">
      <c r="A9" s="4" t="s">
        <v>9</v>
      </c>
      <c r="B9" s="4" t="s">
        <v>10</v>
      </c>
    </row>
    <row r="10" customFormat="false" ht="15" hidden="false" customHeight="true" outlineLevel="0" collapsed="false">
      <c r="A10" s="4" t="s">
        <v>11</v>
      </c>
      <c r="B10" s="4" t="s">
        <v>12</v>
      </c>
    </row>
    <row r="11" customFormat="false" ht="15" hidden="false" customHeight="true" outlineLevel="0" collapsed="false">
      <c r="A11" s="4" t="s">
        <v>13</v>
      </c>
      <c r="B11" s="4" t="s">
        <v>14</v>
      </c>
    </row>
    <row r="12" customFormat="false" ht="15" hidden="false" customHeight="true" outlineLevel="0" collapsed="false">
      <c r="A12" s="4" t="s">
        <v>15</v>
      </c>
      <c r="B12" s="4" t="s">
        <v>16</v>
      </c>
    </row>
    <row r="13" customFormat="false" ht="15" hidden="false" customHeight="true" outlineLevel="0" collapsed="false">
      <c r="A13" s="4" t="s">
        <v>17</v>
      </c>
      <c r="B13" s="4" t="s">
        <v>18</v>
      </c>
    </row>
    <row r="14" customFormat="false" ht="15" hidden="false" customHeight="true" outlineLevel="0" collapsed="false">
      <c r="A14" s="1" t="s">
        <v>19</v>
      </c>
      <c r="B14" s="1" t="s">
        <v>20</v>
      </c>
    </row>
    <row r="15" customFormat="false" ht="15" hidden="false" customHeight="true" outlineLevel="0" collapsed="false">
      <c r="A15" s="1" t="s">
        <v>21</v>
      </c>
      <c r="B15" s="1" t="s">
        <v>22</v>
      </c>
    </row>
    <row r="16" customFormat="false" ht="15" hidden="false" customHeight="true" outlineLevel="0" collapsed="false">
      <c r="A16" s="1" t="s">
        <v>23</v>
      </c>
      <c r="B16" s="1" t="s">
        <v>24</v>
      </c>
    </row>
    <row r="17" customFormat="false" ht="15" hidden="false" customHeight="true" outlineLevel="0" collapsed="false">
      <c r="A17" s="1" t="s">
        <v>25</v>
      </c>
      <c r="B17" s="1" t="s">
        <v>26</v>
      </c>
    </row>
    <row r="18" customFormat="false" ht="15" hidden="false" customHeight="true" outlineLevel="0" collapsed="false">
      <c r="A18" s="1" t="s">
        <v>27</v>
      </c>
      <c r="B18" s="1" t="s">
        <v>28</v>
      </c>
    </row>
    <row r="19" customFormat="false" ht="15" hidden="false" customHeight="true" outlineLevel="0" collapsed="false">
      <c r="A19" s="4"/>
      <c r="B19" s="4"/>
    </row>
    <row r="20" customFormat="false" ht="15" hidden="false" customHeight="true" outlineLevel="0" collapsed="false">
      <c r="A20" s="5" t="s">
        <v>29</v>
      </c>
      <c r="B20" s="4"/>
    </row>
    <row r="21" customFormat="false" ht="15" hidden="false" customHeight="true" outlineLevel="0" collapsed="false">
      <c r="A21" s="4" t="s">
        <v>30</v>
      </c>
      <c r="B21" s="4" t="s">
        <v>31</v>
      </c>
    </row>
    <row r="22" customFormat="false" ht="15" hidden="false" customHeight="true" outlineLevel="0" collapsed="false">
      <c r="A22" s="4" t="s">
        <v>32</v>
      </c>
      <c r="B22" s="4" t="s">
        <v>33</v>
      </c>
    </row>
    <row r="23" customFormat="false" ht="15" hidden="false" customHeight="true" outlineLevel="0" collapsed="false">
      <c r="A23" s="4"/>
      <c r="B23" s="4"/>
    </row>
    <row r="24" customFormat="false" ht="15" hidden="false" customHeight="true" outlineLevel="0" collapsed="false">
      <c r="A24" s="4" t="s">
        <v>34</v>
      </c>
      <c r="B24" s="4" t="s">
        <v>35</v>
      </c>
    </row>
    <row r="25" customFormat="false" ht="15" hidden="false" customHeight="true" outlineLevel="0" collapsed="false">
      <c r="A25" s="4" t="s">
        <v>36</v>
      </c>
      <c r="B25" s="6" t="n">
        <v>2</v>
      </c>
      <c r="C25" s="7" t="s">
        <v>37</v>
      </c>
    </row>
    <row r="26" customFormat="false" ht="15" hidden="false" customHeight="true" outlineLevel="0" collapsed="false">
      <c r="A26" s="4" t="s">
        <v>38</v>
      </c>
      <c r="B26" s="6" t="n">
        <v>4</v>
      </c>
      <c r="C26" s="7" t="s">
        <v>39</v>
      </c>
    </row>
    <row r="27" customFormat="false" ht="15" hidden="false" customHeight="true" outlineLevel="0" collapsed="false">
      <c r="A27" s="4" t="s">
        <v>40</v>
      </c>
      <c r="B27" s="6" t="s">
        <v>41</v>
      </c>
      <c r="C27" s="7" t="s">
        <v>42</v>
      </c>
    </row>
    <row r="28" customFormat="false" ht="15" hidden="false" customHeight="true" outlineLevel="0" collapsed="false">
      <c r="A28" s="4" t="s">
        <v>43</v>
      </c>
      <c r="B28" s="6" t="s">
        <v>44</v>
      </c>
      <c r="C28" s="7" t="s">
        <v>45</v>
      </c>
    </row>
    <row r="29" customFormat="false" ht="14.25" hidden="false" customHeight="true" outlineLevel="0" collapsed="false">
      <c r="A29" s="4" t="s">
        <v>46</v>
      </c>
      <c r="B29" s="6" t="s">
        <v>47</v>
      </c>
      <c r="C29" s="7" t="s">
        <v>48</v>
      </c>
    </row>
    <row r="30" customFormat="false" ht="14.25" hidden="false" customHeight="true" outlineLevel="0" collapsed="false">
      <c r="A30" s="4" t="s">
        <v>49</v>
      </c>
      <c r="B30" s="6" t="s">
        <v>50</v>
      </c>
      <c r="C30" s="7" t="s">
        <v>51</v>
      </c>
    </row>
    <row r="31" customFormat="false" ht="14.25" hidden="false" customHeight="true" outlineLevel="0" collapsed="false">
      <c r="A31" s="4" t="s">
        <v>52</v>
      </c>
      <c r="B31" s="6" t="s">
        <v>53</v>
      </c>
      <c r="C31" s="7" t="s">
        <v>54</v>
      </c>
    </row>
    <row r="32" customFormat="false" ht="14.25" hidden="false" customHeight="true" outlineLevel="0" collapsed="false">
      <c r="A32" s="4" t="s">
        <v>55</v>
      </c>
      <c r="B32" s="6" t="s">
        <v>56</v>
      </c>
      <c r="C32" s="7" t="s">
        <v>57</v>
      </c>
    </row>
    <row r="33" customFormat="false" ht="14.25" hidden="false" customHeight="true" outlineLevel="0" collapsed="false">
      <c r="A33" s="4" t="s">
        <v>58</v>
      </c>
      <c r="B33" s="6" t="s">
        <v>59</v>
      </c>
      <c r="C33" s="7" t="s">
        <v>60</v>
      </c>
    </row>
    <row r="34" customFormat="false" ht="14.25" hidden="false" customHeight="true" outlineLevel="0" collapsed="false">
      <c r="A34" s="1" t="s">
        <v>61</v>
      </c>
      <c r="B34" s="8" t="n">
        <v>2</v>
      </c>
      <c r="C34" s="1" t="s">
        <v>62</v>
      </c>
    </row>
    <row r="35" customFormat="false" ht="14.25" hidden="false" customHeight="true" outlineLevel="0" collapsed="false">
      <c r="A35" s="1" t="s">
        <v>63</v>
      </c>
      <c r="B35" s="8" t="n">
        <v>4</v>
      </c>
      <c r="C35" s="1" t="s">
        <v>64</v>
      </c>
    </row>
    <row r="36" customFormat="false" ht="14.25" hidden="false" customHeight="true" outlineLevel="0" collapsed="false">
      <c r="A36" s="1" t="s">
        <v>65</v>
      </c>
      <c r="B36" s="8" t="s">
        <v>66</v>
      </c>
      <c r="C36" s="1" t="s">
        <v>67</v>
      </c>
    </row>
    <row r="38" customFormat="false" ht="14.25" hidden="false" customHeight="true" outlineLevel="0" collapsed="false">
      <c r="A38" s="9" t="s">
        <v>68</v>
      </c>
    </row>
    <row r="39" customFormat="false" ht="14.25" hidden="false" customHeight="true" outlineLevel="0" collapsed="false">
      <c r="A39" s="1" t="s">
        <v>69</v>
      </c>
    </row>
    <row r="40" customFormat="false" ht="14.25" hidden="false" customHeight="true" outlineLevel="0" collapsed="false">
      <c r="A40" s="1" t="s">
        <v>70</v>
      </c>
    </row>
    <row r="41" customFormat="false" ht="14.25" hidden="false" customHeight="true" outlineLevel="0" collapsed="false">
      <c r="A41" s="1" t="s">
        <v>71</v>
      </c>
    </row>
    <row r="42" customFormat="false" ht="14.25" hidden="false" customHeight="true" outlineLevel="0" collapsed="false">
      <c r="A42" s="1" t="s">
        <v>72</v>
      </c>
    </row>
    <row r="44" customFormat="false" ht="14.25" hidden="false" customHeight="false" outlineLevel="0" collapsed="false">
      <c r="A44" s="5" t="s">
        <v>73</v>
      </c>
    </row>
    <row r="45" customFormat="false" ht="27.75" hidden="false" customHeight="true" outlineLevel="0" collapsed="false">
      <c r="A45" s="4" t="s">
        <v>74</v>
      </c>
    </row>
    <row r="46" customFormat="false" ht="27.75" hidden="false" customHeight="true" outlineLevel="0" collapsed="false">
      <c r="A46" s="4" t="s">
        <v>75</v>
      </c>
    </row>
    <row r="47" customFormat="false" ht="27.75" hidden="false" customHeight="true" outlineLevel="0" collapsed="false">
      <c r="A47" s="4" t="s">
        <v>76</v>
      </c>
    </row>
    <row r="48" customFormat="false" ht="27.75" hidden="false" customHeight="true" outlineLevel="0" collapsed="false">
      <c r="A48" s="4" t="s">
        <v>77</v>
      </c>
    </row>
    <row r="49" customFormat="false" ht="27.75" hidden="false" customHeight="true" outlineLevel="0" collapsed="false">
      <c r="A49" s="4" t="s">
        <v>78</v>
      </c>
    </row>
    <row r="50" customFormat="false" ht="27.75" hidden="false" customHeight="true" outlineLevel="0" collapsed="false">
      <c r="A50" s="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9" min="9" style="1" width="20"/>
  </cols>
  <sheetData>
    <row r="1" customFormat="false" ht="31.5" hidden="false" customHeight="true" outlineLevel="0" collapsed="false">
      <c r="A1" s="10" t="s">
        <v>80</v>
      </c>
      <c r="B1" s="10" t="s">
        <v>81</v>
      </c>
      <c r="C1" s="10" t="s">
        <v>82</v>
      </c>
      <c r="D1" s="10" t="s">
        <v>83</v>
      </c>
      <c r="E1" s="10" t="s">
        <v>84</v>
      </c>
      <c r="F1" s="10" t="s">
        <v>85</v>
      </c>
      <c r="G1" s="9" t="s">
        <v>86</v>
      </c>
      <c r="H1" s="9" t="s">
        <v>87</v>
      </c>
      <c r="I1" s="11" t="s">
        <v>88</v>
      </c>
    </row>
    <row r="2" customFormat="false" ht="15" hidden="false" customHeight="true" outlineLevel="0" collapsed="false">
      <c r="A2" s="6" t="s">
        <v>89</v>
      </c>
      <c r="B2" s="6" t="s">
        <v>90</v>
      </c>
      <c r="C2" s="6" t="s">
        <v>91</v>
      </c>
      <c r="D2" s="6" t="s">
        <v>56</v>
      </c>
      <c r="E2" s="6" t="s">
        <v>59</v>
      </c>
      <c r="F2" s="6" t="s">
        <v>92</v>
      </c>
      <c r="G2" s="8"/>
      <c r="H2" s="8"/>
      <c r="I2" s="6" t="s">
        <v>93</v>
      </c>
    </row>
    <row r="3" customFormat="false" ht="15" hidden="false" customHeight="true" outlineLevel="0" collapsed="false">
      <c r="A3" s="6" t="s">
        <v>94</v>
      </c>
      <c r="B3" s="6" t="s">
        <v>95</v>
      </c>
      <c r="C3" s="6" t="s">
        <v>96</v>
      </c>
      <c r="D3" s="6" t="s">
        <v>56</v>
      </c>
      <c r="E3" s="6" t="s">
        <v>59</v>
      </c>
      <c r="F3" s="6" t="s">
        <v>92</v>
      </c>
      <c r="G3" s="8" t="s">
        <v>89</v>
      </c>
      <c r="H3" s="8" t="s">
        <v>90</v>
      </c>
      <c r="I3" s="6" t="s">
        <v>97</v>
      </c>
    </row>
    <row r="4" customFormat="false" ht="15" hidden="false" customHeight="true" outlineLevel="0" collapsed="false">
      <c r="A4" s="6" t="s">
        <v>98</v>
      </c>
      <c r="B4" s="6" t="s">
        <v>90</v>
      </c>
      <c r="C4" s="6" t="s">
        <v>99</v>
      </c>
      <c r="D4" s="6" t="s">
        <v>56</v>
      </c>
      <c r="E4" s="6" t="s">
        <v>59</v>
      </c>
      <c r="F4" s="6" t="s">
        <v>92</v>
      </c>
      <c r="G4" s="8" t="s">
        <v>89</v>
      </c>
      <c r="H4" s="8" t="s">
        <v>90</v>
      </c>
      <c r="I4" s="6" t="s">
        <v>97</v>
      </c>
    </row>
    <row r="5" customFormat="false" ht="15" hidden="false" customHeight="true" outlineLevel="0" collapsed="false">
      <c r="A5" s="6" t="s">
        <v>100</v>
      </c>
      <c r="B5" s="6" t="s">
        <v>101</v>
      </c>
      <c r="C5" s="6" t="s">
        <v>102</v>
      </c>
      <c r="D5" s="6" t="s">
        <v>56</v>
      </c>
      <c r="E5" s="6" t="s">
        <v>59</v>
      </c>
      <c r="F5" s="6" t="s">
        <v>92</v>
      </c>
      <c r="G5" s="8" t="s">
        <v>89</v>
      </c>
      <c r="H5" s="8" t="s">
        <v>90</v>
      </c>
      <c r="I5" s="6" t="s">
        <v>103</v>
      </c>
    </row>
    <row r="6" customFormat="false" ht="15" hidden="false" customHeight="true" outlineLevel="0" collapsed="false">
      <c r="A6" s="6" t="s">
        <v>104</v>
      </c>
      <c r="B6" s="6" t="s">
        <v>90</v>
      </c>
      <c r="C6" s="6" t="s">
        <v>105</v>
      </c>
      <c r="D6" s="6" t="s">
        <v>56</v>
      </c>
      <c r="E6" s="6" t="s">
        <v>59</v>
      </c>
      <c r="F6" s="6" t="s">
        <v>92</v>
      </c>
      <c r="G6" s="8" t="s">
        <v>89</v>
      </c>
      <c r="H6" s="8" t="s">
        <v>90</v>
      </c>
      <c r="I6" s="6" t="s">
        <v>106</v>
      </c>
    </row>
    <row r="7" customFormat="false" ht="15" hidden="false" customHeight="true" outlineLevel="0" collapsed="false">
      <c r="A7" s="6" t="s">
        <v>107</v>
      </c>
      <c r="B7" s="6" t="s">
        <v>108</v>
      </c>
      <c r="C7" s="6" t="s">
        <v>109</v>
      </c>
      <c r="D7" s="6" t="s">
        <v>56</v>
      </c>
      <c r="E7" s="6" t="s">
        <v>59</v>
      </c>
      <c r="F7" s="6" t="s">
        <v>92</v>
      </c>
      <c r="G7" s="8" t="s">
        <v>89</v>
      </c>
      <c r="H7" s="8" t="s">
        <v>90</v>
      </c>
      <c r="I7" s="6" t="s">
        <v>110</v>
      </c>
    </row>
    <row r="8" customFormat="false" ht="14.25" hidden="false" customHeight="false" outlineLevel="0" collapsed="false">
      <c r="A8" s="6" t="s">
        <v>111</v>
      </c>
      <c r="B8" s="6" t="s">
        <v>90</v>
      </c>
      <c r="C8" s="6" t="s">
        <v>112</v>
      </c>
      <c r="D8" s="6" t="s">
        <v>56</v>
      </c>
      <c r="E8" s="6" t="s">
        <v>59</v>
      </c>
      <c r="F8" s="6" t="s">
        <v>92</v>
      </c>
      <c r="G8" s="12" t="s">
        <v>89</v>
      </c>
      <c r="H8" s="12" t="s">
        <v>90</v>
      </c>
      <c r="I8" s="6" t="s">
        <v>113</v>
      </c>
    </row>
    <row r="9" customFormat="false" ht="14.25" hidden="false" customHeight="false" outlineLevel="0" collapsed="false">
      <c r="A9" s="6" t="s">
        <v>114</v>
      </c>
      <c r="B9" s="6" t="s">
        <v>115</v>
      </c>
      <c r="C9" s="6" t="s">
        <v>112</v>
      </c>
      <c r="D9" s="6" t="s">
        <v>56</v>
      </c>
      <c r="E9" s="6" t="s">
        <v>59</v>
      </c>
      <c r="F9" s="6" t="s">
        <v>92</v>
      </c>
      <c r="G9" s="12" t="s">
        <v>89</v>
      </c>
      <c r="H9" s="12" t="s">
        <v>90</v>
      </c>
      <c r="I9" s="6" t="s">
        <v>116</v>
      </c>
    </row>
    <row r="10" customFormat="false" ht="14.25" hidden="false" customHeight="false" outlineLevel="0" collapsed="false">
      <c r="A10" s="6" t="s">
        <v>117</v>
      </c>
      <c r="B10" s="6" t="s">
        <v>90</v>
      </c>
      <c r="C10" s="6" t="s">
        <v>99</v>
      </c>
      <c r="D10" s="6" t="s">
        <v>56</v>
      </c>
      <c r="E10" s="6" t="s">
        <v>59</v>
      </c>
      <c r="F10" s="6" t="s">
        <v>92</v>
      </c>
      <c r="G10" s="12" t="s">
        <v>89</v>
      </c>
      <c r="H10" s="12" t="s">
        <v>90</v>
      </c>
      <c r="I10" s="6" t="s">
        <v>118</v>
      </c>
    </row>
    <row r="11" customFormat="false" ht="14.25" hidden="false" customHeight="false" outlineLevel="0" collapsed="false">
      <c r="A11" s="6" t="s">
        <v>119</v>
      </c>
      <c r="B11" s="6" t="s">
        <v>120</v>
      </c>
      <c r="C11" s="6" t="s">
        <v>112</v>
      </c>
      <c r="D11" s="6" t="s">
        <v>56</v>
      </c>
      <c r="E11" s="6" t="s">
        <v>59</v>
      </c>
      <c r="F11" s="6" t="s">
        <v>92</v>
      </c>
      <c r="G11" s="12" t="s">
        <v>89</v>
      </c>
      <c r="H11" s="12" t="s">
        <v>90</v>
      </c>
      <c r="I11" s="6" t="s">
        <v>121</v>
      </c>
    </row>
    <row r="12" customFormat="false" ht="14.25" hidden="false" customHeight="false" outlineLevel="0" collapsed="false">
      <c r="A12" s="6" t="s">
        <v>122</v>
      </c>
      <c r="B12" s="6" t="s">
        <v>90</v>
      </c>
      <c r="C12" s="6" t="s">
        <v>123</v>
      </c>
      <c r="D12" s="6" t="s">
        <v>56</v>
      </c>
      <c r="E12" s="6" t="s">
        <v>59</v>
      </c>
      <c r="F12" s="6" t="s">
        <v>92</v>
      </c>
      <c r="G12" s="12" t="s">
        <v>89</v>
      </c>
      <c r="H12" s="12" t="s">
        <v>90</v>
      </c>
      <c r="I12" s="6" t="s">
        <v>124</v>
      </c>
    </row>
    <row r="13" customFormat="false" ht="14.25" hidden="false" customHeight="false" outlineLevel="0" collapsed="false">
      <c r="A13" s="6" t="s">
        <v>125</v>
      </c>
      <c r="B13" s="6" t="s">
        <v>90</v>
      </c>
      <c r="C13" s="6" t="s">
        <v>99</v>
      </c>
      <c r="D13" s="6" t="s">
        <v>56</v>
      </c>
      <c r="E13" s="6" t="s">
        <v>59</v>
      </c>
      <c r="F13" s="6" t="s">
        <v>92</v>
      </c>
      <c r="G13" s="12" t="s">
        <v>89</v>
      </c>
      <c r="H13" s="12" t="s">
        <v>90</v>
      </c>
      <c r="I13" s="6" t="s">
        <v>126</v>
      </c>
    </row>
    <row r="14" customFormat="false" ht="14.25" hidden="false" customHeight="false" outlineLevel="0" collapsed="false">
      <c r="A14" s="6" t="s">
        <v>127</v>
      </c>
      <c r="B14" s="6" t="s">
        <v>90</v>
      </c>
      <c r="C14" s="6" t="s">
        <v>99</v>
      </c>
      <c r="D14" s="6" t="s">
        <v>56</v>
      </c>
      <c r="E14" s="6" t="s">
        <v>59</v>
      </c>
      <c r="F14" s="6" t="s">
        <v>92</v>
      </c>
      <c r="G14" s="12" t="s">
        <v>89</v>
      </c>
      <c r="H14" s="12" t="s">
        <v>90</v>
      </c>
      <c r="I14" s="6" t="s">
        <v>126</v>
      </c>
    </row>
  </sheetData>
  <dataValidations count="1">
    <dataValidation allowBlank="false" errorStyle="stop" operator="between" showDropDown="false" showErrorMessage="false" showInputMessage="false" sqref="F2:F5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8" min="7" style="1" width="12"/>
    <col collapsed="false" customWidth="true" hidden="false" outlineLevel="0" max="9" min="9" style="1" width="8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26"/>
    <col collapsed="false" customWidth="true" hidden="false" outlineLevel="0" max="15" min="15" style="1" width="10"/>
    <col collapsed="false" customWidth="true" hidden="false" outlineLevel="0" max="16" min="16" style="1" width="14"/>
  </cols>
  <sheetData>
    <row r="1" customFormat="false" ht="31.5" hidden="false" customHeight="true" outlineLevel="0" collapsed="false">
      <c r="A1" s="10" t="s">
        <v>128</v>
      </c>
      <c r="B1" s="10" t="s">
        <v>80</v>
      </c>
      <c r="C1" s="10" t="s">
        <v>129</v>
      </c>
      <c r="D1" s="10" t="s">
        <v>130</v>
      </c>
      <c r="E1" s="10" t="s">
        <v>131</v>
      </c>
      <c r="F1" s="10" t="s">
        <v>132</v>
      </c>
      <c r="G1" s="10" t="s">
        <v>133</v>
      </c>
      <c r="H1" s="10" t="s">
        <v>134</v>
      </c>
      <c r="I1" s="10" t="s">
        <v>85</v>
      </c>
      <c r="J1" s="10" t="s">
        <v>83</v>
      </c>
      <c r="K1" s="10" t="s">
        <v>84</v>
      </c>
      <c r="L1" s="10" t="s">
        <v>135</v>
      </c>
      <c r="M1" s="10" t="s">
        <v>136</v>
      </c>
      <c r="N1" s="10" t="s">
        <v>137</v>
      </c>
      <c r="O1" s="13" t="s">
        <v>138</v>
      </c>
      <c r="P1" s="13" t="s">
        <v>139</v>
      </c>
    </row>
    <row r="2" customFormat="false" ht="15" hidden="false" customHeight="true" outlineLevel="0" collapsed="false">
      <c r="A2" s="6" t="s">
        <v>140</v>
      </c>
      <c r="B2" s="6" t="s">
        <v>94</v>
      </c>
      <c r="C2" s="6" t="str">
        <f aca="false">IFERROR(VLOOKUP(B2,Employees!$A:$B,2,FALSE()),"")</f>
        <v>918250685227</v>
      </c>
      <c r="D2" s="6" t="s">
        <v>141</v>
      </c>
      <c r="E2" s="6" t="s">
        <v>142</v>
      </c>
      <c r="F2" s="6" t="s">
        <v>143</v>
      </c>
      <c r="G2" s="6" t="s">
        <v>144</v>
      </c>
      <c r="H2" s="6" t="s">
        <v>145</v>
      </c>
      <c r="I2" s="6" t="s">
        <v>92</v>
      </c>
      <c r="J2" s="6" t="str">
        <f aca="false">IFERROR(VLOOKUP(B2,Employees!$A:$D,4,FALSE()),"")</f>
        <v>Satyam Sharma</v>
      </c>
      <c r="K2" s="6" t="str">
        <f aca="false">IFERROR(VLOOKUP(B2,Employees!$A:$E,5,FALSE()),"")</f>
        <v>919798637485</v>
      </c>
      <c r="L2" s="6" t="n">
        <v>2</v>
      </c>
      <c r="M2" s="6" t="s">
        <v>146</v>
      </c>
      <c r="N2" s="6"/>
      <c r="O2" s="12" t="s">
        <v>147</v>
      </c>
      <c r="P2" s="1" t="str">
        <f aca="false">IF(SUMPRODUCT(('Task Pause Log'!$B$2:$B$500=$A2)*('Task Pause Log'!$I$2:$I$500="Y"))&gt;0,"Y","N")</f>
        <v>N</v>
      </c>
    </row>
    <row r="3" customFormat="false" ht="15" hidden="false" customHeight="true" outlineLevel="0" collapsed="false">
      <c r="A3" s="6" t="s">
        <v>148</v>
      </c>
      <c r="B3" s="6" t="s">
        <v>94</v>
      </c>
      <c r="C3" s="6" t="str">
        <f aca="false">IFERROR(VLOOKUP(B3,Employees!$A:$B,2,FALSE()),"")</f>
        <v>918250685227</v>
      </c>
      <c r="D3" s="6" t="s">
        <v>149</v>
      </c>
      <c r="E3" s="6" t="s">
        <v>142</v>
      </c>
      <c r="F3" s="6" t="s">
        <v>143</v>
      </c>
      <c r="G3" s="6" t="s">
        <v>144</v>
      </c>
      <c r="H3" s="6" t="s">
        <v>145</v>
      </c>
      <c r="I3" s="6" t="s">
        <v>92</v>
      </c>
      <c r="J3" s="6" t="str">
        <f aca="false">IFERROR(VLOOKUP(B3,Employees!$A:$D,4,FALSE()),"")</f>
        <v>Satyam Sharma</v>
      </c>
      <c r="K3" s="6" t="str">
        <f aca="false">IFERROR(VLOOKUP(B3,Employees!$A:$E,5,FALSE()),"")</f>
        <v>919798637485</v>
      </c>
      <c r="L3" s="6" t="n">
        <v>2</v>
      </c>
      <c r="M3" s="6" t="s">
        <v>146</v>
      </c>
      <c r="N3" s="6"/>
      <c r="O3" s="12" t="s">
        <v>147</v>
      </c>
      <c r="P3" s="1" t="str">
        <f aca="false">IF(SUMPRODUCT(('Task Pause Log'!$B$2:$B$500=$A3)*('Task Pause Log'!$I$2:$I$500="Y"))&gt;0,"Y","N")</f>
        <v>N</v>
      </c>
    </row>
    <row r="4" customFormat="false" ht="15" hidden="false" customHeight="true" outlineLevel="0" collapsed="false">
      <c r="A4" s="6" t="s">
        <v>150</v>
      </c>
      <c r="B4" s="6" t="s">
        <v>119</v>
      </c>
      <c r="C4" s="6" t="str">
        <f aca="false">IFERROR(VLOOKUP(B4,Employees!$A:$B,2,FALSE()),"")</f>
        <v>916205044831</v>
      </c>
      <c r="D4" s="6" t="s">
        <v>151</v>
      </c>
      <c r="E4" s="6" t="s">
        <v>152</v>
      </c>
      <c r="F4" s="6" t="s">
        <v>153</v>
      </c>
      <c r="G4" s="6" t="s">
        <v>144</v>
      </c>
      <c r="H4" s="6" t="s">
        <v>145</v>
      </c>
      <c r="I4" s="6" t="s">
        <v>92</v>
      </c>
      <c r="J4" s="6" t="str">
        <f aca="false">IFERROR(VLOOKUP(B4,Employees!$A:$D,4,FALSE()),"")</f>
        <v>Satyam Sharma</v>
      </c>
      <c r="K4" s="6" t="str">
        <f aca="false">IFERROR(VLOOKUP(B4,Employees!$A:$E,5,FALSE()),"")</f>
        <v>919798637485</v>
      </c>
      <c r="L4" s="6" t="n">
        <v>2</v>
      </c>
      <c r="M4" s="6" t="s">
        <v>154</v>
      </c>
      <c r="N4" s="6"/>
      <c r="O4" s="12" t="s">
        <v>155</v>
      </c>
      <c r="P4" s="1" t="str">
        <f aca="false">IF(SUMPRODUCT(('Task Pause Log'!$B$2:$B$500=$A4)*('Task Pause Log'!$I$2:$I$500="Y"))&gt;0,"Y","N")</f>
        <v>N</v>
      </c>
    </row>
    <row r="5" customFormat="false" ht="15" hidden="false" customHeight="true" outlineLevel="0" collapsed="false">
      <c r="A5" s="6" t="s">
        <v>156</v>
      </c>
      <c r="B5" s="6" t="s">
        <v>119</v>
      </c>
      <c r="C5" s="6" t="str">
        <f aca="false">IFERROR(VLOOKUP(B5,Employees!$A:$B,2,FALSE()),"")</f>
        <v>916205044831</v>
      </c>
      <c r="D5" s="6" t="s">
        <v>157</v>
      </c>
      <c r="E5" s="6" t="s">
        <v>152</v>
      </c>
      <c r="F5" s="6" t="s">
        <v>158</v>
      </c>
      <c r="G5" s="6" t="s">
        <v>144</v>
      </c>
      <c r="H5" s="6" t="s">
        <v>145</v>
      </c>
      <c r="I5" s="6" t="s">
        <v>92</v>
      </c>
      <c r="J5" s="6" t="str">
        <f aca="false">IFERROR(VLOOKUP(B5,Employees!$A:$D,4,FALSE()),"")</f>
        <v>Satyam Sharma</v>
      </c>
      <c r="K5" s="6" t="str">
        <f aca="false">IFERROR(VLOOKUP(B5,Employees!$A:$E,5,FALSE()),"")</f>
        <v>919798637485</v>
      </c>
      <c r="L5" s="6" t="n">
        <v>2</v>
      </c>
      <c r="M5" s="6" t="s">
        <v>154</v>
      </c>
      <c r="N5" s="6"/>
      <c r="O5" s="12" t="s">
        <v>155</v>
      </c>
      <c r="P5" s="1" t="str">
        <f aca="false">IF(SUMPRODUCT(('Task Pause Log'!$B$2:$B$500=$A5)*('Task Pause Log'!$I$2:$I$500="Y"))&gt;0,"Y","N")</f>
        <v>N</v>
      </c>
    </row>
    <row r="6" customFormat="false" ht="15" hidden="false" customHeight="true" outlineLevel="0" collapsed="false">
      <c r="A6" s="6" t="s">
        <v>159</v>
      </c>
      <c r="B6" s="6" t="s">
        <v>100</v>
      </c>
      <c r="C6" s="6" t="str">
        <f aca="false">IFERROR(VLOOKUP(B6,Employees!$A:$B,2,FALSE()),"")</f>
        <v>917903066993</v>
      </c>
      <c r="D6" s="6" t="s">
        <v>160</v>
      </c>
      <c r="E6" s="6" t="s">
        <v>161</v>
      </c>
      <c r="F6" s="6" t="s">
        <v>162</v>
      </c>
      <c r="G6" s="6" t="s">
        <v>144</v>
      </c>
      <c r="H6" s="6" t="s">
        <v>145</v>
      </c>
      <c r="I6" s="6" t="s">
        <v>92</v>
      </c>
      <c r="J6" s="6" t="str">
        <f aca="false">IFERROR(VLOOKUP(B6,Employees!$A:$D,4,FALSE()),"")</f>
        <v>Satyam Sharma</v>
      </c>
      <c r="K6" s="6" t="str">
        <f aca="false">IFERROR(VLOOKUP(B6,Employees!$A:$E,5,FALSE()),"")</f>
        <v>919798637485</v>
      </c>
      <c r="L6" s="6" t="n">
        <v>3</v>
      </c>
      <c r="M6" s="6" t="s">
        <v>163</v>
      </c>
      <c r="N6" s="6"/>
      <c r="O6" s="12" t="s">
        <v>155</v>
      </c>
      <c r="P6" s="1" t="str">
        <f aca="false">IF(SUMPRODUCT(('Task Pause Log'!$B$2:$B$500=$A6)*('Task Pause Log'!$I$2:$I$500="Y"))&gt;0,"Y","N")</f>
        <v>N</v>
      </c>
    </row>
    <row r="7" customFormat="false" ht="15" hidden="false" customHeight="true" outlineLevel="0" collapsed="false">
      <c r="A7" s="6" t="s">
        <v>164</v>
      </c>
      <c r="B7" s="6" t="s">
        <v>100</v>
      </c>
      <c r="C7" s="6" t="str">
        <f aca="false">IFERROR(VLOOKUP(B7,Employees!$A:$B,2,FALSE()),"")</f>
        <v>917903066993</v>
      </c>
      <c r="D7" s="6" t="s">
        <v>165</v>
      </c>
      <c r="E7" s="6" t="s">
        <v>142</v>
      </c>
      <c r="F7" s="6" t="s">
        <v>143</v>
      </c>
      <c r="G7" s="6" t="s">
        <v>144</v>
      </c>
      <c r="H7" s="6" t="s">
        <v>145</v>
      </c>
      <c r="I7" s="6" t="s">
        <v>92</v>
      </c>
      <c r="J7" s="6" t="str">
        <f aca="false">IFERROR(VLOOKUP(B7,Employees!$A:$D,4,FALSE()),"")</f>
        <v>Satyam Sharma</v>
      </c>
      <c r="K7" s="6" t="str">
        <f aca="false">IFERROR(VLOOKUP(B7,Employees!$A:$E,5,FALSE()),"")</f>
        <v>919798637485</v>
      </c>
      <c r="L7" s="6" t="n">
        <v>2</v>
      </c>
      <c r="M7" s="6" t="s">
        <v>166</v>
      </c>
      <c r="N7" s="6" t="s">
        <v>167</v>
      </c>
      <c r="O7" s="12" t="s">
        <v>147</v>
      </c>
      <c r="P7" s="1" t="str">
        <f aca="false">IF(SUMPRODUCT(('Task Pause Log'!$B$2:$B$500=$A7)*('Task Pause Log'!$I$2:$I$500="Y"))&gt;0,"Y","N")</f>
        <v>N</v>
      </c>
    </row>
    <row r="8" customFormat="false" ht="15" hidden="false" customHeight="true" outlineLevel="0" collapsed="false">
      <c r="A8" s="6" t="s">
        <v>168</v>
      </c>
      <c r="B8" s="6" t="s">
        <v>100</v>
      </c>
      <c r="C8" s="6" t="str">
        <f aca="false">IFERROR(VLOOKUP(B8,Employees!$A:$B,2,FALSE()),"")</f>
        <v>917903066993</v>
      </c>
      <c r="D8" s="6" t="s">
        <v>169</v>
      </c>
      <c r="E8" s="6" t="s">
        <v>152</v>
      </c>
      <c r="F8" s="6" t="s">
        <v>170</v>
      </c>
      <c r="G8" s="6" t="s">
        <v>144</v>
      </c>
      <c r="H8" s="6" t="s">
        <v>145</v>
      </c>
      <c r="I8" s="6" t="s">
        <v>92</v>
      </c>
      <c r="J8" s="6" t="str">
        <f aca="false">IFERROR(VLOOKUP(B8,Employees!$A:$D,4,FALSE()),"")</f>
        <v>Satyam Sharma</v>
      </c>
      <c r="K8" s="6" t="str">
        <f aca="false">IFERROR(VLOOKUP(B8,Employees!$A:$E,5,FALSE()),"")</f>
        <v>919798637485</v>
      </c>
      <c r="L8" s="6" t="n">
        <v>2</v>
      </c>
      <c r="M8" s="6" t="s">
        <v>166</v>
      </c>
      <c r="N8" s="6" t="s">
        <v>171</v>
      </c>
      <c r="O8" s="12" t="s">
        <v>155</v>
      </c>
      <c r="P8" s="1" t="str">
        <f aca="false">IF(SUMPRODUCT(('Task Pause Log'!$B$2:$B$500=$A8)*('Task Pause Log'!$I$2:$I$500="Y"))&gt;0,"Y","N")</f>
        <v>N</v>
      </c>
    </row>
    <row r="9" customFormat="false" ht="15" hidden="false" customHeight="true" outlineLevel="0" collapsed="false">
      <c r="A9" s="6" t="s">
        <v>172</v>
      </c>
      <c r="B9" s="6" t="s">
        <v>100</v>
      </c>
      <c r="C9" s="6" t="str">
        <f aca="false">IFERROR(VLOOKUP(B9,Employees!$A:$B,2,FALSE()),"")</f>
        <v>917903066993</v>
      </c>
      <c r="D9" s="6" t="s">
        <v>173</v>
      </c>
      <c r="E9" s="6" t="s">
        <v>161</v>
      </c>
      <c r="F9" s="6" t="s">
        <v>174</v>
      </c>
      <c r="G9" s="6" t="s">
        <v>144</v>
      </c>
      <c r="H9" s="6" t="s">
        <v>145</v>
      </c>
      <c r="I9" s="6" t="s">
        <v>92</v>
      </c>
      <c r="J9" s="6" t="str">
        <f aca="false">IFERROR(VLOOKUP(B9,Employees!$A:$D,4,FALSE()),"")</f>
        <v>Satyam Sharma</v>
      </c>
      <c r="K9" s="6" t="str">
        <f aca="false">IFERROR(VLOOKUP(B9,Employees!$A:$E,5,FALSE()),"")</f>
        <v>919798637485</v>
      </c>
      <c r="L9" s="6" t="n">
        <v>2</v>
      </c>
      <c r="M9" s="6" t="s">
        <v>166</v>
      </c>
      <c r="N9" s="6" t="s">
        <v>175</v>
      </c>
      <c r="O9" s="12" t="s">
        <v>155</v>
      </c>
      <c r="P9" s="1" t="str">
        <f aca="false">IF(SUMPRODUCT(('Task Pause Log'!$B$2:$B$500=$A9)*('Task Pause Log'!$I$2:$I$500="Y"))&gt;0,"Y","N")</f>
        <v>N</v>
      </c>
    </row>
    <row r="10" customFormat="false" ht="15" hidden="false" customHeight="true" outlineLevel="0" collapsed="false">
      <c r="A10" s="6" t="s">
        <v>176</v>
      </c>
      <c r="B10" s="6" t="s">
        <v>107</v>
      </c>
      <c r="C10" s="6" t="str">
        <f aca="false">IFERROR(VLOOKUP(B10,Employees!$A:$B,2,FALSE()),"")</f>
        <v>918092902442</v>
      </c>
      <c r="D10" s="6" t="s">
        <v>177</v>
      </c>
      <c r="E10" s="6" t="s">
        <v>152</v>
      </c>
      <c r="F10" s="6" t="s">
        <v>158</v>
      </c>
      <c r="G10" s="6" t="s">
        <v>144</v>
      </c>
      <c r="H10" s="6" t="s">
        <v>145</v>
      </c>
      <c r="I10" s="6" t="s">
        <v>92</v>
      </c>
      <c r="J10" s="6" t="str">
        <f aca="false">IFERROR(VLOOKUP(B10,Employees!$A:$D,4,FALSE()),"")</f>
        <v>Satyam Sharma</v>
      </c>
      <c r="K10" s="6" t="str">
        <f aca="false">IFERROR(VLOOKUP(B10,Employees!$A:$E,5,FALSE()),"")</f>
        <v>919798637485</v>
      </c>
      <c r="L10" s="6" t="n">
        <v>2</v>
      </c>
      <c r="M10" s="6" t="s">
        <v>178</v>
      </c>
      <c r="N10" s="6" t="s">
        <v>167</v>
      </c>
      <c r="O10" s="12" t="s">
        <v>155</v>
      </c>
      <c r="P10" s="1" t="str">
        <f aca="false">IF(SUMPRODUCT(('Task Pause Log'!$B$2:$B$500=$A10)*('Task Pause Log'!$I$2:$I$500="Y"))&gt;0,"Y","N")</f>
        <v>N</v>
      </c>
    </row>
    <row r="11" customFormat="false" ht="15" hidden="false" customHeight="true" outlineLevel="0" collapsed="false">
      <c r="A11" s="6" t="s">
        <v>179</v>
      </c>
      <c r="B11" s="6" t="s">
        <v>107</v>
      </c>
      <c r="C11" s="6" t="str">
        <f aca="false">IFERROR(VLOOKUP(B11,Employees!$A:$B,2,FALSE()),"")</f>
        <v>918092902442</v>
      </c>
      <c r="D11" s="6" t="s">
        <v>180</v>
      </c>
      <c r="E11" s="6" t="s">
        <v>161</v>
      </c>
      <c r="F11" s="6" t="s">
        <v>181</v>
      </c>
      <c r="G11" s="6" t="s">
        <v>144</v>
      </c>
      <c r="H11" s="6" t="s">
        <v>145</v>
      </c>
      <c r="I11" s="6" t="s">
        <v>92</v>
      </c>
      <c r="J11" s="6" t="str">
        <f aca="false">IFERROR(VLOOKUP(B11,Employees!$A:$D,4,FALSE()),"")</f>
        <v>Satyam Sharma</v>
      </c>
      <c r="K11" s="6" t="str">
        <f aca="false">IFERROR(VLOOKUP(B11,Employees!$A:$E,5,FALSE()),"")</f>
        <v>919798637485</v>
      </c>
      <c r="L11" s="6" t="n">
        <v>2</v>
      </c>
      <c r="M11" s="6" t="s">
        <v>178</v>
      </c>
      <c r="N11" s="6" t="s">
        <v>182</v>
      </c>
      <c r="O11" s="12" t="s">
        <v>155</v>
      </c>
      <c r="P11" s="1" t="str">
        <f aca="false">IF(SUMPRODUCT(('Task Pause Log'!$B$2:$B$500=$A11)*('Task Pause Log'!$I$2:$I$500="Y"))&gt;0,"Y","N")</f>
        <v>N</v>
      </c>
    </row>
    <row r="12" customFormat="false" ht="15" hidden="false" customHeight="true" outlineLevel="0" collapsed="false">
      <c r="A12" s="6" t="s">
        <v>183</v>
      </c>
      <c r="B12" s="6" t="s">
        <v>107</v>
      </c>
      <c r="C12" s="6" t="str">
        <f aca="false">IFERROR(VLOOKUP(B12,Employees!$A:$B,2,FALSE()),"")</f>
        <v>918092902442</v>
      </c>
      <c r="D12" s="6" t="s">
        <v>184</v>
      </c>
      <c r="E12" s="6" t="s">
        <v>161</v>
      </c>
      <c r="F12" s="6" t="s">
        <v>185</v>
      </c>
      <c r="G12" s="6" t="s">
        <v>144</v>
      </c>
      <c r="H12" s="6" t="s">
        <v>145</v>
      </c>
      <c r="I12" s="6" t="s">
        <v>92</v>
      </c>
      <c r="J12" s="6" t="str">
        <f aca="false">IFERROR(VLOOKUP(B12,Employees!$A:$D,4,FALSE()),"")</f>
        <v>Satyam Sharma</v>
      </c>
      <c r="K12" s="6" t="str">
        <f aca="false">IFERROR(VLOOKUP(B12,Employees!$A:$E,5,FALSE()),"")</f>
        <v>919798637485</v>
      </c>
      <c r="L12" s="6" t="n">
        <v>2</v>
      </c>
      <c r="M12" s="6" t="s">
        <v>178</v>
      </c>
      <c r="N12" s="6" t="s">
        <v>186</v>
      </c>
      <c r="O12" s="12" t="s">
        <v>155</v>
      </c>
      <c r="P12" s="1" t="str">
        <f aca="false">IF(SUMPRODUCT(('Task Pause Log'!$B$2:$B$500=$A12)*('Task Pause Log'!$I$2:$I$500="Y"))&gt;0,"Y","N")</f>
        <v>N</v>
      </c>
    </row>
    <row r="13" customFormat="false" ht="15" hidden="false" customHeight="true" outlineLevel="0" collapsed="false">
      <c r="A13" s="6" t="s">
        <v>187</v>
      </c>
      <c r="B13" s="6" t="s">
        <v>114</v>
      </c>
      <c r="C13" s="6" t="str">
        <f aca="false">IFERROR(VLOOKUP(B13,Employees!$A:$B,2,FALSE()),"")</f>
        <v>918093556090</v>
      </c>
      <c r="D13" s="6" t="s">
        <v>188</v>
      </c>
      <c r="E13" s="6" t="s">
        <v>142</v>
      </c>
      <c r="F13" s="6" t="s">
        <v>143</v>
      </c>
      <c r="G13" s="6" t="s">
        <v>144</v>
      </c>
      <c r="H13" s="6" t="s">
        <v>145</v>
      </c>
      <c r="I13" s="6" t="s">
        <v>92</v>
      </c>
      <c r="J13" s="6" t="str">
        <f aca="false">IFERROR(VLOOKUP(B13,Employees!$A:$D,4,FALSE()),"")</f>
        <v>Satyam Sharma</v>
      </c>
      <c r="K13" s="6" t="str">
        <f aca="false">IFERROR(VLOOKUP(B13,Employees!$A:$E,5,FALSE()),"")</f>
        <v>919798637485</v>
      </c>
      <c r="L13" s="6" t="n">
        <v>2</v>
      </c>
      <c r="M13" s="6" t="s">
        <v>189</v>
      </c>
      <c r="N13" s="6" t="s">
        <v>167</v>
      </c>
      <c r="O13" s="12" t="s">
        <v>147</v>
      </c>
      <c r="P13" s="1" t="str">
        <f aca="false">IF(SUMPRODUCT(('Task Pause Log'!$B$2:$B$500=$A13)*('Task Pause Log'!$I$2:$I$500="Y"))&gt;0,"Y","N")</f>
        <v>N</v>
      </c>
    </row>
    <row r="14" customFormat="false" ht="15" hidden="false" customHeight="true" outlineLevel="0" collapsed="false">
      <c r="A14" s="6" t="s">
        <v>190</v>
      </c>
      <c r="B14" s="6" t="s">
        <v>104</v>
      </c>
      <c r="C14" s="6" t="str">
        <f aca="false">IFERROR(VLOOKUP(B14,Employees!$A:$B,2,FALSE()),"")</f>
        <v>TBD - add phone number</v>
      </c>
      <c r="D14" s="6" t="s">
        <v>191</v>
      </c>
      <c r="E14" s="6" t="s">
        <v>161</v>
      </c>
      <c r="F14" s="6" t="s">
        <v>192</v>
      </c>
      <c r="G14" s="6" t="s">
        <v>144</v>
      </c>
      <c r="H14" s="6" t="s">
        <v>145</v>
      </c>
      <c r="I14" s="6" t="s">
        <v>92</v>
      </c>
      <c r="J14" s="6" t="str">
        <f aca="false">IFERROR(VLOOKUP(B14,Employees!$A:$D,4,FALSE()),"")</f>
        <v>Satyam Sharma</v>
      </c>
      <c r="K14" s="6" t="str">
        <f aca="false">IFERROR(VLOOKUP(B14,Employees!$A:$E,5,FALSE()),"")</f>
        <v>919798637485</v>
      </c>
      <c r="L14" s="6" t="n">
        <v>1</v>
      </c>
      <c r="M14" s="6" t="s">
        <v>193</v>
      </c>
      <c r="N14" s="6" t="s">
        <v>194</v>
      </c>
      <c r="O14" s="12" t="s">
        <v>195</v>
      </c>
      <c r="P14" s="1" t="str">
        <f aca="false">IF(SUMPRODUCT(('Task Pause Log'!$B$2:$B$500=$A14)*('Task Pause Log'!$I$2:$I$500="Y"))&gt;0,"Y","N")</f>
        <v>N</v>
      </c>
    </row>
    <row r="15" customFormat="false" ht="15" hidden="false" customHeight="true" outlineLevel="0" collapsed="false">
      <c r="A15" s="6" t="s">
        <v>196</v>
      </c>
      <c r="B15" s="6" t="s">
        <v>104</v>
      </c>
      <c r="C15" s="6" t="str">
        <f aca="false">IFERROR(VLOOKUP(B15,Employees!$A:$B,2,FALSE()),"")</f>
        <v>TBD - add phone number</v>
      </c>
      <c r="D15" s="6" t="s">
        <v>197</v>
      </c>
      <c r="E15" s="6" t="s">
        <v>161</v>
      </c>
      <c r="F15" s="6" t="s">
        <v>185</v>
      </c>
      <c r="G15" s="6" t="s">
        <v>144</v>
      </c>
      <c r="H15" s="6" t="s">
        <v>145</v>
      </c>
      <c r="I15" s="6" t="s">
        <v>92</v>
      </c>
      <c r="J15" s="6" t="str">
        <f aca="false">IFERROR(VLOOKUP(B15,Employees!$A:$D,4,FALSE()),"")</f>
        <v>Satyam Sharma</v>
      </c>
      <c r="K15" s="6" t="str">
        <f aca="false">IFERROR(VLOOKUP(B15,Employees!$A:$E,5,FALSE()),"")</f>
        <v>919798637485</v>
      </c>
      <c r="L15" s="6" t="n">
        <v>1</v>
      </c>
      <c r="M15" s="6" t="s">
        <v>193</v>
      </c>
      <c r="N15" s="6" t="s">
        <v>194</v>
      </c>
      <c r="O15" s="12" t="s">
        <v>195</v>
      </c>
      <c r="P15" s="1" t="str">
        <f aca="false">IF(SUMPRODUCT(('Task Pause Log'!$B$2:$B$500=$A15)*('Task Pause Log'!$I$2:$I$500="Y"))&gt;0,"Y","N")</f>
        <v>N</v>
      </c>
    </row>
    <row r="16" customFormat="false" ht="15" hidden="false" customHeight="true" outlineLevel="0" collapsed="false">
      <c r="A16" s="6" t="s">
        <v>198</v>
      </c>
      <c r="B16" s="6" t="s">
        <v>104</v>
      </c>
      <c r="C16" s="6" t="str">
        <f aca="false">IFERROR(VLOOKUP(B16,Employees!$A:$B,2,FALSE()),"")</f>
        <v>TBD - add phone number</v>
      </c>
      <c r="D16" s="6" t="s">
        <v>199</v>
      </c>
      <c r="E16" s="6" t="s">
        <v>161</v>
      </c>
      <c r="F16" s="6" t="s">
        <v>200</v>
      </c>
      <c r="G16" s="6" t="s">
        <v>144</v>
      </c>
      <c r="H16" s="6" t="s">
        <v>145</v>
      </c>
      <c r="I16" s="6" t="s">
        <v>92</v>
      </c>
      <c r="J16" s="6" t="str">
        <f aca="false">IFERROR(VLOOKUP(B16,Employees!$A:$D,4,FALSE()),"")</f>
        <v>Satyam Sharma</v>
      </c>
      <c r="K16" s="6" t="str">
        <f aca="false">IFERROR(VLOOKUP(B16,Employees!$A:$E,5,FALSE()),"")</f>
        <v>919798637485</v>
      </c>
      <c r="L16" s="6" t="n">
        <v>1</v>
      </c>
      <c r="M16" s="6" t="s">
        <v>193</v>
      </c>
      <c r="N16" s="6" t="s">
        <v>194</v>
      </c>
      <c r="O16" s="12" t="s">
        <v>195</v>
      </c>
      <c r="P16" s="1" t="str">
        <f aca="false">IF(SUMPRODUCT(('Task Pause Log'!$B$2:$B$500=$A16)*('Task Pause Log'!$I$2:$I$500="Y"))&gt;0,"Y","N")</f>
        <v>N</v>
      </c>
    </row>
    <row r="17" customFormat="false" ht="15" hidden="false" customHeight="true" outlineLevel="0" collapsed="false">
      <c r="A17" s="6" t="s">
        <v>201</v>
      </c>
      <c r="B17" s="6" t="s">
        <v>104</v>
      </c>
      <c r="C17" s="6" t="str">
        <f aca="false">IFERROR(VLOOKUP(B17,Employees!$A:$B,2,FALSE()),"")</f>
        <v>TBD - add phone number</v>
      </c>
      <c r="D17" s="6" t="s">
        <v>202</v>
      </c>
      <c r="E17" s="6" t="s">
        <v>161</v>
      </c>
      <c r="F17" s="6" t="s">
        <v>203</v>
      </c>
      <c r="G17" s="6" t="s">
        <v>144</v>
      </c>
      <c r="H17" s="6" t="s">
        <v>145</v>
      </c>
      <c r="I17" s="6" t="s">
        <v>92</v>
      </c>
      <c r="J17" s="6" t="str">
        <f aca="false">IFERROR(VLOOKUP(B17,Employees!$A:$D,4,FALSE()),"")</f>
        <v>Satyam Sharma</v>
      </c>
      <c r="K17" s="6" t="str">
        <f aca="false">IFERROR(VLOOKUP(B17,Employees!$A:$E,5,FALSE()),"")</f>
        <v>919798637485</v>
      </c>
      <c r="L17" s="6" t="n">
        <v>1</v>
      </c>
      <c r="M17" s="6" t="s">
        <v>193</v>
      </c>
      <c r="N17" s="6" t="s">
        <v>194</v>
      </c>
      <c r="O17" s="12" t="s">
        <v>195</v>
      </c>
      <c r="P17" s="1" t="str">
        <f aca="false">IF(SUMPRODUCT(('Task Pause Log'!$B$2:$B$500=$A17)*('Task Pause Log'!$I$2:$I$500="Y"))&gt;0,"Y","N")</f>
        <v>N</v>
      </c>
    </row>
    <row r="18" customFormat="false" ht="15" hidden="false" customHeight="true" outlineLevel="0" collapsed="false">
      <c r="A18" s="6" t="s">
        <v>204</v>
      </c>
      <c r="B18" s="6" t="s">
        <v>104</v>
      </c>
      <c r="C18" s="6" t="str">
        <f aca="false">IFERROR(VLOOKUP(B18,Employees!$A:$B,2,FALSE()),"")</f>
        <v>TBD - add phone number</v>
      </c>
      <c r="D18" s="6" t="s">
        <v>205</v>
      </c>
      <c r="E18" s="6" t="s">
        <v>161</v>
      </c>
      <c r="F18" s="6" t="s">
        <v>181</v>
      </c>
      <c r="G18" s="6" t="s">
        <v>144</v>
      </c>
      <c r="H18" s="6" t="s">
        <v>145</v>
      </c>
      <c r="I18" s="6" t="s">
        <v>92</v>
      </c>
      <c r="J18" s="6" t="str">
        <f aca="false">IFERROR(VLOOKUP(B18,Employees!$A:$D,4,FALSE()),"")</f>
        <v>Satyam Sharma</v>
      </c>
      <c r="K18" s="6" t="str">
        <f aca="false">IFERROR(VLOOKUP(B18,Employees!$A:$E,5,FALSE()),"")</f>
        <v>919798637485</v>
      </c>
      <c r="L18" s="6" t="n">
        <v>1</v>
      </c>
      <c r="M18" s="6" t="s">
        <v>193</v>
      </c>
      <c r="N18" s="6" t="s">
        <v>194</v>
      </c>
      <c r="O18" s="12" t="s">
        <v>195</v>
      </c>
      <c r="P18" s="1" t="str">
        <f aca="false">IF(SUMPRODUCT(('Task Pause Log'!$B$2:$B$500=$A18)*('Task Pause Log'!$I$2:$I$500="Y"))&gt;0,"Y","N")</f>
        <v>N</v>
      </c>
    </row>
    <row r="19" customFormat="false" ht="15" hidden="false" customHeight="true" outlineLevel="0" collapsed="false">
      <c r="A19" s="6" t="s">
        <v>206</v>
      </c>
      <c r="B19" s="6" t="s">
        <v>104</v>
      </c>
      <c r="C19" s="6" t="str">
        <f aca="false">IFERROR(VLOOKUP(B19,Employees!$A:$B,2,FALSE()),"")</f>
        <v>TBD - add phone number</v>
      </c>
      <c r="D19" s="6" t="s">
        <v>207</v>
      </c>
      <c r="E19" s="6" t="s">
        <v>161</v>
      </c>
      <c r="F19" s="6" t="s">
        <v>181</v>
      </c>
      <c r="G19" s="6" t="s">
        <v>144</v>
      </c>
      <c r="H19" s="6" t="s">
        <v>145</v>
      </c>
      <c r="I19" s="6" t="s">
        <v>92</v>
      </c>
      <c r="J19" s="6" t="str">
        <f aca="false">IFERROR(VLOOKUP(B19,Employees!$A:$D,4,FALSE()),"")</f>
        <v>Satyam Sharma</v>
      </c>
      <c r="K19" s="6" t="str">
        <f aca="false">IFERROR(VLOOKUP(B19,Employees!$A:$E,5,FALSE()),"")</f>
        <v>919798637485</v>
      </c>
      <c r="L19" s="6" t="n">
        <v>1</v>
      </c>
      <c r="M19" s="6" t="s">
        <v>193</v>
      </c>
      <c r="N19" s="6" t="s">
        <v>194</v>
      </c>
      <c r="O19" s="12" t="s">
        <v>195</v>
      </c>
      <c r="P19" s="1" t="str">
        <f aca="false">IF(SUMPRODUCT(('Task Pause Log'!$B$2:$B$500=$A19)*('Task Pause Log'!$I$2:$I$500="Y"))&gt;0,"Y","N")</f>
        <v>N</v>
      </c>
    </row>
    <row r="20" customFormat="false" ht="15" hidden="false" customHeight="true" outlineLevel="0" collapsed="false">
      <c r="A20" s="6" t="s">
        <v>208</v>
      </c>
      <c r="B20" s="6" t="s">
        <v>104</v>
      </c>
      <c r="C20" s="6" t="str">
        <f aca="false">IFERROR(VLOOKUP(B20,Employees!$A:$B,2,FALSE()),"")</f>
        <v>TBD - add phone number</v>
      </c>
      <c r="D20" s="6" t="s">
        <v>209</v>
      </c>
      <c r="E20" s="6" t="s">
        <v>161</v>
      </c>
      <c r="F20" s="6" t="s">
        <v>210</v>
      </c>
      <c r="G20" s="6" t="s">
        <v>144</v>
      </c>
      <c r="H20" s="6" t="s">
        <v>145</v>
      </c>
      <c r="I20" s="6" t="s">
        <v>92</v>
      </c>
      <c r="J20" s="6" t="str">
        <f aca="false">IFERROR(VLOOKUP(B20,Employees!$A:$D,4,FALSE()),"")</f>
        <v>Satyam Sharma</v>
      </c>
      <c r="K20" s="6" t="str">
        <f aca="false">IFERROR(VLOOKUP(B20,Employees!$A:$E,5,FALSE()),"")</f>
        <v>919798637485</v>
      </c>
      <c r="L20" s="6" t="n">
        <v>1</v>
      </c>
      <c r="M20" s="6" t="s">
        <v>193</v>
      </c>
      <c r="N20" s="6" t="s">
        <v>194</v>
      </c>
      <c r="O20" s="12" t="s">
        <v>195</v>
      </c>
      <c r="P20" s="1" t="str">
        <f aca="false">IF(SUMPRODUCT(('Task Pause Log'!$B$2:$B$500=$A20)*('Task Pause Log'!$I$2:$I$500="Y"))&gt;0,"Y","N")</f>
        <v>N</v>
      </c>
    </row>
    <row r="21" customFormat="false" ht="15" hidden="false" customHeight="true" outlineLevel="0" collapsed="false">
      <c r="A21" s="6" t="s">
        <v>211</v>
      </c>
      <c r="B21" s="6" t="s">
        <v>104</v>
      </c>
      <c r="C21" s="6" t="str">
        <f aca="false">IFERROR(VLOOKUP(B21,Employees!$A:$B,2,FALSE()),"")</f>
        <v>TBD - add phone number</v>
      </c>
      <c r="D21" s="6" t="s">
        <v>212</v>
      </c>
      <c r="E21" s="6" t="s">
        <v>161</v>
      </c>
      <c r="F21" s="6" t="s">
        <v>181</v>
      </c>
      <c r="G21" s="6" t="s">
        <v>144</v>
      </c>
      <c r="H21" s="6" t="s">
        <v>145</v>
      </c>
      <c r="I21" s="6" t="s">
        <v>92</v>
      </c>
      <c r="J21" s="6" t="str">
        <f aca="false">IFERROR(VLOOKUP(B21,Employees!$A:$D,4,FALSE()),"")</f>
        <v>Satyam Sharma</v>
      </c>
      <c r="K21" s="6" t="str">
        <f aca="false">IFERROR(VLOOKUP(B21,Employees!$A:$E,5,FALSE()),"")</f>
        <v>919798637485</v>
      </c>
      <c r="L21" s="6" t="n">
        <v>1</v>
      </c>
      <c r="M21" s="6" t="s">
        <v>193</v>
      </c>
      <c r="N21" s="6" t="s">
        <v>194</v>
      </c>
      <c r="O21" s="12" t="s">
        <v>195</v>
      </c>
      <c r="P21" s="1" t="str">
        <f aca="false">IF(SUMPRODUCT(('Task Pause Log'!$B$2:$B$500=$A21)*('Task Pause Log'!$I$2:$I$500="Y"))&gt;0,"Y","N")</f>
        <v>N</v>
      </c>
    </row>
    <row r="22" customFormat="false" ht="15" hidden="false" customHeight="true" outlineLevel="0" collapsed="false">
      <c r="A22" s="6" t="s">
        <v>213</v>
      </c>
      <c r="B22" s="6" t="s">
        <v>104</v>
      </c>
      <c r="C22" s="6" t="str">
        <f aca="false">IFERROR(VLOOKUP(B22,Employees!$A:$B,2,FALSE()),"")</f>
        <v>TBD - add phone number</v>
      </c>
      <c r="D22" s="6" t="s">
        <v>214</v>
      </c>
      <c r="E22" s="6" t="s">
        <v>215</v>
      </c>
      <c r="F22" s="6" t="s">
        <v>203</v>
      </c>
      <c r="G22" s="6" t="s">
        <v>144</v>
      </c>
      <c r="H22" s="6" t="s">
        <v>145</v>
      </c>
      <c r="I22" s="6" t="s">
        <v>92</v>
      </c>
      <c r="J22" s="6" t="str">
        <f aca="false">IFERROR(VLOOKUP(B22,Employees!$A:$D,4,FALSE()),"")</f>
        <v>Satyam Sharma</v>
      </c>
      <c r="K22" s="6" t="str">
        <f aca="false">IFERROR(VLOOKUP(B22,Employees!$A:$E,5,FALSE()),"")</f>
        <v>919798637485</v>
      </c>
      <c r="L22" s="6" t="n">
        <v>1</v>
      </c>
      <c r="M22" s="6" t="s">
        <v>193</v>
      </c>
      <c r="N22" s="6" t="s">
        <v>194</v>
      </c>
      <c r="O22" s="12" t="s">
        <v>195</v>
      </c>
      <c r="P22" s="1" t="str">
        <f aca="false">IF(SUMPRODUCT(('Task Pause Log'!$B$2:$B$500=$A22)*('Task Pause Log'!$I$2:$I$500="Y"))&gt;0,"Y","N")</f>
        <v>N</v>
      </c>
    </row>
    <row r="23" customFormat="false" ht="15" hidden="false" customHeight="true" outlineLevel="0" collapsed="false">
      <c r="A23" s="6" t="s">
        <v>216</v>
      </c>
      <c r="B23" s="6" t="s">
        <v>104</v>
      </c>
      <c r="C23" s="6" t="str">
        <f aca="false">IFERROR(VLOOKUP(B23,Employees!$A:$B,2,FALSE()),"")</f>
        <v>TBD - add phone number</v>
      </c>
      <c r="D23" s="6" t="s">
        <v>217</v>
      </c>
      <c r="E23" s="6" t="s">
        <v>215</v>
      </c>
      <c r="F23" s="6" t="s">
        <v>203</v>
      </c>
      <c r="G23" s="6" t="s">
        <v>144</v>
      </c>
      <c r="H23" s="6" t="s">
        <v>145</v>
      </c>
      <c r="I23" s="6" t="s">
        <v>92</v>
      </c>
      <c r="J23" s="6" t="str">
        <f aca="false">IFERROR(VLOOKUP(B23,Employees!$A:$D,4,FALSE()),"")</f>
        <v>Satyam Sharma</v>
      </c>
      <c r="K23" s="6" t="str">
        <f aca="false">IFERROR(VLOOKUP(B23,Employees!$A:$E,5,FALSE()),"")</f>
        <v>919798637485</v>
      </c>
      <c r="L23" s="6" t="n">
        <v>1</v>
      </c>
      <c r="M23" s="6" t="s">
        <v>193</v>
      </c>
      <c r="N23" s="6" t="s">
        <v>194</v>
      </c>
      <c r="O23" s="12" t="s">
        <v>195</v>
      </c>
      <c r="P23" s="1" t="str">
        <f aca="false">IF(SUMPRODUCT(('Task Pause Log'!$B$2:$B$500=$A23)*('Task Pause Log'!$I$2:$I$500="Y"))&gt;0,"Y","N")</f>
        <v>N</v>
      </c>
    </row>
    <row r="24" customFormat="false" ht="15" hidden="false" customHeight="true" outlineLevel="0" collapsed="false">
      <c r="A24" s="6" t="s">
        <v>218</v>
      </c>
      <c r="B24" s="6" t="s">
        <v>104</v>
      </c>
      <c r="C24" s="6" t="str">
        <f aca="false">IFERROR(VLOOKUP(B24,Employees!$A:$B,2,FALSE()),"")</f>
        <v>TBD - add phone number</v>
      </c>
      <c r="D24" s="6" t="s">
        <v>219</v>
      </c>
      <c r="E24" s="6" t="s">
        <v>215</v>
      </c>
      <c r="F24" s="6" t="s">
        <v>181</v>
      </c>
      <c r="G24" s="6" t="s">
        <v>144</v>
      </c>
      <c r="H24" s="6" t="s">
        <v>145</v>
      </c>
      <c r="I24" s="6" t="s">
        <v>92</v>
      </c>
      <c r="J24" s="6" t="str">
        <f aca="false">IFERROR(VLOOKUP(B24,Employees!$A:$D,4,FALSE()),"")</f>
        <v>Satyam Sharma</v>
      </c>
      <c r="K24" s="6" t="str">
        <f aca="false">IFERROR(VLOOKUP(B24,Employees!$A:$E,5,FALSE()),"")</f>
        <v>919798637485</v>
      </c>
      <c r="L24" s="6" t="n">
        <v>1</v>
      </c>
      <c r="M24" s="6" t="s">
        <v>193</v>
      </c>
      <c r="N24" s="6" t="s">
        <v>194</v>
      </c>
      <c r="O24" s="12" t="s">
        <v>195</v>
      </c>
      <c r="P24" s="1" t="str">
        <f aca="false">IF(SUMPRODUCT(('Task Pause Log'!$B$2:$B$500=$A24)*('Task Pause Log'!$I$2:$I$500="Y"))&gt;0,"Y","N")</f>
        <v>N</v>
      </c>
    </row>
    <row r="25" customFormat="false" ht="15" hidden="false" customHeight="true" outlineLevel="0" collapsed="false">
      <c r="A25" s="6" t="s">
        <v>220</v>
      </c>
      <c r="B25" s="6" t="s">
        <v>104</v>
      </c>
      <c r="C25" s="6" t="str">
        <f aca="false">IFERROR(VLOOKUP(B25,Employees!$A:$B,2,FALSE()),"")</f>
        <v>TBD - add phone number</v>
      </c>
      <c r="D25" s="6" t="s">
        <v>221</v>
      </c>
      <c r="E25" s="6" t="s">
        <v>222</v>
      </c>
      <c r="F25" s="6" t="s">
        <v>223</v>
      </c>
      <c r="G25" s="6" t="s">
        <v>144</v>
      </c>
      <c r="H25" s="6" t="s">
        <v>145</v>
      </c>
      <c r="I25" s="6" t="s">
        <v>92</v>
      </c>
      <c r="J25" s="6" t="str">
        <f aca="false">IFERROR(VLOOKUP(B25,Employees!$A:$D,4,FALSE()),"")</f>
        <v>Satyam Sharma</v>
      </c>
      <c r="K25" s="6" t="str">
        <f aca="false">IFERROR(VLOOKUP(B25,Employees!$A:$E,5,FALSE()),"")</f>
        <v>919798637485</v>
      </c>
      <c r="L25" s="6" t="n">
        <v>1</v>
      </c>
      <c r="M25" s="6" t="s">
        <v>193</v>
      </c>
      <c r="N25" s="6" t="s">
        <v>224</v>
      </c>
      <c r="O25" s="12" t="s">
        <v>195</v>
      </c>
      <c r="P25" s="1" t="str">
        <f aca="false">IF(SUMPRODUCT(('Task Pause Log'!$B$2:$B$500=$A25)*('Task Pause Log'!$I$2:$I$500="Y"))&gt;0,"Y","N")</f>
        <v>N</v>
      </c>
    </row>
    <row r="26" customFormat="false" ht="15" hidden="false" customHeight="true" outlineLevel="0" collapsed="false">
      <c r="A26" s="6" t="s">
        <v>225</v>
      </c>
      <c r="B26" s="6" t="s">
        <v>104</v>
      </c>
      <c r="C26" s="6" t="str">
        <f aca="false">IFERROR(VLOOKUP(B26,Employees!$A:$B,2,FALSE()),"")</f>
        <v>TBD - add phone number</v>
      </c>
      <c r="D26" s="6" t="s">
        <v>226</v>
      </c>
      <c r="E26" s="6" t="s">
        <v>222</v>
      </c>
      <c r="F26" s="6" t="s">
        <v>185</v>
      </c>
      <c r="G26" s="6" t="s">
        <v>144</v>
      </c>
      <c r="H26" s="6" t="s">
        <v>145</v>
      </c>
      <c r="I26" s="6" t="s">
        <v>92</v>
      </c>
      <c r="J26" s="6" t="str">
        <f aca="false">IFERROR(VLOOKUP(B26,Employees!$A:$D,4,FALSE()),"")</f>
        <v>Satyam Sharma</v>
      </c>
      <c r="K26" s="6" t="str">
        <f aca="false">IFERROR(VLOOKUP(B26,Employees!$A:$E,5,FALSE()),"")</f>
        <v>919798637485</v>
      </c>
      <c r="L26" s="6" t="n">
        <v>1</v>
      </c>
      <c r="M26" s="6" t="s">
        <v>193</v>
      </c>
      <c r="N26" s="6" t="s">
        <v>194</v>
      </c>
      <c r="O26" s="12" t="s">
        <v>195</v>
      </c>
      <c r="P26" s="1" t="str">
        <f aca="false">IF(SUMPRODUCT(('Task Pause Log'!$B$2:$B$500=$A26)*('Task Pause Log'!$I$2:$I$500="Y"))&gt;0,"Y","N")</f>
        <v>N</v>
      </c>
    </row>
    <row r="27" customFormat="false" ht="15" hidden="false" customHeight="true" outlineLevel="0" collapsed="false">
      <c r="A27" s="6" t="s">
        <v>227</v>
      </c>
      <c r="B27" s="6" t="s">
        <v>104</v>
      </c>
      <c r="C27" s="6" t="str">
        <f aca="false">IFERROR(VLOOKUP(B27,Employees!$A:$B,2,FALSE()),"")</f>
        <v>TBD - add phone number</v>
      </c>
      <c r="D27" s="6" t="s">
        <v>228</v>
      </c>
      <c r="E27" s="6" t="s">
        <v>222</v>
      </c>
      <c r="F27" s="6" t="s">
        <v>229</v>
      </c>
      <c r="G27" s="6" t="s">
        <v>144</v>
      </c>
      <c r="H27" s="6" t="s">
        <v>145</v>
      </c>
      <c r="I27" s="6" t="s">
        <v>92</v>
      </c>
      <c r="J27" s="6" t="str">
        <f aca="false">IFERROR(VLOOKUP(B27,Employees!$A:$D,4,FALSE()),"")</f>
        <v>Satyam Sharma</v>
      </c>
      <c r="K27" s="6" t="str">
        <f aca="false">IFERROR(VLOOKUP(B27,Employees!$A:$E,5,FALSE()),"")</f>
        <v>919798637485</v>
      </c>
      <c r="L27" s="6" t="n">
        <v>1</v>
      </c>
      <c r="M27" s="6" t="s">
        <v>193</v>
      </c>
      <c r="N27" s="6" t="s">
        <v>194</v>
      </c>
      <c r="O27" s="12" t="s">
        <v>195</v>
      </c>
      <c r="P27" s="1" t="str">
        <f aca="false">IF(SUMPRODUCT(('Task Pause Log'!$B$2:$B$500=$A27)*('Task Pause Log'!$I$2:$I$500="Y"))&gt;0,"Y","N")</f>
        <v>N</v>
      </c>
    </row>
    <row r="28" customFormat="false" ht="14.25" hidden="false" customHeight="false" outlineLevel="0" collapsed="false">
      <c r="A28" s="6" t="s">
        <v>230</v>
      </c>
      <c r="B28" s="6" t="s">
        <v>89</v>
      </c>
      <c r="C28" s="6" t="str">
        <f aca="false">IFERROR(VLOOKUP(B28,Employees!$A:$B,2,FALSE()),"")</f>
        <v>TBD - add phone number</v>
      </c>
      <c r="D28" s="6" t="s">
        <v>231</v>
      </c>
      <c r="E28" s="6" t="s">
        <v>142</v>
      </c>
      <c r="F28" s="6" t="s">
        <v>143</v>
      </c>
      <c r="G28" s="6" t="s">
        <v>144</v>
      </c>
      <c r="H28" s="6" t="s">
        <v>145</v>
      </c>
      <c r="I28" s="6" t="s">
        <v>92</v>
      </c>
      <c r="J28" s="6" t="str">
        <f aca="false">IFERROR(VLOOKUP(B28,Employees!$A:$D,4,FALSE()),"")</f>
        <v>Satyam Sharma</v>
      </c>
      <c r="K28" s="6" t="str">
        <f aca="false">IFERROR(VLOOKUP(B28,Employees!$A:$E,5,FALSE()),"")</f>
        <v>919798637485</v>
      </c>
      <c r="L28" s="6" t="n">
        <v>1</v>
      </c>
      <c r="M28" s="6" t="s">
        <v>232</v>
      </c>
      <c r="N28" s="6" t="s">
        <v>233</v>
      </c>
      <c r="O28" s="12" t="s">
        <v>195</v>
      </c>
      <c r="P28" s="1" t="str">
        <f aca="false">IF(SUMPRODUCT(('Task Pause Log'!$B$2:$B$500=$A28)*('Task Pause Log'!$I$2:$I$500="Y"))&gt;0,"Y","N")</f>
        <v>N</v>
      </c>
    </row>
    <row r="29" customFormat="false" ht="14.25" hidden="false" customHeight="false" outlineLevel="0" collapsed="false">
      <c r="A29" s="6" t="s">
        <v>234</v>
      </c>
      <c r="B29" s="6" t="s">
        <v>89</v>
      </c>
      <c r="C29" s="6" t="str">
        <f aca="false">IFERROR(VLOOKUP(B29,Employees!$A:$B,2,FALSE()),"")</f>
        <v>TBD - add phone number</v>
      </c>
      <c r="D29" s="6" t="s">
        <v>235</v>
      </c>
      <c r="E29" s="6" t="s">
        <v>142</v>
      </c>
      <c r="F29" s="6" t="s">
        <v>143</v>
      </c>
      <c r="G29" s="6" t="s">
        <v>144</v>
      </c>
      <c r="H29" s="6" t="s">
        <v>145</v>
      </c>
      <c r="I29" s="6" t="s">
        <v>92</v>
      </c>
      <c r="J29" s="6" t="str">
        <f aca="false">IFERROR(VLOOKUP(B29,Employees!$A:$D,4,FALSE()),"")</f>
        <v>Satyam Sharma</v>
      </c>
      <c r="K29" s="6" t="str">
        <f aca="false">IFERROR(VLOOKUP(B29,Employees!$A:$E,5,FALSE()),"")</f>
        <v>919798637485</v>
      </c>
      <c r="L29" s="6" t="n">
        <v>1</v>
      </c>
      <c r="M29" s="6" t="s">
        <v>232</v>
      </c>
      <c r="N29" s="6" t="s">
        <v>233</v>
      </c>
      <c r="O29" s="12" t="s">
        <v>195</v>
      </c>
      <c r="P29" s="1" t="str">
        <f aca="false">IF(SUMPRODUCT(('Task Pause Log'!$B$2:$B$500=$A29)*('Task Pause Log'!$I$2:$I$500="Y"))&gt;0,"Y","N")</f>
        <v>N</v>
      </c>
    </row>
    <row r="30" customFormat="false" ht="14.25" hidden="false" customHeight="false" outlineLevel="0" collapsed="false">
      <c r="A30" s="6" t="s">
        <v>236</v>
      </c>
      <c r="B30" s="6" t="s">
        <v>89</v>
      </c>
      <c r="C30" s="6" t="str">
        <f aca="false">IFERROR(VLOOKUP(B30,Employees!$A:$B,2,FALSE()),"")</f>
        <v>TBD - add phone number</v>
      </c>
      <c r="D30" s="6" t="s">
        <v>237</v>
      </c>
      <c r="E30" s="6" t="s">
        <v>142</v>
      </c>
      <c r="F30" s="6" t="s">
        <v>143</v>
      </c>
      <c r="G30" s="6" t="s">
        <v>144</v>
      </c>
      <c r="H30" s="6" t="s">
        <v>145</v>
      </c>
      <c r="I30" s="6" t="s">
        <v>92</v>
      </c>
      <c r="J30" s="6" t="str">
        <f aca="false">IFERROR(VLOOKUP(B30,Employees!$A:$D,4,FALSE()),"")</f>
        <v>Satyam Sharma</v>
      </c>
      <c r="K30" s="6" t="str">
        <f aca="false">IFERROR(VLOOKUP(B30,Employees!$A:$E,5,FALSE()),"")</f>
        <v>919798637485</v>
      </c>
      <c r="L30" s="6" t="n">
        <v>1</v>
      </c>
      <c r="M30" s="6" t="s">
        <v>232</v>
      </c>
      <c r="N30" s="6" t="s">
        <v>233</v>
      </c>
      <c r="O30" s="12" t="s">
        <v>195</v>
      </c>
      <c r="P30" s="1" t="str">
        <f aca="false">IF(SUMPRODUCT(('Task Pause Log'!$B$2:$B$500=$A30)*('Task Pause Log'!$I$2:$I$500="Y"))&gt;0,"Y","N")</f>
        <v>N</v>
      </c>
    </row>
    <row r="31" customFormat="false" ht="14.25" hidden="false" customHeight="false" outlineLevel="0" collapsed="false">
      <c r="A31" s="6" t="s">
        <v>238</v>
      </c>
      <c r="B31" s="6" t="s">
        <v>89</v>
      </c>
      <c r="C31" s="6" t="str">
        <f aca="false">IFERROR(VLOOKUP(B31,Employees!$A:$B,2,FALSE()),"")</f>
        <v>TBD - add phone number</v>
      </c>
      <c r="D31" s="6" t="s">
        <v>239</v>
      </c>
      <c r="E31" s="6" t="s">
        <v>142</v>
      </c>
      <c r="F31" s="6" t="s">
        <v>143</v>
      </c>
      <c r="G31" s="6" t="s">
        <v>144</v>
      </c>
      <c r="H31" s="6" t="s">
        <v>145</v>
      </c>
      <c r="I31" s="6" t="s">
        <v>92</v>
      </c>
      <c r="J31" s="6" t="str">
        <f aca="false">IFERROR(VLOOKUP(B31,Employees!$A:$D,4,FALSE()),"")</f>
        <v>Satyam Sharma</v>
      </c>
      <c r="K31" s="6" t="str">
        <f aca="false">IFERROR(VLOOKUP(B31,Employees!$A:$E,5,FALSE()),"")</f>
        <v>919798637485</v>
      </c>
      <c r="L31" s="6" t="n">
        <v>1</v>
      </c>
      <c r="M31" s="6" t="s">
        <v>232</v>
      </c>
      <c r="N31" s="6" t="s">
        <v>233</v>
      </c>
      <c r="O31" s="12" t="s">
        <v>195</v>
      </c>
      <c r="P31" s="1" t="str">
        <f aca="false">IF(SUMPRODUCT(('Task Pause Log'!$B$2:$B$500=$A31)*('Task Pause Log'!$I$2:$I$500="Y"))&gt;0,"Y","N")</f>
        <v>N</v>
      </c>
    </row>
    <row r="32" customFormat="false" ht="14.25" hidden="false" customHeight="false" outlineLevel="0" collapsed="false">
      <c r="A32" s="6" t="s">
        <v>240</v>
      </c>
      <c r="B32" s="6" t="s">
        <v>89</v>
      </c>
      <c r="C32" s="6" t="str">
        <f aca="false">IFERROR(VLOOKUP(B32,Employees!$A:$B,2,FALSE()),"")</f>
        <v>TBD - add phone number</v>
      </c>
      <c r="D32" s="6" t="s">
        <v>241</v>
      </c>
      <c r="E32" s="6" t="s">
        <v>142</v>
      </c>
      <c r="F32" s="6" t="s">
        <v>143</v>
      </c>
      <c r="G32" s="6" t="s">
        <v>144</v>
      </c>
      <c r="H32" s="6" t="s">
        <v>145</v>
      </c>
      <c r="I32" s="6" t="s">
        <v>92</v>
      </c>
      <c r="J32" s="6" t="str">
        <f aca="false">IFERROR(VLOOKUP(B32,Employees!$A:$D,4,FALSE()),"")</f>
        <v>Satyam Sharma</v>
      </c>
      <c r="K32" s="6" t="str">
        <f aca="false">IFERROR(VLOOKUP(B32,Employees!$A:$E,5,FALSE()),"")</f>
        <v>919798637485</v>
      </c>
      <c r="L32" s="6" t="n">
        <v>1</v>
      </c>
      <c r="M32" s="6" t="s">
        <v>232</v>
      </c>
      <c r="N32" s="6" t="s">
        <v>233</v>
      </c>
      <c r="O32" s="12" t="s">
        <v>195</v>
      </c>
      <c r="P32" s="1" t="str">
        <f aca="false">IF(SUMPRODUCT(('Task Pause Log'!$B$2:$B$500=$A32)*('Task Pause Log'!$I$2:$I$500="Y"))&gt;0,"Y","N")</f>
        <v>N</v>
      </c>
    </row>
    <row r="33" customFormat="false" ht="14.25" hidden="false" customHeight="false" outlineLevel="0" collapsed="false">
      <c r="A33" s="6" t="s">
        <v>242</v>
      </c>
      <c r="B33" s="6" t="s">
        <v>89</v>
      </c>
      <c r="C33" s="6" t="str">
        <f aca="false">IFERROR(VLOOKUP(B33,Employees!$A:$B,2,FALSE()),"")</f>
        <v>TBD - add phone number</v>
      </c>
      <c r="D33" s="6" t="s">
        <v>243</v>
      </c>
      <c r="E33" s="6" t="s">
        <v>142</v>
      </c>
      <c r="F33" s="6" t="s">
        <v>143</v>
      </c>
      <c r="G33" s="6" t="s">
        <v>144</v>
      </c>
      <c r="H33" s="6" t="s">
        <v>145</v>
      </c>
      <c r="I33" s="6" t="s">
        <v>92</v>
      </c>
      <c r="J33" s="6" t="str">
        <f aca="false">IFERROR(VLOOKUP(B33,Employees!$A:$D,4,FALSE()),"")</f>
        <v>Satyam Sharma</v>
      </c>
      <c r="K33" s="6" t="str">
        <f aca="false">IFERROR(VLOOKUP(B33,Employees!$A:$E,5,FALSE()),"")</f>
        <v>919798637485</v>
      </c>
      <c r="L33" s="6" t="n">
        <v>1</v>
      </c>
      <c r="M33" s="6" t="s">
        <v>232</v>
      </c>
      <c r="N33" s="6" t="s">
        <v>233</v>
      </c>
      <c r="O33" s="12" t="s">
        <v>195</v>
      </c>
      <c r="P33" s="1" t="str">
        <f aca="false">IF(SUMPRODUCT(('Task Pause Log'!$B$2:$B$500=$A33)*('Task Pause Log'!$I$2:$I$500="Y"))&gt;0,"Y","N")</f>
        <v>N</v>
      </c>
    </row>
    <row r="34" customFormat="false" ht="14.25" hidden="false" customHeight="false" outlineLevel="0" collapsed="false">
      <c r="A34" s="6" t="s">
        <v>244</v>
      </c>
      <c r="B34" s="6" t="s">
        <v>89</v>
      </c>
      <c r="C34" s="6" t="str">
        <f aca="false">IFERROR(VLOOKUP(B34,Employees!$A:$B,2,FALSE()),"")</f>
        <v>TBD - add phone number</v>
      </c>
      <c r="D34" s="6" t="s">
        <v>245</v>
      </c>
      <c r="E34" s="6" t="s">
        <v>142</v>
      </c>
      <c r="F34" s="6" t="s">
        <v>143</v>
      </c>
      <c r="G34" s="6" t="s">
        <v>144</v>
      </c>
      <c r="H34" s="6" t="s">
        <v>145</v>
      </c>
      <c r="I34" s="6" t="s">
        <v>92</v>
      </c>
      <c r="J34" s="6" t="str">
        <f aca="false">IFERROR(VLOOKUP(B34,Employees!$A:$D,4,FALSE()),"")</f>
        <v>Satyam Sharma</v>
      </c>
      <c r="K34" s="6" t="str">
        <f aca="false">IFERROR(VLOOKUP(B34,Employees!$A:$E,5,FALSE()),"")</f>
        <v>919798637485</v>
      </c>
      <c r="L34" s="6" t="n">
        <v>1</v>
      </c>
      <c r="M34" s="6" t="s">
        <v>232</v>
      </c>
      <c r="N34" s="6" t="s">
        <v>233</v>
      </c>
      <c r="O34" s="12" t="s">
        <v>195</v>
      </c>
      <c r="P34" s="1" t="str">
        <f aca="false">IF(SUMPRODUCT(('Task Pause Log'!$B$2:$B$500=$A34)*('Task Pause Log'!$I$2:$I$500="Y"))&gt;0,"Y","N")</f>
        <v>N</v>
      </c>
    </row>
    <row r="35" customFormat="false" ht="14.25" hidden="false" customHeight="false" outlineLevel="0" collapsed="false">
      <c r="A35" s="6" t="s">
        <v>246</v>
      </c>
      <c r="B35" s="6" t="s">
        <v>89</v>
      </c>
      <c r="C35" s="6" t="str">
        <f aca="false">IFERROR(VLOOKUP(B35,Employees!$A:$B,2,FALSE()),"")</f>
        <v>TBD - add phone number</v>
      </c>
      <c r="D35" s="6" t="s">
        <v>247</v>
      </c>
      <c r="E35" s="6" t="s">
        <v>142</v>
      </c>
      <c r="F35" s="6" t="s">
        <v>143</v>
      </c>
      <c r="G35" s="6" t="s">
        <v>144</v>
      </c>
      <c r="H35" s="6" t="s">
        <v>145</v>
      </c>
      <c r="I35" s="6" t="s">
        <v>92</v>
      </c>
      <c r="J35" s="6" t="str">
        <f aca="false">IFERROR(VLOOKUP(B35,Employees!$A:$D,4,FALSE()),"")</f>
        <v>Satyam Sharma</v>
      </c>
      <c r="K35" s="6" t="str">
        <f aca="false">IFERROR(VLOOKUP(B35,Employees!$A:$E,5,FALSE()),"")</f>
        <v>919798637485</v>
      </c>
      <c r="L35" s="6" t="n">
        <v>1</v>
      </c>
      <c r="M35" s="6" t="s">
        <v>232</v>
      </c>
      <c r="N35" s="6" t="s">
        <v>233</v>
      </c>
      <c r="O35" s="12" t="s">
        <v>195</v>
      </c>
      <c r="P35" s="1" t="str">
        <f aca="false">IF(SUMPRODUCT(('Task Pause Log'!$B$2:$B$500=$A35)*('Task Pause Log'!$I$2:$I$500="Y"))&gt;0,"Y","N")</f>
        <v>N</v>
      </c>
    </row>
    <row r="36" customFormat="false" ht="14.25" hidden="false" customHeight="false" outlineLevel="0" collapsed="false">
      <c r="A36" s="6" t="s">
        <v>248</v>
      </c>
      <c r="B36" s="6" t="s">
        <v>89</v>
      </c>
      <c r="C36" s="6" t="str">
        <f aca="false">IFERROR(VLOOKUP(B36,Employees!$A:$B,2,FALSE()),"")</f>
        <v>TBD - add phone number</v>
      </c>
      <c r="D36" s="6" t="s">
        <v>249</v>
      </c>
      <c r="E36" s="6" t="s">
        <v>142</v>
      </c>
      <c r="F36" s="6" t="s">
        <v>143</v>
      </c>
      <c r="G36" s="6" t="s">
        <v>144</v>
      </c>
      <c r="H36" s="6" t="s">
        <v>145</v>
      </c>
      <c r="I36" s="6" t="s">
        <v>92</v>
      </c>
      <c r="J36" s="6" t="str">
        <f aca="false">IFERROR(VLOOKUP(B36,Employees!$A:$D,4,FALSE()),"")</f>
        <v>Satyam Sharma</v>
      </c>
      <c r="K36" s="6" t="str">
        <f aca="false">IFERROR(VLOOKUP(B36,Employees!$A:$E,5,FALSE()),"")</f>
        <v>919798637485</v>
      </c>
      <c r="L36" s="6" t="n">
        <v>1</v>
      </c>
      <c r="M36" s="6" t="s">
        <v>232</v>
      </c>
      <c r="N36" s="6" t="s">
        <v>233</v>
      </c>
      <c r="O36" s="12" t="s">
        <v>195</v>
      </c>
      <c r="P36" s="1" t="str">
        <f aca="false">IF(SUMPRODUCT(('Task Pause Log'!$B$2:$B$500=$A36)*('Task Pause Log'!$I$2:$I$500="Y"))&gt;0,"Y","N")</f>
        <v>N</v>
      </c>
    </row>
    <row r="37" customFormat="false" ht="14.25" hidden="false" customHeight="false" outlineLevel="0" collapsed="false">
      <c r="A37" s="6" t="s">
        <v>250</v>
      </c>
      <c r="B37" s="6" t="s">
        <v>89</v>
      </c>
      <c r="C37" s="6" t="str">
        <f aca="false">IFERROR(VLOOKUP(B37,Employees!$A:$B,2,FALSE()),"")</f>
        <v>TBD - add phone number</v>
      </c>
      <c r="D37" s="6" t="s">
        <v>251</v>
      </c>
      <c r="E37" s="6" t="s">
        <v>142</v>
      </c>
      <c r="F37" s="6" t="s">
        <v>143</v>
      </c>
      <c r="G37" s="6" t="s">
        <v>144</v>
      </c>
      <c r="H37" s="6" t="s">
        <v>145</v>
      </c>
      <c r="I37" s="6" t="s">
        <v>92</v>
      </c>
      <c r="J37" s="6" t="str">
        <f aca="false">IFERROR(VLOOKUP(B37,Employees!$A:$D,4,FALSE()),"")</f>
        <v>Satyam Sharma</v>
      </c>
      <c r="K37" s="6" t="str">
        <f aca="false">IFERROR(VLOOKUP(B37,Employees!$A:$E,5,FALSE()),"")</f>
        <v>919798637485</v>
      </c>
      <c r="L37" s="6" t="n">
        <v>1</v>
      </c>
      <c r="M37" s="6" t="s">
        <v>252</v>
      </c>
      <c r="N37" s="6" t="s">
        <v>233</v>
      </c>
      <c r="O37" s="12" t="s">
        <v>195</v>
      </c>
      <c r="P37" s="1" t="str">
        <f aca="false">IF(SUMPRODUCT(('Task Pause Log'!$B$2:$B$500=$A37)*('Task Pause Log'!$I$2:$I$500="Y"))&gt;0,"Y","N")</f>
        <v>N</v>
      </c>
    </row>
    <row r="38" customFormat="false" ht="14.25" hidden="false" customHeight="false" outlineLevel="0" collapsed="false">
      <c r="A38" s="6" t="s">
        <v>253</v>
      </c>
      <c r="B38" s="6" t="s">
        <v>89</v>
      </c>
      <c r="C38" s="6" t="str">
        <f aca="false">IFERROR(VLOOKUP(B38,Employees!$A:$B,2,FALSE()),"")</f>
        <v>TBD - add phone number</v>
      </c>
      <c r="D38" s="6" t="s">
        <v>254</v>
      </c>
      <c r="E38" s="6" t="s">
        <v>142</v>
      </c>
      <c r="F38" s="6" t="s">
        <v>143</v>
      </c>
      <c r="G38" s="6" t="s">
        <v>144</v>
      </c>
      <c r="H38" s="6" t="s">
        <v>145</v>
      </c>
      <c r="I38" s="6" t="s">
        <v>92</v>
      </c>
      <c r="J38" s="6" t="str">
        <f aca="false">IFERROR(VLOOKUP(B38,Employees!$A:$D,4,FALSE()),"")</f>
        <v>Satyam Sharma</v>
      </c>
      <c r="K38" s="6" t="str">
        <f aca="false">IFERROR(VLOOKUP(B38,Employees!$A:$E,5,FALSE()),"")</f>
        <v>919798637485</v>
      </c>
      <c r="L38" s="6" t="n">
        <v>1</v>
      </c>
      <c r="M38" s="6" t="s">
        <v>124</v>
      </c>
      <c r="N38" s="6" t="s">
        <v>233</v>
      </c>
      <c r="O38" s="12" t="s">
        <v>195</v>
      </c>
      <c r="P38" s="1" t="str">
        <f aca="false">IF(SUMPRODUCT(('Task Pause Log'!$B$2:$B$500=$A38)*('Task Pause Log'!$I$2:$I$500="Y"))&gt;0,"Y","N")</f>
        <v>N</v>
      </c>
    </row>
    <row r="39" customFormat="false" ht="14.25" hidden="false" customHeight="false" outlineLevel="0" collapsed="false">
      <c r="A39" s="6" t="s">
        <v>255</v>
      </c>
      <c r="B39" s="6" t="s">
        <v>89</v>
      </c>
      <c r="C39" s="6" t="str">
        <f aca="false">IFERROR(VLOOKUP(B39,Employees!$A:$B,2,FALSE()),"")</f>
        <v>TBD - add phone number</v>
      </c>
      <c r="D39" s="6" t="s">
        <v>256</v>
      </c>
      <c r="E39" s="6" t="s">
        <v>142</v>
      </c>
      <c r="F39" s="6" t="s">
        <v>143</v>
      </c>
      <c r="G39" s="6" t="s">
        <v>144</v>
      </c>
      <c r="H39" s="6" t="s">
        <v>145</v>
      </c>
      <c r="I39" s="6" t="s">
        <v>92</v>
      </c>
      <c r="J39" s="6" t="str">
        <f aca="false">IFERROR(VLOOKUP(B39,Employees!$A:$D,4,FALSE()),"")</f>
        <v>Satyam Sharma</v>
      </c>
      <c r="K39" s="6" t="str">
        <f aca="false">IFERROR(VLOOKUP(B39,Employees!$A:$E,5,FALSE()),"")</f>
        <v>919798637485</v>
      </c>
      <c r="L39" s="6" t="n">
        <v>1</v>
      </c>
      <c r="M39" s="6" t="s">
        <v>257</v>
      </c>
      <c r="N39" s="6" t="s">
        <v>233</v>
      </c>
      <c r="O39" s="12" t="s">
        <v>195</v>
      </c>
      <c r="P39" s="1" t="str">
        <f aca="false">IF(SUMPRODUCT(('Task Pause Log'!$B$2:$B$500=$A39)*('Task Pause Log'!$I$2:$I$500="Y"))&gt;0,"Y","N")</f>
        <v>N</v>
      </c>
    </row>
  </sheetData>
  <autoFilter ref="A1:P27"/>
  <conditionalFormatting sqref="O2:O500">
    <cfRule type="expression" priority="2" aboveAverage="0" equalAverage="0" bottom="0" percent="0" rank="0" text="" dxfId="8">
      <formula>$O2="High"</formula>
    </cfRule>
    <cfRule type="expression" priority="3" aboveAverage="0" equalAverage="0" bottom="0" percent="0" rank="0" text="" dxfId="9">
      <formula>$O2="Medium"</formula>
    </cfRule>
    <cfRule type="expression" priority="4" aboveAverage="0" equalAverage="0" bottom="0" percent="0" rank="0" text="" dxfId="10">
      <formula>$O2="Low"</formula>
    </cfRule>
  </conditionalFormatting>
  <conditionalFormatting sqref="A2:P500">
    <cfRule type="expression" priority="5" aboveAverage="0" equalAverage="0" bottom="0" percent="0" rank="0" text="" dxfId="11">
      <formula>$I2="N"</formula>
    </cfRule>
    <cfRule type="expression" priority="6" aboveAverage="0" equalAverage="0" bottom="0" percent="0" rank="0" text="" dxfId="12">
      <formula>$P2="Y"</formula>
    </cfRule>
  </conditionalFormatting>
  <dataValidations count="9">
    <dataValidation allowBlank="false" errorStyle="stop" operator="between" showDropDown="false" showErrorMessage="false" showInputMessage="false" sqref="B501:B1000" type="list">
      <formula1>EmployeeList</formula1>
      <formula2>0</formula2>
    </dataValidation>
    <dataValidation allowBlank="false" errorStyle="stop" operator="between" showDropDown="false" showErrorMessage="false" showInputMessage="false" sqref="J2:J1000" type="list">
      <formula1>SupervisorList</formula1>
      <formula2>0</formula2>
    </dataValidation>
    <dataValidation allowBlank="false" errorStyle="stop" operator="between" showDropDown="false" showErrorMessage="false" showInputMessage="false" sqref="E501:E1000" type="list">
      <formula1>"Daily,Weekly,Monthly,Quarterly,Yearly"</formula1>
      <formula2>0</formula2>
    </dataValidation>
    <dataValidation allowBlank="false" errorStyle="stop" operator="between" showDropDown="false" showErrorMessage="false" showInputMessage="false" sqref="I501:I1000" type="list">
      <formula1>"Y,N"</formula1>
      <formula2>0</formula2>
    </dataValidation>
    <dataValidation allowBlank="true" errorStyle="stop" operator="between" showDropDown="false" showErrorMessage="false" showInputMessage="false" sqref="F2:F1000" type="list">
      <formula1>"Monday,Tuesday,Wednesday,Thursday,Friday,Saturday,Sunday"</formula1>
      <formula2>0</formula2>
    </dataValidation>
    <dataValidation allowBlank="true" error="Pick a valid cadence" errorStyle="stop" operator="between" prompt="Choose cadence" showDropDown="false" showErrorMessage="false" showInputMessage="false" sqref="E2:E500" type="list">
      <formula1>"Daily,Weekly,Monthly,Quarterly,Yearly"</formula1>
      <formula2>0</formula2>
    </dataValidation>
    <dataValidation allowBlank="true" errorStyle="stop" operator="between" showDropDown="false" showErrorMessage="false" showInputMessage="false" sqref="I2:I500" type="list">
      <formula1>"Y,N"</formula1>
      <formula2>0</formula2>
    </dataValidation>
    <dataValidation allowBlank="true" errorStyle="stop" operator="between" showDropDown="false" showErrorMessage="false" showInputMessage="false" sqref="O2:O500" type="list">
      <formula1>"High,Medium,Low"</formula1>
      <formula2>0</formula2>
    </dataValidation>
    <dataValidation allowBlank="true" errorStyle="stop" operator="between" showDropDown="false" showErrorMessage="false" showInputMessage="false" sqref="B2:B500" type="list">
      <formula1>Employees!$A$2:$A$100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14"/>
  </cols>
  <sheetData>
    <row r="1" customFormat="false" ht="30" hidden="false" customHeight="true" outlineLevel="0" collapsed="false">
      <c r="A1" s="14" t="s">
        <v>258</v>
      </c>
      <c r="B1" s="14"/>
      <c r="C1" s="14"/>
      <c r="D1" s="14"/>
      <c r="E1" s="14"/>
      <c r="F1" s="14"/>
      <c r="G1" s="14"/>
    </row>
    <row r="2" customFormat="false" ht="15" hidden="false" customHeight="false" outlineLevel="0" collapsed="false">
      <c r="A2" s="11" t="s">
        <v>80</v>
      </c>
      <c r="B2" s="11" t="s">
        <v>88</v>
      </c>
      <c r="C2" s="11" t="s">
        <v>82</v>
      </c>
      <c r="D2" s="11" t="s">
        <v>259</v>
      </c>
      <c r="E2" s="11" t="s">
        <v>260</v>
      </c>
      <c r="F2" s="11" t="s">
        <v>261</v>
      </c>
      <c r="G2" s="11" t="s">
        <v>262</v>
      </c>
    </row>
    <row r="3" customFormat="false" ht="15" hidden="false" customHeight="false" outlineLevel="0" collapsed="false">
      <c r="A3" s="15" t="s">
        <v>89</v>
      </c>
      <c r="B3" s="15" t="s">
        <v>93</v>
      </c>
      <c r="C3" s="15" t="s">
        <v>91</v>
      </c>
      <c r="D3" s="16" t="s">
        <v>231</v>
      </c>
      <c r="E3" s="15" t="s">
        <v>142</v>
      </c>
      <c r="F3" s="15" t="s">
        <v>263</v>
      </c>
      <c r="G3" s="15" t="s">
        <v>92</v>
      </c>
    </row>
    <row r="4" customFormat="false" ht="15" hidden="false" customHeight="false" outlineLevel="0" collapsed="false">
      <c r="A4" s="15" t="s">
        <v>89</v>
      </c>
      <c r="B4" s="15" t="s">
        <v>93</v>
      </c>
      <c r="C4" s="15" t="s">
        <v>91</v>
      </c>
      <c r="D4" s="16" t="s">
        <v>235</v>
      </c>
      <c r="E4" s="15" t="s">
        <v>142</v>
      </c>
      <c r="F4" s="15" t="s">
        <v>263</v>
      </c>
      <c r="G4" s="15" t="s">
        <v>92</v>
      </c>
    </row>
    <row r="5" customFormat="false" ht="15" hidden="false" customHeight="false" outlineLevel="0" collapsed="false">
      <c r="A5" s="15" t="s">
        <v>89</v>
      </c>
      <c r="B5" s="15" t="s">
        <v>93</v>
      </c>
      <c r="C5" s="15" t="s">
        <v>91</v>
      </c>
      <c r="D5" s="16" t="s">
        <v>237</v>
      </c>
      <c r="E5" s="15" t="s">
        <v>142</v>
      </c>
      <c r="F5" s="15" t="s">
        <v>263</v>
      </c>
      <c r="G5" s="15" t="s">
        <v>92</v>
      </c>
    </row>
    <row r="6" customFormat="false" ht="15" hidden="false" customHeight="false" outlineLevel="0" collapsed="false">
      <c r="A6" s="15" t="s">
        <v>89</v>
      </c>
      <c r="B6" s="15" t="s">
        <v>93</v>
      </c>
      <c r="C6" s="15" t="s">
        <v>91</v>
      </c>
      <c r="D6" s="16" t="s">
        <v>239</v>
      </c>
      <c r="E6" s="15" t="s">
        <v>142</v>
      </c>
      <c r="F6" s="15" t="s">
        <v>263</v>
      </c>
      <c r="G6" s="15" t="s">
        <v>92</v>
      </c>
    </row>
    <row r="7" customFormat="false" ht="15" hidden="false" customHeight="false" outlineLevel="0" collapsed="false">
      <c r="A7" s="15" t="s">
        <v>89</v>
      </c>
      <c r="B7" s="15" t="s">
        <v>93</v>
      </c>
      <c r="C7" s="15" t="s">
        <v>91</v>
      </c>
      <c r="D7" s="16" t="s">
        <v>241</v>
      </c>
      <c r="E7" s="15" t="s">
        <v>142</v>
      </c>
      <c r="F7" s="15" t="s">
        <v>263</v>
      </c>
      <c r="G7" s="15" t="s">
        <v>92</v>
      </c>
    </row>
    <row r="8" customFormat="false" ht="15" hidden="false" customHeight="false" outlineLevel="0" collapsed="false">
      <c r="A8" s="15" t="s">
        <v>89</v>
      </c>
      <c r="B8" s="15" t="s">
        <v>93</v>
      </c>
      <c r="C8" s="15" t="s">
        <v>91</v>
      </c>
      <c r="D8" s="16" t="s">
        <v>243</v>
      </c>
      <c r="E8" s="15" t="s">
        <v>142</v>
      </c>
      <c r="F8" s="15" t="s">
        <v>263</v>
      </c>
      <c r="G8" s="15" t="s">
        <v>92</v>
      </c>
    </row>
    <row r="9" customFormat="false" ht="15" hidden="false" customHeight="false" outlineLevel="0" collapsed="false">
      <c r="A9" s="15" t="s">
        <v>89</v>
      </c>
      <c r="B9" s="15" t="s">
        <v>93</v>
      </c>
      <c r="C9" s="15" t="s">
        <v>91</v>
      </c>
      <c r="D9" s="16" t="s">
        <v>245</v>
      </c>
      <c r="E9" s="15" t="s">
        <v>142</v>
      </c>
      <c r="F9" s="15" t="s">
        <v>263</v>
      </c>
      <c r="G9" s="15" t="s">
        <v>92</v>
      </c>
    </row>
    <row r="10" customFormat="false" ht="15" hidden="false" customHeight="false" outlineLevel="0" collapsed="false">
      <c r="A10" s="15" t="s">
        <v>89</v>
      </c>
      <c r="B10" s="15" t="s">
        <v>93</v>
      </c>
      <c r="C10" s="15" t="s">
        <v>91</v>
      </c>
      <c r="D10" s="16" t="s">
        <v>247</v>
      </c>
      <c r="E10" s="15" t="s">
        <v>142</v>
      </c>
      <c r="F10" s="15" t="s">
        <v>263</v>
      </c>
      <c r="G10" s="15" t="s">
        <v>92</v>
      </c>
    </row>
    <row r="11" customFormat="false" ht="15" hidden="false" customHeight="false" outlineLevel="0" collapsed="false">
      <c r="A11" s="15" t="s">
        <v>89</v>
      </c>
      <c r="B11" s="15" t="s">
        <v>93</v>
      </c>
      <c r="C11" s="15" t="s">
        <v>91</v>
      </c>
      <c r="D11" s="16" t="s">
        <v>249</v>
      </c>
      <c r="E11" s="15" t="s">
        <v>142</v>
      </c>
      <c r="F11" s="15" t="s">
        <v>263</v>
      </c>
      <c r="G11" s="15" t="s">
        <v>92</v>
      </c>
    </row>
    <row r="12" customFormat="false" ht="15" hidden="false" customHeight="false" outlineLevel="0" collapsed="false">
      <c r="A12" s="15" t="s">
        <v>89</v>
      </c>
      <c r="B12" s="15" t="s">
        <v>93</v>
      </c>
      <c r="C12" s="15" t="s">
        <v>91</v>
      </c>
      <c r="D12" s="16" t="s">
        <v>251</v>
      </c>
      <c r="E12" s="15" t="s">
        <v>142</v>
      </c>
      <c r="F12" s="15" t="s">
        <v>263</v>
      </c>
      <c r="G12" s="15" t="s">
        <v>92</v>
      </c>
    </row>
    <row r="13" customFormat="false" ht="15" hidden="false" customHeight="false" outlineLevel="0" collapsed="false">
      <c r="A13" s="15" t="s">
        <v>89</v>
      </c>
      <c r="B13" s="15" t="s">
        <v>93</v>
      </c>
      <c r="C13" s="15" t="s">
        <v>91</v>
      </c>
      <c r="D13" s="16" t="s">
        <v>254</v>
      </c>
      <c r="E13" s="15" t="s">
        <v>142</v>
      </c>
      <c r="F13" s="15" t="s">
        <v>263</v>
      </c>
      <c r="G13" s="15" t="s">
        <v>92</v>
      </c>
    </row>
    <row r="14" customFormat="false" ht="15" hidden="false" customHeight="false" outlineLevel="0" collapsed="false">
      <c r="A14" s="15" t="s">
        <v>89</v>
      </c>
      <c r="B14" s="15" t="s">
        <v>93</v>
      </c>
      <c r="C14" s="15" t="s">
        <v>91</v>
      </c>
      <c r="D14" s="16" t="s">
        <v>256</v>
      </c>
      <c r="E14" s="15" t="s">
        <v>142</v>
      </c>
      <c r="F14" s="15" t="s">
        <v>263</v>
      </c>
      <c r="G14" s="15" t="s">
        <v>92</v>
      </c>
    </row>
    <row r="15" customFormat="false" ht="15" hidden="false" customHeight="false" outlineLevel="0" collapsed="false">
      <c r="A15" s="15" t="s">
        <v>94</v>
      </c>
      <c r="B15" s="15" t="s">
        <v>97</v>
      </c>
      <c r="C15" s="15" t="s">
        <v>96</v>
      </c>
      <c r="D15" s="16" t="s">
        <v>264</v>
      </c>
      <c r="E15" s="15" t="s">
        <v>265</v>
      </c>
      <c r="F15" s="15" t="s">
        <v>266</v>
      </c>
      <c r="G15" s="15" t="s">
        <v>66</v>
      </c>
    </row>
    <row r="16" customFormat="false" ht="15" hidden="false" customHeight="false" outlineLevel="0" collapsed="false">
      <c r="A16" s="15" t="s">
        <v>94</v>
      </c>
      <c r="B16" s="15" t="s">
        <v>97</v>
      </c>
      <c r="C16" s="15" t="s">
        <v>96</v>
      </c>
      <c r="D16" s="16" t="s">
        <v>267</v>
      </c>
      <c r="E16" s="15" t="s">
        <v>265</v>
      </c>
      <c r="F16" s="15" t="s">
        <v>266</v>
      </c>
      <c r="G16" s="15" t="s">
        <v>66</v>
      </c>
    </row>
    <row r="17" customFormat="false" ht="15" hidden="false" customHeight="false" outlineLevel="0" collapsed="false">
      <c r="A17" s="15" t="s">
        <v>94</v>
      </c>
      <c r="B17" s="15" t="s">
        <v>97</v>
      </c>
      <c r="C17" s="15" t="s">
        <v>96</v>
      </c>
      <c r="D17" s="16" t="s">
        <v>268</v>
      </c>
      <c r="E17" s="15" t="s">
        <v>265</v>
      </c>
      <c r="F17" s="15" t="s">
        <v>266</v>
      </c>
      <c r="G17" s="15" t="s">
        <v>66</v>
      </c>
    </row>
    <row r="18" customFormat="false" ht="23.85" hidden="false" customHeight="false" outlineLevel="0" collapsed="false">
      <c r="A18" s="15" t="s">
        <v>94</v>
      </c>
      <c r="B18" s="15" t="s">
        <v>97</v>
      </c>
      <c r="C18" s="15" t="s">
        <v>96</v>
      </c>
      <c r="D18" s="16" t="s">
        <v>269</v>
      </c>
      <c r="E18" s="15" t="s">
        <v>265</v>
      </c>
      <c r="F18" s="15" t="s">
        <v>266</v>
      </c>
      <c r="G18" s="15" t="s">
        <v>66</v>
      </c>
    </row>
    <row r="19" customFormat="false" ht="23.85" hidden="false" customHeight="false" outlineLevel="0" collapsed="false">
      <c r="A19" s="15" t="s">
        <v>94</v>
      </c>
      <c r="B19" s="15" t="s">
        <v>97</v>
      </c>
      <c r="C19" s="15" t="s">
        <v>96</v>
      </c>
      <c r="D19" s="16" t="s">
        <v>270</v>
      </c>
      <c r="E19" s="15" t="s">
        <v>265</v>
      </c>
      <c r="F19" s="15" t="s">
        <v>266</v>
      </c>
      <c r="G19" s="15" t="s">
        <v>66</v>
      </c>
    </row>
    <row r="20" customFormat="false" ht="15" hidden="false" customHeight="false" outlineLevel="0" collapsed="false">
      <c r="A20" s="15" t="s">
        <v>94</v>
      </c>
      <c r="B20" s="15" t="s">
        <v>97</v>
      </c>
      <c r="C20" s="15" t="s">
        <v>96</v>
      </c>
      <c r="D20" s="16" t="s">
        <v>271</v>
      </c>
      <c r="E20" s="15" t="s">
        <v>265</v>
      </c>
      <c r="F20" s="15" t="s">
        <v>266</v>
      </c>
      <c r="G20" s="15" t="s">
        <v>66</v>
      </c>
    </row>
    <row r="21" customFormat="false" ht="15" hidden="false" customHeight="false" outlineLevel="0" collapsed="false">
      <c r="A21" s="15" t="s">
        <v>94</v>
      </c>
      <c r="B21" s="15" t="s">
        <v>97</v>
      </c>
      <c r="C21" s="15" t="s">
        <v>96</v>
      </c>
      <c r="D21" s="16" t="s">
        <v>272</v>
      </c>
      <c r="E21" s="15" t="s">
        <v>265</v>
      </c>
      <c r="F21" s="15" t="s">
        <v>266</v>
      </c>
      <c r="G21" s="15" t="s">
        <v>66</v>
      </c>
    </row>
    <row r="22" customFormat="false" ht="15" hidden="false" customHeight="false" outlineLevel="0" collapsed="false">
      <c r="A22" s="15" t="s">
        <v>94</v>
      </c>
      <c r="B22" s="15" t="s">
        <v>97</v>
      </c>
      <c r="C22" s="15" t="s">
        <v>96</v>
      </c>
      <c r="D22" s="16" t="s">
        <v>273</v>
      </c>
      <c r="E22" s="15" t="s">
        <v>265</v>
      </c>
      <c r="F22" s="15" t="s">
        <v>266</v>
      </c>
      <c r="G22" s="15" t="s">
        <v>66</v>
      </c>
    </row>
    <row r="23" customFormat="false" ht="15" hidden="false" customHeight="false" outlineLevel="0" collapsed="false">
      <c r="A23" s="15" t="s">
        <v>94</v>
      </c>
      <c r="B23" s="15" t="s">
        <v>97</v>
      </c>
      <c r="C23" s="15" t="s">
        <v>96</v>
      </c>
      <c r="D23" s="16" t="s">
        <v>274</v>
      </c>
      <c r="E23" s="15" t="s">
        <v>265</v>
      </c>
      <c r="F23" s="15" t="s">
        <v>266</v>
      </c>
      <c r="G23" s="15" t="s">
        <v>66</v>
      </c>
    </row>
    <row r="24" customFormat="false" ht="15" hidden="false" customHeight="false" outlineLevel="0" collapsed="false">
      <c r="A24" s="15" t="s">
        <v>94</v>
      </c>
      <c r="B24" s="15" t="s">
        <v>97</v>
      </c>
      <c r="C24" s="15" t="s">
        <v>96</v>
      </c>
      <c r="D24" s="16" t="s">
        <v>275</v>
      </c>
      <c r="E24" s="15" t="s">
        <v>265</v>
      </c>
      <c r="F24" s="15" t="s">
        <v>266</v>
      </c>
      <c r="G24" s="15" t="s">
        <v>66</v>
      </c>
    </row>
    <row r="25" customFormat="false" ht="15" hidden="false" customHeight="false" outlineLevel="0" collapsed="false">
      <c r="A25" s="15" t="s">
        <v>94</v>
      </c>
      <c r="B25" s="15" t="s">
        <v>97</v>
      </c>
      <c r="C25" s="15" t="s">
        <v>96</v>
      </c>
      <c r="D25" s="16" t="s">
        <v>276</v>
      </c>
      <c r="E25" s="15" t="s">
        <v>265</v>
      </c>
      <c r="F25" s="15" t="s">
        <v>266</v>
      </c>
      <c r="G25" s="15" t="s">
        <v>66</v>
      </c>
    </row>
    <row r="26" customFormat="false" ht="15" hidden="false" customHeight="false" outlineLevel="0" collapsed="false">
      <c r="A26" s="15" t="s">
        <v>94</v>
      </c>
      <c r="B26" s="15" t="s">
        <v>97</v>
      </c>
      <c r="C26" s="15" t="s">
        <v>96</v>
      </c>
      <c r="D26" s="16" t="s">
        <v>277</v>
      </c>
      <c r="E26" s="15" t="s">
        <v>265</v>
      </c>
      <c r="F26" s="15" t="s">
        <v>266</v>
      </c>
      <c r="G26" s="15" t="s">
        <v>66</v>
      </c>
    </row>
    <row r="27" customFormat="false" ht="15" hidden="false" customHeight="false" outlineLevel="0" collapsed="false">
      <c r="A27" s="15" t="s">
        <v>119</v>
      </c>
      <c r="B27" s="15" t="s">
        <v>121</v>
      </c>
      <c r="C27" s="15" t="s">
        <v>112</v>
      </c>
      <c r="D27" s="16" t="s">
        <v>278</v>
      </c>
      <c r="E27" s="15" t="s">
        <v>265</v>
      </c>
      <c r="F27" s="15" t="s">
        <v>266</v>
      </c>
      <c r="G27" s="15" t="s">
        <v>66</v>
      </c>
    </row>
    <row r="28" customFormat="false" ht="15" hidden="false" customHeight="false" outlineLevel="0" collapsed="false">
      <c r="A28" s="15" t="s">
        <v>119</v>
      </c>
      <c r="B28" s="15" t="s">
        <v>121</v>
      </c>
      <c r="C28" s="15" t="s">
        <v>112</v>
      </c>
      <c r="D28" s="16" t="s">
        <v>279</v>
      </c>
      <c r="E28" s="15" t="s">
        <v>265</v>
      </c>
      <c r="F28" s="15" t="s">
        <v>266</v>
      </c>
      <c r="G28" s="15" t="s">
        <v>66</v>
      </c>
    </row>
    <row r="29" customFormat="false" ht="15" hidden="false" customHeight="false" outlineLevel="0" collapsed="false">
      <c r="A29" s="15" t="s">
        <v>119</v>
      </c>
      <c r="B29" s="15" t="s">
        <v>121</v>
      </c>
      <c r="C29" s="15" t="s">
        <v>112</v>
      </c>
      <c r="D29" s="16" t="s">
        <v>280</v>
      </c>
      <c r="E29" s="15" t="s">
        <v>265</v>
      </c>
      <c r="F29" s="15" t="s">
        <v>266</v>
      </c>
      <c r="G29" s="15" t="s">
        <v>66</v>
      </c>
    </row>
    <row r="30" customFormat="false" ht="23.85" hidden="false" customHeight="false" outlineLevel="0" collapsed="false">
      <c r="A30" s="15" t="s">
        <v>119</v>
      </c>
      <c r="B30" s="15" t="s">
        <v>121</v>
      </c>
      <c r="C30" s="15" t="s">
        <v>112</v>
      </c>
      <c r="D30" s="16" t="s">
        <v>281</v>
      </c>
      <c r="E30" s="15" t="s">
        <v>265</v>
      </c>
      <c r="F30" s="15" t="s">
        <v>266</v>
      </c>
      <c r="G30" s="15" t="s">
        <v>66</v>
      </c>
    </row>
    <row r="31" customFormat="false" ht="15" hidden="false" customHeight="false" outlineLevel="0" collapsed="false">
      <c r="A31" s="15" t="s">
        <v>119</v>
      </c>
      <c r="B31" s="15" t="s">
        <v>121</v>
      </c>
      <c r="C31" s="15" t="s">
        <v>112</v>
      </c>
      <c r="D31" s="16" t="s">
        <v>282</v>
      </c>
      <c r="E31" s="15" t="s">
        <v>265</v>
      </c>
      <c r="F31" s="15" t="s">
        <v>266</v>
      </c>
      <c r="G31" s="15" t="s">
        <v>66</v>
      </c>
    </row>
    <row r="32" customFormat="false" ht="15" hidden="false" customHeight="false" outlineLevel="0" collapsed="false">
      <c r="A32" s="15" t="s">
        <v>119</v>
      </c>
      <c r="B32" s="15" t="s">
        <v>121</v>
      </c>
      <c r="C32" s="15" t="s">
        <v>112</v>
      </c>
      <c r="D32" s="16" t="s">
        <v>283</v>
      </c>
      <c r="E32" s="15" t="s">
        <v>265</v>
      </c>
      <c r="F32" s="15" t="s">
        <v>266</v>
      </c>
      <c r="G32" s="15" t="s">
        <v>66</v>
      </c>
    </row>
    <row r="33" customFormat="false" ht="23.85" hidden="false" customHeight="false" outlineLevel="0" collapsed="false">
      <c r="A33" s="15" t="s">
        <v>100</v>
      </c>
      <c r="B33" s="15" t="s">
        <v>103</v>
      </c>
      <c r="C33" s="15" t="s">
        <v>102</v>
      </c>
      <c r="D33" s="16" t="s">
        <v>284</v>
      </c>
      <c r="E33" s="15" t="s">
        <v>142</v>
      </c>
      <c r="F33" s="15" t="s">
        <v>266</v>
      </c>
      <c r="G33" s="15" t="s">
        <v>66</v>
      </c>
    </row>
    <row r="34" customFormat="false" ht="23.85" hidden="false" customHeight="false" outlineLevel="0" collapsed="false">
      <c r="A34" s="15" t="s">
        <v>100</v>
      </c>
      <c r="B34" s="15" t="s">
        <v>103</v>
      </c>
      <c r="C34" s="15" t="s">
        <v>102</v>
      </c>
      <c r="D34" s="16" t="s">
        <v>285</v>
      </c>
      <c r="E34" s="15" t="s">
        <v>265</v>
      </c>
      <c r="F34" s="15" t="s">
        <v>266</v>
      </c>
      <c r="G34" s="15" t="s">
        <v>66</v>
      </c>
    </row>
    <row r="35" customFormat="false" ht="23.85" hidden="false" customHeight="false" outlineLevel="0" collapsed="false">
      <c r="A35" s="15" t="s">
        <v>100</v>
      </c>
      <c r="B35" s="15" t="s">
        <v>103</v>
      </c>
      <c r="C35" s="15" t="s">
        <v>102</v>
      </c>
      <c r="D35" s="16" t="s">
        <v>286</v>
      </c>
      <c r="E35" s="15" t="s">
        <v>265</v>
      </c>
      <c r="F35" s="15" t="s">
        <v>266</v>
      </c>
      <c r="G35" s="15" t="s">
        <v>66</v>
      </c>
    </row>
    <row r="36" customFormat="false" ht="15" hidden="false" customHeight="false" outlineLevel="0" collapsed="false">
      <c r="A36" s="15" t="s">
        <v>100</v>
      </c>
      <c r="B36" s="15" t="s">
        <v>103</v>
      </c>
      <c r="C36" s="15" t="s">
        <v>102</v>
      </c>
      <c r="D36" s="16" t="s">
        <v>287</v>
      </c>
      <c r="E36" s="15" t="s">
        <v>161</v>
      </c>
      <c r="F36" s="15" t="s">
        <v>266</v>
      </c>
      <c r="G36" s="15" t="s">
        <v>66</v>
      </c>
    </row>
    <row r="37" customFormat="false" ht="15" hidden="false" customHeight="false" outlineLevel="0" collapsed="false">
      <c r="A37" s="15" t="s">
        <v>100</v>
      </c>
      <c r="B37" s="15" t="s">
        <v>103</v>
      </c>
      <c r="C37" s="15" t="s">
        <v>102</v>
      </c>
      <c r="D37" s="16" t="s">
        <v>288</v>
      </c>
      <c r="E37" s="15" t="s">
        <v>161</v>
      </c>
      <c r="F37" s="15" t="s">
        <v>266</v>
      </c>
      <c r="G37" s="15" t="s">
        <v>66</v>
      </c>
    </row>
    <row r="38" customFormat="false" ht="23.85" hidden="false" customHeight="false" outlineLevel="0" collapsed="false">
      <c r="A38" s="15" t="s">
        <v>100</v>
      </c>
      <c r="B38" s="15" t="s">
        <v>103</v>
      </c>
      <c r="C38" s="15" t="s">
        <v>102</v>
      </c>
      <c r="D38" s="16" t="s">
        <v>289</v>
      </c>
      <c r="E38" s="15" t="s">
        <v>265</v>
      </c>
      <c r="F38" s="15" t="s">
        <v>266</v>
      </c>
      <c r="G38" s="15" t="s">
        <v>66</v>
      </c>
    </row>
    <row r="39" customFormat="false" ht="23.85" hidden="false" customHeight="false" outlineLevel="0" collapsed="false">
      <c r="A39" s="15" t="s">
        <v>100</v>
      </c>
      <c r="B39" s="15" t="s">
        <v>103</v>
      </c>
      <c r="C39" s="15" t="s">
        <v>102</v>
      </c>
      <c r="D39" s="16" t="s">
        <v>290</v>
      </c>
      <c r="E39" s="15" t="s">
        <v>142</v>
      </c>
      <c r="F39" s="15" t="s">
        <v>266</v>
      </c>
      <c r="G39" s="15" t="s">
        <v>66</v>
      </c>
    </row>
    <row r="40" customFormat="false" ht="23.85" hidden="false" customHeight="false" outlineLevel="0" collapsed="false">
      <c r="A40" s="15" t="s">
        <v>100</v>
      </c>
      <c r="B40" s="15" t="s">
        <v>103</v>
      </c>
      <c r="C40" s="15" t="s">
        <v>102</v>
      </c>
      <c r="D40" s="16" t="s">
        <v>291</v>
      </c>
      <c r="E40" s="15" t="s">
        <v>152</v>
      </c>
      <c r="F40" s="15" t="s">
        <v>266</v>
      </c>
      <c r="G40" s="15" t="s">
        <v>66</v>
      </c>
    </row>
    <row r="41" customFormat="false" ht="15" hidden="false" customHeight="false" outlineLevel="0" collapsed="false">
      <c r="A41" s="15" t="s">
        <v>100</v>
      </c>
      <c r="B41" s="15" t="s">
        <v>103</v>
      </c>
      <c r="C41" s="15" t="s">
        <v>102</v>
      </c>
      <c r="D41" s="16" t="s">
        <v>292</v>
      </c>
      <c r="E41" s="15" t="s">
        <v>152</v>
      </c>
      <c r="F41" s="15" t="s">
        <v>266</v>
      </c>
      <c r="G41" s="15" t="s">
        <v>66</v>
      </c>
    </row>
    <row r="42" customFormat="false" ht="23.85" hidden="false" customHeight="false" outlineLevel="0" collapsed="false">
      <c r="A42" s="15" t="s">
        <v>100</v>
      </c>
      <c r="B42" s="15" t="s">
        <v>103</v>
      </c>
      <c r="C42" s="15" t="s">
        <v>102</v>
      </c>
      <c r="D42" s="16" t="s">
        <v>293</v>
      </c>
      <c r="E42" s="15" t="s">
        <v>142</v>
      </c>
      <c r="F42" s="15" t="s">
        <v>266</v>
      </c>
      <c r="G42" s="15" t="s">
        <v>66</v>
      </c>
    </row>
    <row r="43" customFormat="false" ht="23.85" hidden="false" customHeight="false" outlineLevel="0" collapsed="false">
      <c r="A43" s="15" t="s">
        <v>100</v>
      </c>
      <c r="B43" s="15" t="s">
        <v>103</v>
      </c>
      <c r="C43" s="15" t="s">
        <v>102</v>
      </c>
      <c r="D43" s="16" t="s">
        <v>294</v>
      </c>
      <c r="E43" s="15" t="s">
        <v>265</v>
      </c>
      <c r="F43" s="15" t="s">
        <v>266</v>
      </c>
      <c r="G43" s="15" t="s">
        <v>66</v>
      </c>
    </row>
    <row r="44" customFormat="false" ht="23.85" hidden="false" customHeight="false" outlineLevel="0" collapsed="false">
      <c r="A44" s="15" t="s">
        <v>100</v>
      </c>
      <c r="B44" s="15" t="s">
        <v>103</v>
      </c>
      <c r="C44" s="15" t="s">
        <v>102</v>
      </c>
      <c r="D44" s="16" t="s">
        <v>295</v>
      </c>
      <c r="E44" s="15" t="s">
        <v>265</v>
      </c>
      <c r="F44" s="15" t="s">
        <v>266</v>
      </c>
      <c r="G44" s="15" t="s">
        <v>66</v>
      </c>
    </row>
    <row r="45" customFormat="false" ht="23.85" hidden="false" customHeight="false" outlineLevel="0" collapsed="false">
      <c r="A45" s="15" t="s">
        <v>100</v>
      </c>
      <c r="B45" s="15" t="s">
        <v>103</v>
      </c>
      <c r="C45" s="15" t="s">
        <v>102</v>
      </c>
      <c r="D45" s="16" t="s">
        <v>296</v>
      </c>
      <c r="E45" s="15" t="s">
        <v>265</v>
      </c>
      <c r="F45" s="15" t="s">
        <v>266</v>
      </c>
      <c r="G45" s="15" t="s">
        <v>66</v>
      </c>
    </row>
    <row r="46" customFormat="false" ht="15" hidden="false" customHeight="false" outlineLevel="0" collapsed="false">
      <c r="A46" s="15" t="s">
        <v>100</v>
      </c>
      <c r="B46" s="15" t="s">
        <v>103</v>
      </c>
      <c r="C46" s="15" t="s">
        <v>102</v>
      </c>
      <c r="D46" s="16" t="s">
        <v>297</v>
      </c>
      <c r="E46" s="15" t="s">
        <v>265</v>
      </c>
      <c r="F46" s="15" t="s">
        <v>266</v>
      </c>
      <c r="G46" s="15" t="s">
        <v>66</v>
      </c>
    </row>
    <row r="47" customFormat="false" ht="15" hidden="false" customHeight="false" outlineLevel="0" collapsed="false">
      <c r="A47" s="15" t="s">
        <v>107</v>
      </c>
      <c r="B47" s="15" t="s">
        <v>110</v>
      </c>
      <c r="C47" s="15" t="s">
        <v>109</v>
      </c>
      <c r="D47" s="16" t="s">
        <v>298</v>
      </c>
      <c r="E47" s="15" t="s">
        <v>152</v>
      </c>
      <c r="F47" s="15" t="s">
        <v>266</v>
      </c>
      <c r="G47" s="15" t="s">
        <v>66</v>
      </c>
    </row>
    <row r="48" customFormat="false" ht="15" hidden="false" customHeight="false" outlineLevel="0" collapsed="false">
      <c r="A48" s="15" t="s">
        <v>107</v>
      </c>
      <c r="B48" s="15" t="s">
        <v>110</v>
      </c>
      <c r="C48" s="15" t="s">
        <v>109</v>
      </c>
      <c r="D48" s="16" t="s">
        <v>299</v>
      </c>
      <c r="E48" s="15" t="s">
        <v>265</v>
      </c>
      <c r="F48" s="15" t="s">
        <v>266</v>
      </c>
      <c r="G48" s="15" t="s">
        <v>66</v>
      </c>
    </row>
    <row r="49" customFormat="false" ht="15" hidden="false" customHeight="false" outlineLevel="0" collapsed="false">
      <c r="A49" s="15" t="s">
        <v>107</v>
      </c>
      <c r="B49" s="15" t="s">
        <v>110</v>
      </c>
      <c r="C49" s="15" t="s">
        <v>109</v>
      </c>
      <c r="D49" s="16" t="s">
        <v>300</v>
      </c>
      <c r="E49" s="15" t="s">
        <v>265</v>
      </c>
      <c r="F49" s="15" t="s">
        <v>266</v>
      </c>
      <c r="G49" s="15" t="s">
        <v>66</v>
      </c>
    </row>
    <row r="50" customFormat="false" ht="15" hidden="false" customHeight="false" outlineLevel="0" collapsed="false">
      <c r="A50" s="15" t="s">
        <v>107</v>
      </c>
      <c r="B50" s="15" t="s">
        <v>110</v>
      </c>
      <c r="C50" s="15" t="s">
        <v>109</v>
      </c>
      <c r="D50" s="16" t="s">
        <v>301</v>
      </c>
      <c r="E50" s="15" t="s">
        <v>265</v>
      </c>
      <c r="F50" s="15" t="s">
        <v>266</v>
      </c>
      <c r="G50" s="15" t="s">
        <v>66</v>
      </c>
    </row>
    <row r="51" customFormat="false" ht="15" hidden="false" customHeight="false" outlineLevel="0" collapsed="false">
      <c r="A51" s="15" t="s">
        <v>107</v>
      </c>
      <c r="B51" s="15" t="s">
        <v>110</v>
      </c>
      <c r="C51" s="15" t="s">
        <v>109</v>
      </c>
      <c r="D51" s="16" t="s">
        <v>302</v>
      </c>
      <c r="E51" s="15" t="s">
        <v>161</v>
      </c>
      <c r="F51" s="15" t="s">
        <v>266</v>
      </c>
      <c r="G51" s="15" t="s">
        <v>66</v>
      </c>
    </row>
    <row r="52" customFormat="false" ht="15" hidden="false" customHeight="false" outlineLevel="0" collapsed="false">
      <c r="A52" s="15" t="s">
        <v>107</v>
      </c>
      <c r="B52" s="15" t="s">
        <v>110</v>
      </c>
      <c r="C52" s="15" t="s">
        <v>109</v>
      </c>
      <c r="D52" s="16" t="s">
        <v>303</v>
      </c>
      <c r="E52" s="15" t="s">
        <v>265</v>
      </c>
      <c r="F52" s="15" t="s">
        <v>266</v>
      </c>
      <c r="G52" s="15" t="s">
        <v>66</v>
      </c>
    </row>
    <row r="53" customFormat="false" ht="15" hidden="false" customHeight="false" outlineLevel="0" collapsed="false">
      <c r="A53" s="15" t="s">
        <v>107</v>
      </c>
      <c r="B53" s="15" t="s">
        <v>110</v>
      </c>
      <c r="C53" s="15" t="s">
        <v>109</v>
      </c>
      <c r="D53" s="16" t="s">
        <v>304</v>
      </c>
      <c r="E53" s="15" t="s">
        <v>161</v>
      </c>
      <c r="F53" s="15" t="s">
        <v>266</v>
      </c>
      <c r="G53" s="15" t="s">
        <v>66</v>
      </c>
    </row>
    <row r="54" customFormat="false" ht="15" hidden="false" customHeight="false" outlineLevel="0" collapsed="false">
      <c r="A54" s="15" t="s">
        <v>107</v>
      </c>
      <c r="B54" s="15" t="s">
        <v>110</v>
      </c>
      <c r="C54" s="15" t="s">
        <v>109</v>
      </c>
      <c r="D54" s="16" t="s">
        <v>305</v>
      </c>
      <c r="E54" s="15" t="s">
        <v>265</v>
      </c>
      <c r="F54" s="15" t="s">
        <v>266</v>
      </c>
      <c r="G54" s="15" t="s">
        <v>66</v>
      </c>
    </row>
    <row r="55" customFormat="false" ht="15" hidden="false" customHeight="false" outlineLevel="0" collapsed="false">
      <c r="A55" s="15" t="s">
        <v>107</v>
      </c>
      <c r="B55" s="15" t="s">
        <v>110</v>
      </c>
      <c r="C55" s="15" t="s">
        <v>109</v>
      </c>
      <c r="D55" s="16" t="s">
        <v>306</v>
      </c>
      <c r="E55" s="15" t="s">
        <v>265</v>
      </c>
      <c r="F55" s="15" t="s">
        <v>266</v>
      </c>
      <c r="G55" s="15" t="s">
        <v>66</v>
      </c>
    </row>
    <row r="56" customFormat="false" ht="15" hidden="false" customHeight="false" outlineLevel="0" collapsed="false">
      <c r="A56" s="15" t="s">
        <v>107</v>
      </c>
      <c r="B56" s="15" t="s">
        <v>110</v>
      </c>
      <c r="C56" s="15" t="s">
        <v>109</v>
      </c>
      <c r="D56" s="16" t="s">
        <v>307</v>
      </c>
      <c r="E56" s="15" t="s">
        <v>265</v>
      </c>
      <c r="F56" s="15" t="s">
        <v>266</v>
      </c>
      <c r="G56" s="15" t="s">
        <v>66</v>
      </c>
    </row>
    <row r="57" customFormat="false" ht="15" hidden="false" customHeight="false" outlineLevel="0" collapsed="false">
      <c r="A57" s="15" t="s">
        <v>107</v>
      </c>
      <c r="B57" s="15" t="s">
        <v>110</v>
      </c>
      <c r="C57" s="15" t="s">
        <v>109</v>
      </c>
      <c r="D57" s="16" t="s">
        <v>308</v>
      </c>
      <c r="E57" s="15" t="s">
        <v>161</v>
      </c>
      <c r="F57" s="15" t="s">
        <v>266</v>
      </c>
      <c r="G57" s="15" t="s">
        <v>66</v>
      </c>
    </row>
    <row r="58" customFormat="false" ht="15" hidden="false" customHeight="false" outlineLevel="0" collapsed="false">
      <c r="A58" s="15" t="s">
        <v>107</v>
      </c>
      <c r="B58" s="15" t="s">
        <v>110</v>
      </c>
      <c r="C58" s="15" t="s">
        <v>109</v>
      </c>
      <c r="D58" s="16" t="s">
        <v>309</v>
      </c>
      <c r="E58" s="15" t="s">
        <v>265</v>
      </c>
      <c r="F58" s="15" t="s">
        <v>266</v>
      </c>
      <c r="G58" s="15" t="s">
        <v>66</v>
      </c>
    </row>
    <row r="59" customFormat="false" ht="23.85" hidden="false" customHeight="false" outlineLevel="0" collapsed="false">
      <c r="A59" s="15" t="s">
        <v>114</v>
      </c>
      <c r="B59" s="15" t="s">
        <v>116</v>
      </c>
      <c r="C59" s="15" t="s">
        <v>112</v>
      </c>
      <c r="D59" s="16" t="s">
        <v>310</v>
      </c>
      <c r="E59" s="15" t="s">
        <v>265</v>
      </c>
      <c r="F59" s="15" t="s">
        <v>266</v>
      </c>
      <c r="G59" s="15" t="s">
        <v>66</v>
      </c>
    </row>
    <row r="60" customFormat="false" ht="15" hidden="false" customHeight="false" outlineLevel="0" collapsed="false">
      <c r="A60" s="15" t="s">
        <v>114</v>
      </c>
      <c r="B60" s="15" t="s">
        <v>116</v>
      </c>
      <c r="C60" s="15" t="s">
        <v>112</v>
      </c>
      <c r="D60" s="16" t="s">
        <v>311</v>
      </c>
      <c r="E60" s="15" t="s">
        <v>265</v>
      </c>
      <c r="F60" s="15" t="s">
        <v>266</v>
      </c>
      <c r="G60" s="15" t="s">
        <v>66</v>
      </c>
    </row>
    <row r="61" customFormat="false" ht="15" hidden="false" customHeight="false" outlineLevel="0" collapsed="false">
      <c r="A61" s="15" t="s">
        <v>114</v>
      </c>
      <c r="B61" s="15" t="s">
        <v>116</v>
      </c>
      <c r="C61" s="15" t="s">
        <v>112</v>
      </c>
      <c r="D61" s="16" t="s">
        <v>312</v>
      </c>
      <c r="E61" s="15" t="s">
        <v>265</v>
      </c>
      <c r="F61" s="15" t="s">
        <v>266</v>
      </c>
      <c r="G61" s="15" t="s">
        <v>66</v>
      </c>
    </row>
    <row r="62" customFormat="false" ht="15" hidden="false" customHeight="false" outlineLevel="0" collapsed="false">
      <c r="A62" s="15" t="s">
        <v>114</v>
      </c>
      <c r="B62" s="15" t="s">
        <v>116</v>
      </c>
      <c r="C62" s="15" t="s">
        <v>112</v>
      </c>
      <c r="D62" s="16" t="s">
        <v>313</v>
      </c>
      <c r="E62" s="15" t="s">
        <v>265</v>
      </c>
      <c r="F62" s="15" t="s">
        <v>266</v>
      </c>
      <c r="G62" s="15" t="s">
        <v>66</v>
      </c>
    </row>
    <row r="63" customFormat="false" ht="15" hidden="false" customHeight="false" outlineLevel="0" collapsed="false">
      <c r="A63" s="15" t="s">
        <v>114</v>
      </c>
      <c r="B63" s="15" t="s">
        <v>116</v>
      </c>
      <c r="C63" s="15" t="s">
        <v>112</v>
      </c>
      <c r="D63" s="16" t="s">
        <v>314</v>
      </c>
      <c r="E63" s="15" t="s">
        <v>265</v>
      </c>
      <c r="F63" s="15" t="s">
        <v>266</v>
      </c>
      <c r="G63" s="15" t="s">
        <v>66</v>
      </c>
    </row>
    <row r="64" customFormat="false" ht="15" hidden="false" customHeight="false" outlineLevel="0" collapsed="false">
      <c r="A64" s="15" t="s">
        <v>114</v>
      </c>
      <c r="B64" s="15" t="s">
        <v>116</v>
      </c>
      <c r="C64" s="15" t="s">
        <v>112</v>
      </c>
      <c r="D64" s="16" t="s">
        <v>315</v>
      </c>
      <c r="E64" s="15" t="s">
        <v>265</v>
      </c>
      <c r="F64" s="15" t="s">
        <v>266</v>
      </c>
      <c r="G64" s="15" t="s">
        <v>66</v>
      </c>
    </row>
    <row r="65" customFormat="false" ht="15" hidden="false" customHeight="false" outlineLevel="0" collapsed="false">
      <c r="A65" s="15" t="s">
        <v>114</v>
      </c>
      <c r="B65" s="15" t="s">
        <v>116</v>
      </c>
      <c r="C65" s="15" t="s">
        <v>112</v>
      </c>
      <c r="D65" s="16" t="s">
        <v>316</v>
      </c>
      <c r="E65" s="15" t="s">
        <v>265</v>
      </c>
      <c r="F65" s="15" t="s">
        <v>266</v>
      </c>
      <c r="G65" s="15" t="s">
        <v>66</v>
      </c>
    </row>
    <row r="66" customFormat="false" ht="15" hidden="false" customHeight="false" outlineLevel="0" collapsed="false">
      <c r="A66" s="15" t="s">
        <v>114</v>
      </c>
      <c r="B66" s="15" t="s">
        <v>116</v>
      </c>
      <c r="C66" s="15" t="s">
        <v>112</v>
      </c>
      <c r="D66" s="16" t="s">
        <v>317</v>
      </c>
      <c r="E66" s="15" t="s">
        <v>265</v>
      </c>
      <c r="F66" s="15" t="s">
        <v>266</v>
      </c>
      <c r="G66" s="15" t="s">
        <v>66</v>
      </c>
    </row>
    <row r="67" customFormat="false" ht="15" hidden="false" customHeight="false" outlineLevel="0" collapsed="false">
      <c r="A67" s="15" t="s">
        <v>114</v>
      </c>
      <c r="B67" s="15" t="s">
        <v>116</v>
      </c>
      <c r="C67" s="15" t="s">
        <v>112</v>
      </c>
      <c r="D67" s="16" t="s">
        <v>318</v>
      </c>
      <c r="E67" s="15" t="s">
        <v>265</v>
      </c>
      <c r="F67" s="15" t="s">
        <v>266</v>
      </c>
      <c r="G67" s="15" t="s">
        <v>66</v>
      </c>
    </row>
    <row r="68" customFormat="false" ht="23.85" hidden="false" customHeight="false" outlineLevel="0" collapsed="false">
      <c r="A68" s="15" t="s">
        <v>114</v>
      </c>
      <c r="B68" s="15" t="s">
        <v>116</v>
      </c>
      <c r="C68" s="15" t="s">
        <v>112</v>
      </c>
      <c r="D68" s="16" t="s">
        <v>319</v>
      </c>
      <c r="E68" s="15" t="s">
        <v>265</v>
      </c>
      <c r="F68" s="15" t="s">
        <v>266</v>
      </c>
      <c r="G68" s="15" t="s">
        <v>66</v>
      </c>
    </row>
    <row r="69" customFormat="false" ht="15" hidden="false" customHeight="false" outlineLevel="0" collapsed="false">
      <c r="A69" s="15" t="s">
        <v>114</v>
      </c>
      <c r="B69" s="15" t="s">
        <v>116</v>
      </c>
      <c r="C69" s="15" t="s">
        <v>112</v>
      </c>
      <c r="D69" s="16" t="s">
        <v>320</v>
      </c>
      <c r="E69" s="15" t="s">
        <v>265</v>
      </c>
      <c r="F69" s="15" t="s">
        <v>266</v>
      </c>
      <c r="G69" s="15" t="s">
        <v>66</v>
      </c>
    </row>
    <row r="70" customFormat="false" ht="15" hidden="false" customHeight="false" outlineLevel="0" collapsed="false">
      <c r="A70" s="15" t="s">
        <v>114</v>
      </c>
      <c r="B70" s="15" t="s">
        <v>116</v>
      </c>
      <c r="C70" s="15" t="s">
        <v>112</v>
      </c>
      <c r="D70" s="16" t="s">
        <v>321</v>
      </c>
      <c r="E70" s="15" t="s">
        <v>265</v>
      </c>
      <c r="F70" s="15" t="s">
        <v>266</v>
      </c>
      <c r="G70" s="15" t="s">
        <v>66</v>
      </c>
    </row>
    <row r="71" customFormat="false" ht="15" hidden="false" customHeight="false" outlineLevel="0" collapsed="false">
      <c r="A71" s="15" t="s">
        <v>114</v>
      </c>
      <c r="B71" s="15" t="s">
        <v>116</v>
      </c>
      <c r="C71" s="15" t="s">
        <v>112</v>
      </c>
      <c r="D71" s="16" t="s">
        <v>322</v>
      </c>
      <c r="E71" s="15" t="s">
        <v>265</v>
      </c>
      <c r="F71" s="15" t="s">
        <v>266</v>
      </c>
      <c r="G71" s="15" t="s">
        <v>66</v>
      </c>
    </row>
    <row r="72" customFormat="false" ht="15" hidden="false" customHeight="false" outlineLevel="0" collapsed="false">
      <c r="A72" s="15" t="s">
        <v>114</v>
      </c>
      <c r="B72" s="15" t="s">
        <v>116</v>
      </c>
      <c r="C72" s="15" t="s">
        <v>112</v>
      </c>
      <c r="D72" s="16" t="s">
        <v>323</v>
      </c>
      <c r="E72" s="15" t="s">
        <v>265</v>
      </c>
      <c r="F72" s="15" t="s">
        <v>266</v>
      </c>
      <c r="G72" s="15" t="s">
        <v>66</v>
      </c>
    </row>
    <row r="73" customFormat="false" ht="15" hidden="false" customHeight="false" outlineLevel="0" collapsed="false">
      <c r="A73" s="15" t="s">
        <v>114</v>
      </c>
      <c r="B73" s="15" t="s">
        <v>116</v>
      </c>
      <c r="C73" s="15" t="s">
        <v>112</v>
      </c>
      <c r="D73" s="16" t="s">
        <v>324</v>
      </c>
      <c r="E73" s="15" t="s">
        <v>265</v>
      </c>
      <c r="F73" s="15" t="s">
        <v>266</v>
      </c>
      <c r="G73" s="15" t="s">
        <v>66</v>
      </c>
    </row>
    <row r="74" customFormat="false" ht="15" hidden="false" customHeight="false" outlineLevel="0" collapsed="false">
      <c r="A74" s="15" t="s">
        <v>114</v>
      </c>
      <c r="B74" s="15" t="s">
        <v>116</v>
      </c>
      <c r="C74" s="15" t="s">
        <v>112</v>
      </c>
      <c r="D74" s="16" t="s">
        <v>325</v>
      </c>
      <c r="E74" s="15" t="s">
        <v>265</v>
      </c>
      <c r="F74" s="15" t="s">
        <v>266</v>
      </c>
      <c r="G74" s="15" t="s">
        <v>66</v>
      </c>
    </row>
    <row r="75" customFormat="false" ht="15" hidden="false" customHeight="false" outlineLevel="0" collapsed="false">
      <c r="A75" s="15" t="s">
        <v>114</v>
      </c>
      <c r="B75" s="15" t="s">
        <v>116</v>
      </c>
      <c r="C75" s="15" t="s">
        <v>112</v>
      </c>
      <c r="D75" s="16" t="s">
        <v>326</v>
      </c>
      <c r="E75" s="15" t="s">
        <v>265</v>
      </c>
      <c r="F75" s="15" t="s">
        <v>266</v>
      </c>
      <c r="G75" s="15" t="s">
        <v>66</v>
      </c>
    </row>
    <row r="76" customFormat="false" ht="15" hidden="false" customHeight="false" outlineLevel="0" collapsed="false">
      <c r="A76" s="15" t="s">
        <v>114</v>
      </c>
      <c r="B76" s="15" t="s">
        <v>116</v>
      </c>
      <c r="C76" s="15" t="s">
        <v>112</v>
      </c>
      <c r="D76" s="16" t="s">
        <v>327</v>
      </c>
      <c r="E76" s="15" t="s">
        <v>265</v>
      </c>
      <c r="F76" s="15" t="s">
        <v>266</v>
      </c>
      <c r="G76" s="15" t="s">
        <v>66</v>
      </c>
    </row>
    <row r="77" customFormat="false" ht="15" hidden="false" customHeight="false" outlineLevel="0" collapsed="false">
      <c r="A77" s="15" t="s">
        <v>114</v>
      </c>
      <c r="B77" s="15" t="s">
        <v>116</v>
      </c>
      <c r="C77" s="15" t="s">
        <v>112</v>
      </c>
      <c r="D77" s="16" t="s">
        <v>328</v>
      </c>
      <c r="E77" s="15" t="s">
        <v>265</v>
      </c>
      <c r="F77" s="15" t="s">
        <v>266</v>
      </c>
      <c r="G77" s="15" t="s">
        <v>66</v>
      </c>
    </row>
    <row r="78" customFormat="false" ht="15" hidden="false" customHeight="false" outlineLevel="0" collapsed="false">
      <c r="A78" s="15" t="s">
        <v>127</v>
      </c>
      <c r="B78" s="15" t="s">
        <v>126</v>
      </c>
      <c r="C78" s="15" t="s">
        <v>99</v>
      </c>
      <c r="D78" s="16" t="s">
        <v>329</v>
      </c>
      <c r="E78" s="15" t="s">
        <v>265</v>
      </c>
      <c r="F78" s="15" t="s">
        <v>266</v>
      </c>
      <c r="G78" s="15" t="s">
        <v>66</v>
      </c>
    </row>
    <row r="79" customFormat="false" ht="15" hidden="false" customHeight="false" outlineLevel="0" collapsed="false">
      <c r="A79" s="15" t="s">
        <v>127</v>
      </c>
      <c r="B79" s="15" t="s">
        <v>126</v>
      </c>
      <c r="C79" s="15" t="s">
        <v>99</v>
      </c>
      <c r="D79" s="16" t="s">
        <v>330</v>
      </c>
      <c r="E79" s="15" t="s">
        <v>265</v>
      </c>
      <c r="F79" s="15" t="s">
        <v>266</v>
      </c>
      <c r="G79" s="15" t="s">
        <v>66</v>
      </c>
    </row>
    <row r="80" customFormat="false" ht="15" hidden="false" customHeight="false" outlineLevel="0" collapsed="false">
      <c r="A80" s="15" t="s">
        <v>127</v>
      </c>
      <c r="B80" s="15" t="s">
        <v>126</v>
      </c>
      <c r="C80" s="15" t="s">
        <v>99</v>
      </c>
      <c r="D80" s="16" t="s">
        <v>331</v>
      </c>
      <c r="E80" s="15" t="s">
        <v>265</v>
      </c>
      <c r="F80" s="15" t="s">
        <v>266</v>
      </c>
      <c r="G80" s="15" t="s">
        <v>66</v>
      </c>
    </row>
    <row r="81" customFormat="false" ht="23.85" hidden="false" customHeight="false" outlineLevel="0" collapsed="false">
      <c r="A81" s="15" t="s">
        <v>127</v>
      </c>
      <c r="B81" s="15" t="s">
        <v>126</v>
      </c>
      <c r="C81" s="15" t="s">
        <v>99</v>
      </c>
      <c r="D81" s="16" t="s">
        <v>332</v>
      </c>
      <c r="E81" s="15" t="s">
        <v>265</v>
      </c>
      <c r="F81" s="15" t="s">
        <v>266</v>
      </c>
      <c r="G81" s="15" t="s">
        <v>66</v>
      </c>
    </row>
    <row r="82" customFormat="false" ht="15" hidden="false" customHeight="false" outlineLevel="0" collapsed="false">
      <c r="A82" s="15" t="s">
        <v>127</v>
      </c>
      <c r="B82" s="15" t="s">
        <v>126</v>
      </c>
      <c r="C82" s="15" t="s">
        <v>99</v>
      </c>
      <c r="D82" s="16" t="s">
        <v>333</v>
      </c>
      <c r="E82" s="15" t="s">
        <v>265</v>
      </c>
      <c r="F82" s="15" t="s">
        <v>266</v>
      </c>
      <c r="G82" s="15" t="s">
        <v>66</v>
      </c>
    </row>
    <row r="83" customFormat="false" ht="15" hidden="false" customHeight="false" outlineLevel="0" collapsed="false">
      <c r="A83" s="15" t="s">
        <v>127</v>
      </c>
      <c r="B83" s="15" t="s">
        <v>126</v>
      </c>
      <c r="C83" s="15" t="s">
        <v>99</v>
      </c>
      <c r="D83" s="16" t="s">
        <v>334</v>
      </c>
      <c r="E83" s="15" t="s">
        <v>265</v>
      </c>
      <c r="F83" s="15" t="s">
        <v>266</v>
      </c>
      <c r="G83" s="15" t="s">
        <v>66</v>
      </c>
    </row>
    <row r="84" customFormat="false" ht="23.85" hidden="false" customHeight="false" outlineLevel="0" collapsed="false">
      <c r="A84" s="15" t="s">
        <v>127</v>
      </c>
      <c r="B84" s="15" t="s">
        <v>126</v>
      </c>
      <c r="C84" s="15" t="s">
        <v>99</v>
      </c>
      <c r="D84" s="16" t="s">
        <v>335</v>
      </c>
      <c r="E84" s="15" t="s">
        <v>265</v>
      </c>
      <c r="F84" s="15" t="s">
        <v>266</v>
      </c>
      <c r="G84" s="15" t="s">
        <v>66</v>
      </c>
    </row>
    <row r="85" customFormat="false" ht="15" hidden="false" customHeight="false" outlineLevel="0" collapsed="false">
      <c r="A85" s="15" t="s">
        <v>127</v>
      </c>
      <c r="B85" s="15" t="s">
        <v>126</v>
      </c>
      <c r="C85" s="15" t="s">
        <v>99</v>
      </c>
      <c r="D85" s="16" t="s">
        <v>336</v>
      </c>
      <c r="E85" s="15" t="s">
        <v>265</v>
      </c>
      <c r="F85" s="15" t="s">
        <v>266</v>
      </c>
      <c r="G85" s="15" t="s">
        <v>66</v>
      </c>
    </row>
    <row r="86" customFormat="false" ht="23.85" hidden="false" customHeight="false" outlineLevel="0" collapsed="false">
      <c r="A86" s="15" t="s">
        <v>127</v>
      </c>
      <c r="B86" s="15" t="s">
        <v>126</v>
      </c>
      <c r="C86" s="15" t="s">
        <v>99</v>
      </c>
      <c r="D86" s="16" t="s">
        <v>337</v>
      </c>
      <c r="E86" s="15" t="s">
        <v>265</v>
      </c>
      <c r="F86" s="15" t="s">
        <v>266</v>
      </c>
      <c r="G86" s="15" t="s">
        <v>66</v>
      </c>
    </row>
    <row r="87" customFormat="false" ht="23.85" hidden="false" customHeight="false" outlineLevel="0" collapsed="false">
      <c r="A87" s="15" t="s">
        <v>127</v>
      </c>
      <c r="B87" s="15" t="s">
        <v>126</v>
      </c>
      <c r="C87" s="15" t="s">
        <v>99</v>
      </c>
      <c r="D87" s="16" t="s">
        <v>338</v>
      </c>
      <c r="E87" s="15" t="s">
        <v>265</v>
      </c>
      <c r="F87" s="15" t="s">
        <v>266</v>
      </c>
      <c r="G87" s="15" t="s">
        <v>66</v>
      </c>
    </row>
    <row r="88" customFormat="false" ht="23.85" hidden="false" customHeight="false" outlineLevel="0" collapsed="false">
      <c r="A88" s="15" t="s">
        <v>127</v>
      </c>
      <c r="B88" s="15" t="s">
        <v>126</v>
      </c>
      <c r="C88" s="15" t="s">
        <v>99</v>
      </c>
      <c r="D88" s="16" t="s">
        <v>339</v>
      </c>
      <c r="E88" s="15" t="s">
        <v>265</v>
      </c>
      <c r="F88" s="15" t="s">
        <v>266</v>
      </c>
      <c r="G88" s="15" t="s">
        <v>66</v>
      </c>
    </row>
    <row r="89" customFormat="false" ht="15" hidden="false" customHeight="false" outlineLevel="0" collapsed="false">
      <c r="A89" s="15" t="s">
        <v>127</v>
      </c>
      <c r="B89" s="15" t="s">
        <v>126</v>
      </c>
      <c r="C89" s="15" t="s">
        <v>99</v>
      </c>
      <c r="D89" s="16" t="s">
        <v>340</v>
      </c>
      <c r="E89" s="15" t="s">
        <v>265</v>
      </c>
      <c r="F89" s="15" t="s">
        <v>266</v>
      </c>
      <c r="G89" s="15" t="s">
        <v>66</v>
      </c>
    </row>
    <row r="90" customFormat="false" ht="15" hidden="false" customHeight="false" outlineLevel="0" collapsed="false">
      <c r="A90" s="15" t="s">
        <v>127</v>
      </c>
      <c r="B90" s="15" t="s">
        <v>126</v>
      </c>
      <c r="C90" s="15" t="s">
        <v>99</v>
      </c>
      <c r="D90" s="16" t="s">
        <v>341</v>
      </c>
      <c r="E90" s="15" t="s">
        <v>265</v>
      </c>
      <c r="F90" s="15" t="s">
        <v>266</v>
      </c>
      <c r="G90" s="15" t="s">
        <v>66</v>
      </c>
    </row>
    <row r="91" customFormat="false" ht="15" hidden="false" customHeight="false" outlineLevel="0" collapsed="false">
      <c r="A91" s="15" t="s">
        <v>127</v>
      </c>
      <c r="B91" s="15" t="s">
        <v>126</v>
      </c>
      <c r="C91" s="15" t="s">
        <v>99</v>
      </c>
      <c r="D91" s="16" t="s">
        <v>342</v>
      </c>
      <c r="E91" s="15" t="s">
        <v>265</v>
      </c>
      <c r="F91" s="15" t="s">
        <v>266</v>
      </c>
      <c r="G91" s="15" t="s">
        <v>66</v>
      </c>
    </row>
    <row r="92" customFormat="false" ht="15" hidden="false" customHeight="false" outlineLevel="0" collapsed="false">
      <c r="A92" s="15" t="s">
        <v>127</v>
      </c>
      <c r="B92" s="15" t="s">
        <v>126</v>
      </c>
      <c r="C92" s="15" t="s">
        <v>99</v>
      </c>
      <c r="D92" s="16" t="s">
        <v>343</v>
      </c>
      <c r="E92" s="15" t="s">
        <v>265</v>
      </c>
      <c r="F92" s="15" t="s">
        <v>266</v>
      </c>
      <c r="G92" s="15" t="s">
        <v>66</v>
      </c>
    </row>
    <row r="93" customFormat="false" ht="23.85" hidden="false" customHeight="false" outlineLevel="0" collapsed="false">
      <c r="A93" s="17" t="s">
        <v>98</v>
      </c>
      <c r="B93" s="17" t="s">
        <v>97</v>
      </c>
      <c r="C93" s="17" t="s">
        <v>99</v>
      </c>
      <c r="D93" s="18" t="s">
        <v>344</v>
      </c>
      <c r="E93" s="17"/>
      <c r="F93" s="17" t="s">
        <v>345</v>
      </c>
      <c r="G93" s="17" t="s">
        <v>66</v>
      </c>
    </row>
    <row r="94" customFormat="false" ht="23.85" hidden="false" customHeight="false" outlineLevel="0" collapsed="false">
      <c r="A94" s="17" t="s">
        <v>104</v>
      </c>
      <c r="B94" s="17" t="s">
        <v>106</v>
      </c>
      <c r="C94" s="17" t="s">
        <v>105</v>
      </c>
      <c r="D94" s="18" t="s">
        <v>344</v>
      </c>
      <c r="E94" s="17"/>
      <c r="F94" s="17" t="s">
        <v>345</v>
      </c>
      <c r="G94" s="17" t="s">
        <v>66</v>
      </c>
    </row>
    <row r="95" customFormat="false" ht="23.85" hidden="false" customHeight="false" outlineLevel="0" collapsed="false">
      <c r="A95" s="17" t="s">
        <v>111</v>
      </c>
      <c r="B95" s="17" t="s">
        <v>113</v>
      </c>
      <c r="C95" s="17" t="s">
        <v>112</v>
      </c>
      <c r="D95" s="18" t="s">
        <v>344</v>
      </c>
      <c r="E95" s="17"/>
      <c r="F95" s="17" t="s">
        <v>345</v>
      </c>
      <c r="G95" s="17" t="s">
        <v>66</v>
      </c>
    </row>
    <row r="96" customFormat="false" ht="23.85" hidden="false" customHeight="false" outlineLevel="0" collapsed="false">
      <c r="A96" s="17" t="s">
        <v>117</v>
      </c>
      <c r="B96" s="17" t="s">
        <v>118</v>
      </c>
      <c r="C96" s="17" t="s">
        <v>99</v>
      </c>
      <c r="D96" s="18" t="s">
        <v>344</v>
      </c>
      <c r="E96" s="17"/>
      <c r="F96" s="17" t="s">
        <v>345</v>
      </c>
      <c r="G96" s="17" t="s">
        <v>66</v>
      </c>
    </row>
    <row r="97" customFormat="false" ht="23.85" hidden="false" customHeight="false" outlineLevel="0" collapsed="false">
      <c r="A97" s="17" t="s">
        <v>122</v>
      </c>
      <c r="B97" s="17" t="s">
        <v>124</v>
      </c>
      <c r="C97" s="17" t="s">
        <v>123</v>
      </c>
      <c r="D97" s="18" t="s">
        <v>344</v>
      </c>
      <c r="E97" s="17"/>
      <c r="F97" s="17" t="s">
        <v>345</v>
      </c>
      <c r="G97" s="17" t="s">
        <v>66</v>
      </c>
    </row>
    <row r="98" customFormat="false" ht="23.85" hidden="false" customHeight="false" outlineLevel="0" collapsed="false">
      <c r="A98" s="17" t="s">
        <v>125</v>
      </c>
      <c r="B98" s="17" t="s">
        <v>126</v>
      </c>
      <c r="C98" s="17" t="s">
        <v>99</v>
      </c>
      <c r="D98" s="18" t="s">
        <v>344</v>
      </c>
      <c r="E98" s="17"/>
      <c r="F98" s="17" t="s">
        <v>345</v>
      </c>
      <c r="G98" s="17" t="s">
        <v>66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3" activeCellId="0" sqref="G1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346</v>
      </c>
    </row>
    <row r="2" customFormat="false" ht="15" hidden="false" customHeight="true" outlineLevel="0" collapsed="false">
      <c r="A2" s="7" t="s">
        <v>347</v>
      </c>
    </row>
    <row r="3" customFormat="false" ht="14.25" hidden="false" customHeight="true" outlineLevel="0" collapsed="false">
      <c r="I3" s="9" t="s">
        <v>348</v>
      </c>
      <c r="J3" s="9" t="s">
        <v>349</v>
      </c>
    </row>
    <row r="4" customFormat="false" ht="31.5" hidden="false" customHeight="true" outlineLevel="0" collapsed="false">
      <c r="A4" s="10" t="s">
        <v>350</v>
      </c>
      <c r="B4" s="10" t="s">
        <v>80</v>
      </c>
      <c r="C4" s="10" t="s">
        <v>130</v>
      </c>
      <c r="D4" s="10" t="s">
        <v>351</v>
      </c>
      <c r="E4" s="10" t="s">
        <v>352</v>
      </c>
      <c r="F4" s="10" t="s">
        <v>353</v>
      </c>
      <c r="G4" s="10" t="s">
        <v>83</v>
      </c>
      <c r="H4" s="10" t="s">
        <v>354</v>
      </c>
      <c r="I4" s="1" t="str">
        <f aca="false">IFERROR(VLOOKUP(E4,'Task Master'!$A:$O,15,FALSE()),"")</f>
        <v/>
      </c>
      <c r="J4" s="19"/>
    </row>
    <row r="5" customFormat="false" ht="15" hidden="false" customHeight="true" outlineLevel="0" collapsed="false">
      <c r="A5" s="20" t="s">
        <v>355</v>
      </c>
      <c r="B5" s="20" t="s">
        <v>94</v>
      </c>
      <c r="C5" s="20" t="s">
        <v>141</v>
      </c>
      <c r="D5" s="20" t="s">
        <v>356</v>
      </c>
      <c r="E5" s="20" t="s">
        <v>140</v>
      </c>
      <c r="F5" s="20" t="s">
        <v>92</v>
      </c>
      <c r="G5" s="20" t="s">
        <v>56</v>
      </c>
      <c r="H5" s="20" t="s">
        <v>66</v>
      </c>
      <c r="I5" s="1" t="str">
        <f aca="false">IFERROR(VLOOKUP(E5,'Task Master'!$A:$O,15,FALSE()),"")</f>
        <v>Low</v>
      </c>
      <c r="J5" s="19"/>
    </row>
    <row r="6" customFormat="false" ht="15" hidden="false" customHeight="true" outlineLevel="0" collapsed="false">
      <c r="A6" s="20" t="s">
        <v>357</v>
      </c>
      <c r="B6" s="20" t="s">
        <v>94</v>
      </c>
      <c r="C6" s="20" t="s">
        <v>149</v>
      </c>
      <c r="D6" s="20" t="s">
        <v>356</v>
      </c>
      <c r="E6" s="20" t="s">
        <v>148</v>
      </c>
      <c r="F6" s="20" t="s">
        <v>66</v>
      </c>
      <c r="G6" s="20" t="s">
        <v>56</v>
      </c>
      <c r="H6" s="20" t="s">
        <v>66</v>
      </c>
      <c r="I6" s="1" t="str">
        <f aca="false">IFERROR(VLOOKUP(E6,'Task Master'!$A:$O,15,FALSE()),"")</f>
        <v>Low</v>
      </c>
      <c r="J6" s="19"/>
    </row>
    <row r="7" customFormat="false" ht="15" hidden="false" customHeight="true" outlineLevel="0" collapsed="false">
      <c r="A7" s="20" t="s">
        <v>358</v>
      </c>
      <c r="B7" s="20" t="s">
        <v>94</v>
      </c>
      <c r="C7" s="20" t="s">
        <v>359</v>
      </c>
      <c r="D7" s="20" t="s">
        <v>356</v>
      </c>
      <c r="E7" s="20"/>
      <c r="F7" s="20" t="s">
        <v>92</v>
      </c>
      <c r="G7" s="20" t="s">
        <v>56</v>
      </c>
      <c r="H7" s="20" t="s">
        <v>66</v>
      </c>
      <c r="I7" s="1" t="str">
        <f aca="false">IFERROR(VLOOKUP(E7,'Task Master'!$A:$O,15,FALSE()),"")</f>
        <v/>
      </c>
      <c r="J7" s="19"/>
    </row>
  </sheetData>
  <conditionalFormatting sqref="A5:H2000">
    <cfRule type="expression" priority="2" aboveAverage="0" equalAverage="0" bottom="0" percent="0" rank="0" text="" dxfId="13">
      <formula>$F5="N"</formula>
    </cfRule>
  </conditionalFormatting>
  <dataValidations count="3">
    <dataValidation allowBlank="false" errorStyle="stop" operator="between" showDropDown="false" showErrorMessage="false" showInputMessage="false" sqref="F5:F1007 H5:H1007" type="list">
      <formula1>"Y,N"</formula1>
      <formula2>0</formula2>
    </dataValidation>
    <dataValidation allowBlank="false" errorStyle="stop" operator="between" showDropDown="false" showErrorMessage="false" showInputMessage="false" sqref="D5:D1007" type="list">
      <formula1>"Auto,Manual"</formula1>
      <formula2>0</formula2>
    </dataValidation>
    <dataValidation allowBlank="false" errorStyle="stop" operator="between" showDropDown="false" showErrorMessage="false" showInputMessage="false" sqref="B5:B1007" type="list">
      <formula1>EmployeeList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4" min="4" style="1" width="20"/>
    <col collapsed="false" customWidth="true" hidden="false" outlineLevel="0" max="5" min="5" style="1" width="32"/>
    <col collapsed="false" customWidth="true" hidden="false" outlineLevel="0" max="6" min="6" style="1" width="10"/>
    <col collapsed="false" customWidth="true" hidden="false" outlineLevel="0" max="8" min="7" style="1" width="26"/>
    <col collapsed="false" customWidth="true" hidden="false" outlineLevel="0" max="9" min="9" style="1" width="16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6" min="15" style="1" width="10"/>
    <col collapsed="false" customWidth="true" hidden="false" outlineLevel="0" max="17" min="17" style="1" width="20"/>
    <col collapsed="false" customWidth="true" hidden="false" outlineLevel="0" max="18" min="18" style="1" width="12"/>
    <col collapsed="false" customWidth="true" hidden="false" outlineLevel="0" max="19" min="19" style="1" width="10"/>
    <col collapsed="false" customWidth="true" hidden="false" outlineLevel="0" max="20" min="20" style="1" width="18"/>
  </cols>
  <sheetData>
    <row r="1" customFormat="false" ht="31.5" hidden="false" customHeight="true" outlineLevel="0" collapsed="false">
      <c r="A1" s="10" t="s">
        <v>360</v>
      </c>
      <c r="B1" s="10" t="s">
        <v>361</v>
      </c>
      <c r="C1" s="10" t="s">
        <v>128</v>
      </c>
      <c r="D1" s="10" t="s">
        <v>80</v>
      </c>
      <c r="E1" s="10" t="s">
        <v>130</v>
      </c>
      <c r="F1" s="10" t="s">
        <v>362</v>
      </c>
      <c r="G1" s="10" t="s">
        <v>363</v>
      </c>
      <c r="H1" s="10" t="s">
        <v>364</v>
      </c>
      <c r="I1" s="10" t="s">
        <v>365</v>
      </c>
      <c r="J1" s="10" t="s">
        <v>366</v>
      </c>
      <c r="K1" s="10" t="s">
        <v>367</v>
      </c>
      <c r="L1" s="10" t="s">
        <v>368</v>
      </c>
      <c r="M1" s="10" t="s">
        <v>369</v>
      </c>
      <c r="N1" s="10" t="s">
        <v>83</v>
      </c>
      <c r="O1" s="10" t="s">
        <v>370</v>
      </c>
      <c r="P1" s="13" t="s">
        <v>348</v>
      </c>
      <c r="Q1" s="13" t="s">
        <v>371</v>
      </c>
      <c r="R1" s="13" t="s">
        <v>372</v>
      </c>
      <c r="S1" s="13" t="s">
        <v>373</v>
      </c>
      <c r="T1" s="13" t="s">
        <v>374</v>
      </c>
    </row>
    <row r="2" customFormat="false" ht="15" hidden="false" customHeight="true" outlineLevel="0" collapsed="false">
      <c r="A2" s="21" t="s">
        <v>375</v>
      </c>
      <c r="B2" s="21" t="s">
        <v>144</v>
      </c>
      <c r="C2" s="21" t="s">
        <v>140</v>
      </c>
      <c r="D2" s="21" t="s">
        <v>94</v>
      </c>
      <c r="E2" s="21" t="s">
        <v>141</v>
      </c>
      <c r="F2" s="21" t="s">
        <v>376</v>
      </c>
      <c r="G2" s="21"/>
      <c r="I2" s="21"/>
      <c r="J2" s="21" t="s">
        <v>377</v>
      </c>
      <c r="K2" s="21"/>
      <c r="L2" s="21" t="s">
        <v>66</v>
      </c>
      <c r="M2" s="21"/>
      <c r="N2" s="21" t="s">
        <v>56</v>
      </c>
      <c r="O2" s="21" t="str">
        <f aca="false">IF(F2="Done","Green",IF(L2="Y","Grey",IF(J2&gt;0,"Orange",IF(F2="Not Done","Red","Yellow"))))</f>
        <v>Green</v>
      </c>
      <c r="P2" s="1" t="str">
        <f aca="false">IFERROR(VLOOKUP(C2,'Task Master'!$A:$O,15,FALSE()),"")</f>
        <v>Low</v>
      </c>
      <c r="Q2" s="21" t="s">
        <v>378</v>
      </c>
      <c r="R2" s="21" t="s">
        <v>66</v>
      </c>
      <c r="S2" s="21"/>
      <c r="T2" s="21"/>
    </row>
    <row r="3" customFormat="false" ht="15" hidden="false" customHeight="true" outlineLevel="0" collapsed="false">
      <c r="A3" s="21" t="s">
        <v>379</v>
      </c>
      <c r="B3" s="21" t="s">
        <v>144</v>
      </c>
      <c r="C3" s="21" t="s">
        <v>148</v>
      </c>
      <c r="D3" s="21" t="s">
        <v>94</v>
      </c>
      <c r="E3" s="21" t="s">
        <v>149</v>
      </c>
      <c r="F3" s="21" t="s">
        <v>376</v>
      </c>
      <c r="G3" s="21"/>
      <c r="I3" s="21"/>
      <c r="J3" s="21" t="s">
        <v>377</v>
      </c>
      <c r="K3" s="21"/>
      <c r="L3" s="21" t="s">
        <v>66</v>
      </c>
      <c r="M3" s="21"/>
      <c r="N3" s="21" t="s">
        <v>56</v>
      </c>
      <c r="O3" s="21" t="str">
        <f aca="false">IF(F3="Done","Green",IF(L3="Y","Grey",IF(J3&gt;0,"Orange",IF(F3="Not Done","Red","Yellow"))))</f>
        <v>Green</v>
      </c>
      <c r="P3" s="1" t="str">
        <f aca="false">IFERROR(VLOOKUP(C3,'Task Master'!$A:$O,15,FALSE()),"")</f>
        <v>Low</v>
      </c>
      <c r="Q3" s="21" t="s">
        <v>378</v>
      </c>
      <c r="R3" s="21" t="s">
        <v>66</v>
      </c>
      <c r="S3" s="21"/>
      <c r="T3" s="21"/>
    </row>
    <row r="4" customFormat="false" ht="15" hidden="false" customHeight="true" outlineLevel="0" collapsed="false">
      <c r="A4" s="21" t="s">
        <v>380</v>
      </c>
      <c r="B4" s="21" t="s">
        <v>144</v>
      </c>
      <c r="C4" s="21" t="s">
        <v>159</v>
      </c>
      <c r="D4" s="21" t="s">
        <v>100</v>
      </c>
      <c r="E4" s="21" t="s">
        <v>160</v>
      </c>
      <c r="F4" s="21" t="s">
        <v>381</v>
      </c>
      <c r="G4" s="21" t="s">
        <v>382</v>
      </c>
      <c r="H4" s="1" t="s">
        <v>383</v>
      </c>
      <c r="I4" s="21" t="s">
        <v>384</v>
      </c>
      <c r="J4" s="21" t="s">
        <v>385</v>
      </c>
      <c r="K4" s="21" t="s">
        <v>386</v>
      </c>
      <c r="L4" s="21" t="s">
        <v>92</v>
      </c>
      <c r="M4" s="21" t="s">
        <v>387</v>
      </c>
      <c r="N4" s="21" t="s">
        <v>56</v>
      </c>
      <c r="O4" s="21" t="str">
        <f aca="false">IF(F4="Done","Green",IF(L4="Y","Grey",IF(J4&gt;0,"Orange",IF(F4="Not Done","Red","Yellow"))))</f>
        <v>Grey</v>
      </c>
      <c r="P4" s="1" t="str">
        <f aca="false">IFERROR(VLOOKUP(C4,'Task Master'!$A:$O,15,FALSE()),"")</f>
        <v>Medium</v>
      </c>
      <c r="Q4" s="21" t="s">
        <v>378</v>
      </c>
      <c r="R4" s="21" t="s">
        <v>66</v>
      </c>
      <c r="S4" s="21" t="n">
        <v>1</v>
      </c>
      <c r="T4" s="21"/>
    </row>
    <row r="5" customFormat="false" ht="15" hidden="false" customHeight="true" outlineLevel="0" collapsed="false">
      <c r="A5" s="21" t="s">
        <v>388</v>
      </c>
      <c r="B5" s="21" t="s">
        <v>389</v>
      </c>
      <c r="C5" s="21" t="s">
        <v>140</v>
      </c>
      <c r="D5" s="21" t="s">
        <v>94</v>
      </c>
      <c r="E5" s="21" t="s">
        <v>141</v>
      </c>
      <c r="F5" s="21" t="s">
        <v>376</v>
      </c>
      <c r="G5" s="21"/>
      <c r="I5" s="21"/>
      <c r="J5" s="21" t="s">
        <v>377</v>
      </c>
      <c r="K5" s="21"/>
      <c r="L5" s="21" t="s">
        <v>66</v>
      </c>
      <c r="M5" s="21"/>
      <c r="N5" s="21" t="s">
        <v>56</v>
      </c>
      <c r="O5" s="21" t="str">
        <f aca="false">IF(F5="Done","Green",IF(L5="Y","Grey",IF(J5&gt;0,"Orange",IF(F5="Not Done","Red","Yellow"))))</f>
        <v>Green</v>
      </c>
      <c r="P5" s="1" t="str">
        <f aca="false">IFERROR(VLOOKUP(C5,'Task Master'!$A:$O,15,FALSE()),"")</f>
        <v>Low</v>
      </c>
      <c r="Q5" s="21" t="s">
        <v>378</v>
      </c>
      <c r="R5" s="21" t="s">
        <v>66</v>
      </c>
      <c r="S5" s="21"/>
      <c r="T5" s="21"/>
    </row>
    <row r="6" customFormat="false" ht="15" hidden="false" customHeight="true" outlineLevel="0" collapsed="false">
      <c r="A6" s="21" t="s">
        <v>390</v>
      </c>
      <c r="B6" s="21" t="s">
        <v>389</v>
      </c>
      <c r="C6" s="21" t="s">
        <v>148</v>
      </c>
      <c r="D6" s="21" t="s">
        <v>94</v>
      </c>
      <c r="E6" s="21" t="s">
        <v>149</v>
      </c>
      <c r="F6" s="21" t="s">
        <v>381</v>
      </c>
      <c r="G6" s="21" t="s">
        <v>391</v>
      </c>
      <c r="I6" s="21"/>
      <c r="J6" s="21" t="s">
        <v>162</v>
      </c>
      <c r="K6" s="21"/>
      <c r="L6" s="21" t="s">
        <v>66</v>
      </c>
      <c r="M6" s="21"/>
      <c r="N6" s="21" t="s">
        <v>56</v>
      </c>
      <c r="O6" s="21" t="str">
        <f aca="false">IF(F6="Done","Green",IF(L6="Y","Grey",IF(J6&gt;0,"Orange",IF(F6="Not Done","Red","Yellow"))))</f>
        <v>Orange</v>
      </c>
      <c r="P6" s="1" t="str">
        <f aca="false">IFERROR(VLOOKUP(C6,'Task Master'!$A:$O,15,FALSE()),"")</f>
        <v>Low</v>
      </c>
      <c r="Q6" s="21" t="s">
        <v>378</v>
      </c>
      <c r="R6" s="21" t="s">
        <v>66</v>
      </c>
      <c r="S6" s="21"/>
      <c r="T6" s="21"/>
    </row>
    <row r="7" customFormat="false" ht="15" hidden="false" customHeight="true" outlineLevel="0" collapsed="false">
      <c r="A7" s="21" t="s">
        <v>392</v>
      </c>
      <c r="B7" s="21" t="s">
        <v>393</v>
      </c>
      <c r="C7" s="21" t="s">
        <v>140</v>
      </c>
      <c r="D7" s="21" t="s">
        <v>94</v>
      </c>
      <c r="E7" s="21" t="s">
        <v>141</v>
      </c>
      <c r="F7" s="21" t="s">
        <v>376</v>
      </c>
      <c r="G7" s="21"/>
      <c r="I7" s="21"/>
      <c r="J7" s="21" t="s">
        <v>377</v>
      </c>
      <c r="K7" s="21"/>
      <c r="L7" s="21" t="s">
        <v>66</v>
      </c>
      <c r="M7" s="21"/>
      <c r="N7" s="21" t="s">
        <v>56</v>
      </c>
      <c r="O7" s="21" t="str">
        <f aca="false">IF(F7="Done","Green",IF(L7="Y","Grey",IF(J7&gt;0,"Orange",IF(F7="Not Done","Red","Yellow"))))</f>
        <v>Green</v>
      </c>
      <c r="P7" s="1" t="str">
        <f aca="false">IFERROR(VLOOKUP(C7,'Task Master'!$A:$O,15,FALSE()),"")</f>
        <v>Low</v>
      </c>
      <c r="Q7" s="21" t="s">
        <v>378</v>
      </c>
      <c r="R7" s="21" t="s">
        <v>66</v>
      </c>
      <c r="S7" s="21"/>
      <c r="T7" s="21"/>
    </row>
    <row r="8" customFormat="false" ht="15" hidden="false" customHeight="true" outlineLevel="0" collapsed="false">
      <c r="A8" s="21" t="s">
        <v>394</v>
      </c>
      <c r="B8" s="21" t="s">
        <v>393</v>
      </c>
      <c r="C8" s="21" t="s">
        <v>148</v>
      </c>
      <c r="D8" s="21" t="s">
        <v>94</v>
      </c>
      <c r="E8" s="21" t="s">
        <v>149</v>
      </c>
      <c r="F8" s="21" t="s">
        <v>376</v>
      </c>
      <c r="G8" s="21"/>
      <c r="I8" s="21"/>
      <c r="J8" s="21" t="s">
        <v>377</v>
      </c>
      <c r="K8" s="21"/>
      <c r="L8" s="21" t="s">
        <v>66</v>
      </c>
      <c r="M8" s="21"/>
      <c r="N8" s="21" t="s">
        <v>56</v>
      </c>
      <c r="O8" s="21" t="str">
        <f aca="false">IF(F8="Done","Green",IF(L8="Y","Grey",IF(J8&gt;0,"Orange",IF(F8="Not Done","Red","Yellow"))))</f>
        <v>Green</v>
      </c>
      <c r="P8" s="1" t="str">
        <f aca="false">IFERROR(VLOOKUP(C8,'Task Master'!$A:$O,15,FALSE()),"")</f>
        <v>Low</v>
      </c>
      <c r="Q8" s="21" t="s">
        <v>378</v>
      </c>
      <c r="R8" s="21" t="s">
        <v>66</v>
      </c>
      <c r="S8" s="21"/>
      <c r="T8" s="21"/>
    </row>
    <row r="9" customFormat="false" ht="15" hidden="false" customHeight="true" outlineLevel="0" collapsed="false">
      <c r="A9" s="21" t="s">
        <v>395</v>
      </c>
      <c r="B9" s="21" t="s">
        <v>396</v>
      </c>
      <c r="C9" s="21" t="s">
        <v>140</v>
      </c>
      <c r="D9" s="21" t="s">
        <v>94</v>
      </c>
      <c r="E9" s="21" t="s">
        <v>141</v>
      </c>
      <c r="F9" s="21" t="s">
        <v>381</v>
      </c>
      <c r="G9" s="21" t="s">
        <v>397</v>
      </c>
      <c r="H9" s="1" t="s">
        <v>398</v>
      </c>
      <c r="I9" s="21" t="s">
        <v>399</v>
      </c>
      <c r="J9" s="21" t="s">
        <v>162</v>
      </c>
      <c r="K9" s="21" t="s">
        <v>400</v>
      </c>
      <c r="L9" s="21" t="s">
        <v>66</v>
      </c>
      <c r="M9" s="21"/>
      <c r="N9" s="21" t="s">
        <v>56</v>
      </c>
      <c r="O9" s="21" t="str">
        <f aca="false">IF(F9="Done","Green",IF(L9="Y","Grey",IF(J9&gt;0,"Orange",IF(F9="Not Done","Red","Yellow"))))</f>
        <v>Orange</v>
      </c>
      <c r="P9" s="1" t="str">
        <f aca="false">IFERROR(VLOOKUP(C9,'Task Master'!$A:$O,15,FALSE()),"")</f>
        <v>Low</v>
      </c>
      <c r="Q9" s="21" t="s">
        <v>378</v>
      </c>
      <c r="R9" s="21" t="s">
        <v>66</v>
      </c>
      <c r="S9" s="21"/>
      <c r="T9" s="21"/>
    </row>
    <row r="10" customFormat="false" ht="15" hidden="false" customHeight="true" outlineLevel="0" collapsed="false">
      <c r="A10" s="21" t="s">
        <v>401</v>
      </c>
      <c r="B10" s="21" t="s">
        <v>396</v>
      </c>
      <c r="C10" s="21" t="s">
        <v>148</v>
      </c>
      <c r="D10" s="21" t="s">
        <v>94</v>
      </c>
      <c r="E10" s="21" t="s">
        <v>149</v>
      </c>
      <c r="F10" s="21" t="s">
        <v>381</v>
      </c>
      <c r="G10" s="21" t="s">
        <v>391</v>
      </c>
      <c r="I10" s="21"/>
      <c r="J10" s="21" t="s">
        <v>162</v>
      </c>
      <c r="K10" s="21"/>
      <c r="L10" s="21" t="s">
        <v>66</v>
      </c>
      <c r="M10" s="21"/>
      <c r="N10" s="21" t="s">
        <v>56</v>
      </c>
      <c r="O10" s="21" t="str">
        <f aca="false">IF(F10="Done","Green",IF(L10="Y","Grey",IF(J10&gt;0,"Orange",IF(F10="Not Done","Red","Yellow"))))</f>
        <v>Orange</v>
      </c>
      <c r="P10" s="1" t="str">
        <f aca="false">IFERROR(VLOOKUP(C10,'Task Master'!$A:$O,15,FALSE()),"")</f>
        <v>Low</v>
      </c>
      <c r="Q10" s="21" t="s">
        <v>378</v>
      </c>
      <c r="R10" s="21" t="s">
        <v>66</v>
      </c>
      <c r="S10" s="21"/>
      <c r="T10" s="21"/>
    </row>
    <row r="11" customFormat="false" ht="15" hidden="false" customHeight="true" outlineLevel="0" collapsed="false">
      <c r="A11" s="21" t="s">
        <v>402</v>
      </c>
      <c r="B11" s="21" t="s">
        <v>396</v>
      </c>
      <c r="C11" s="21" t="s">
        <v>156</v>
      </c>
      <c r="D11" s="21" t="s">
        <v>119</v>
      </c>
      <c r="E11" s="21" t="s">
        <v>157</v>
      </c>
      <c r="F11" s="21" t="s">
        <v>376</v>
      </c>
      <c r="G11" s="21"/>
      <c r="I11" s="21"/>
      <c r="J11" s="21" t="s">
        <v>377</v>
      </c>
      <c r="K11" s="21"/>
      <c r="L11" s="21" t="s">
        <v>66</v>
      </c>
      <c r="M11" s="21"/>
      <c r="N11" s="21" t="s">
        <v>56</v>
      </c>
      <c r="O11" s="21" t="str">
        <f aca="false">IF(F11="Done","Green",IF(L11="Y","Grey",IF(J11&gt;0,"Orange",IF(F11="Not Done","Red","Yellow"))))</f>
        <v>Green</v>
      </c>
      <c r="P11" s="1" t="str">
        <f aca="false">IFERROR(VLOOKUP(C11,'Task Master'!$A:$O,15,FALSE()),"")</f>
        <v>Medium</v>
      </c>
      <c r="Q11" s="21" t="s">
        <v>378</v>
      </c>
      <c r="R11" s="21" t="s">
        <v>66</v>
      </c>
      <c r="S11" s="21"/>
      <c r="T11" s="21"/>
    </row>
    <row r="12" customFormat="false" ht="15" hidden="false" customHeight="true" outlineLevel="0" collapsed="false">
      <c r="A12" s="21" t="s">
        <v>403</v>
      </c>
      <c r="B12" s="21" t="s">
        <v>404</v>
      </c>
      <c r="C12" s="21" t="s">
        <v>140</v>
      </c>
      <c r="D12" s="21" t="s">
        <v>94</v>
      </c>
      <c r="E12" s="21" t="s">
        <v>141</v>
      </c>
      <c r="F12" s="21" t="s">
        <v>376</v>
      </c>
      <c r="G12" s="21"/>
      <c r="I12" s="21"/>
      <c r="J12" s="21" t="s">
        <v>377</v>
      </c>
      <c r="K12" s="21"/>
      <c r="L12" s="21" t="s">
        <v>66</v>
      </c>
      <c r="M12" s="21"/>
      <c r="N12" s="21" t="s">
        <v>56</v>
      </c>
      <c r="O12" s="21" t="str">
        <f aca="false">IF(F12="Done","Green",IF(L12="Y","Grey",IF(J12&gt;0,"Orange",IF(F12="Not Done","Red","Yellow"))))</f>
        <v>Green</v>
      </c>
      <c r="P12" s="1" t="str">
        <f aca="false">IFERROR(VLOOKUP(C12,'Task Master'!$A:$O,15,FALSE()),"")</f>
        <v>Low</v>
      </c>
      <c r="Q12" s="21" t="s">
        <v>378</v>
      </c>
      <c r="R12" s="21" t="s">
        <v>66</v>
      </c>
      <c r="S12" s="21"/>
      <c r="T12" s="21"/>
    </row>
    <row r="13" customFormat="false" ht="15" hidden="false" customHeight="true" outlineLevel="0" collapsed="false">
      <c r="A13" s="21" t="s">
        <v>405</v>
      </c>
      <c r="B13" s="21" t="s">
        <v>404</v>
      </c>
      <c r="C13" s="21" t="s">
        <v>148</v>
      </c>
      <c r="D13" s="21" t="s">
        <v>94</v>
      </c>
      <c r="E13" s="21" t="s">
        <v>149</v>
      </c>
      <c r="F13" s="21" t="s">
        <v>376</v>
      </c>
      <c r="G13" s="21"/>
      <c r="I13" s="21"/>
      <c r="J13" s="21" t="s">
        <v>377</v>
      </c>
      <c r="K13" s="21"/>
      <c r="L13" s="21" t="s">
        <v>66</v>
      </c>
      <c r="M13" s="21"/>
      <c r="N13" s="21" t="s">
        <v>56</v>
      </c>
      <c r="O13" s="21" t="str">
        <f aca="false">IF(F13="Done","Green",IF(L13="Y","Grey",IF(J13&gt;0,"Orange",IF(F13="Not Done","Red","Yellow"))))</f>
        <v>Green</v>
      </c>
      <c r="P13" s="1" t="str">
        <f aca="false">IFERROR(VLOOKUP(C13,'Task Master'!$A:$O,15,FALSE()),"")</f>
        <v>Low</v>
      </c>
      <c r="Q13" s="21" t="s">
        <v>378</v>
      </c>
      <c r="R13" s="21" t="s">
        <v>66</v>
      </c>
      <c r="S13" s="21"/>
      <c r="T13" s="21"/>
    </row>
    <row r="14" customFormat="false" ht="15" hidden="false" customHeight="true" outlineLevel="0" collapsed="false">
      <c r="A14" s="21"/>
      <c r="B14" s="21"/>
      <c r="C14" s="21"/>
      <c r="D14" s="21"/>
      <c r="E14" s="21"/>
      <c r="F14" s="21"/>
      <c r="G14" s="21"/>
      <c r="I14" s="21"/>
      <c r="J14" s="21"/>
      <c r="K14" s="21"/>
      <c r="L14" s="21"/>
      <c r="M14" s="21"/>
      <c r="N14" s="21"/>
      <c r="O14" s="21"/>
      <c r="Q14" s="21"/>
      <c r="R14" s="21"/>
      <c r="S14" s="21"/>
      <c r="T14" s="21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1"/>
      <c r="I15" s="21"/>
      <c r="J15" s="21"/>
      <c r="K15" s="21"/>
      <c r="L15" s="21"/>
      <c r="M15" s="21"/>
      <c r="N15" s="21"/>
      <c r="O15" s="21"/>
      <c r="Q15" s="21"/>
      <c r="R15" s="21"/>
      <c r="S15" s="21"/>
      <c r="T15" s="21"/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1"/>
      <c r="I16" s="21"/>
      <c r="J16" s="21"/>
      <c r="K16" s="21"/>
      <c r="L16" s="21"/>
      <c r="M16" s="21"/>
      <c r="N16" s="21"/>
      <c r="O16" s="21"/>
      <c r="Q16" s="21"/>
      <c r="R16" s="21"/>
      <c r="S16" s="21"/>
      <c r="T16" s="21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1"/>
      <c r="I17" s="21"/>
      <c r="J17" s="21"/>
      <c r="K17" s="21"/>
      <c r="L17" s="21"/>
      <c r="M17" s="21"/>
      <c r="N17" s="21"/>
      <c r="O17" s="21"/>
      <c r="Q17" s="21"/>
      <c r="R17" s="21"/>
      <c r="S17" s="21"/>
      <c r="T17" s="21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  <c r="I18" s="21"/>
      <c r="J18" s="21"/>
      <c r="K18" s="21"/>
      <c r="L18" s="21"/>
      <c r="M18" s="21"/>
      <c r="N18" s="21"/>
      <c r="O18" s="21"/>
      <c r="Q18" s="21"/>
      <c r="R18" s="21"/>
      <c r="S18" s="21"/>
      <c r="T18" s="21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1"/>
      <c r="I19" s="21"/>
      <c r="J19" s="21"/>
      <c r="K19" s="21"/>
      <c r="L19" s="21"/>
      <c r="M19" s="21"/>
      <c r="N19" s="21"/>
      <c r="O19" s="21"/>
      <c r="Q19" s="21"/>
      <c r="R19" s="21"/>
      <c r="S19" s="21"/>
      <c r="T19" s="21"/>
    </row>
    <row r="20" customFormat="false" ht="15" hidden="false" customHeight="true" outlineLevel="0" collapsed="false">
      <c r="A20" s="21"/>
      <c r="B20" s="21"/>
      <c r="C20" s="21"/>
      <c r="D20" s="21"/>
      <c r="E20" s="21"/>
      <c r="F20" s="21"/>
      <c r="G20" s="21"/>
      <c r="I20" s="21"/>
      <c r="J20" s="21"/>
      <c r="K20" s="21"/>
      <c r="L20" s="21"/>
      <c r="M20" s="21"/>
      <c r="N20" s="21"/>
      <c r="O20" s="21"/>
      <c r="Q20" s="21"/>
      <c r="R20" s="21"/>
      <c r="S20" s="21"/>
      <c r="T20" s="21"/>
    </row>
    <row r="21" customFormat="false" ht="15" hidden="false" customHeight="true" outlineLevel="0" collapsed="false">
      <c r="A21" s="21"/>
      <c r="B21" s="21"/>
      <c r="C21" s="21"/>
      <c r="D21" s="21"/>
      <c r="E21" s="21"/>
      <c r="F21" s="21"/>
      <c r="G21" s="21"/>
      <c r="I21" s="21"/>
      <c r="J21" s="21"/>
      <c r="K21" s="21"/>
      <c r="L21" s="21"/>
      <c r="M21" s="21"/>
      <c r="N21" s="21"/>
      <c r="O21" s="21"/>
      <c r="Q21" s="21"/>
      <c r="R21" s="21"/>
      <c r="S21" s="21"/>
      <c r="T21" s="21"/>
    </row>
    <row r="22" customFormat="false" ht="15" hidden="false" customHeight="true" outlineLevel="0" collapsed="false">
      <c r="A22" s="21"/>
      <c r="B22" s="21"/>
      <c r="C22" s="21"/>
      <c r="D22" s="21"/>
      <c r="E22" s="21"/>
      <c r="F22" s="21"/>
      <c r="G22" s="21"/>
      <c r="I22" s="21"/>
      <c r="J22" s="21"/>
      <c r="K22" s="21"/>
      <c r="L22" s="21"/>
      <c r="M22" s="21"/>
      <c r="N22" s="21"/>
      <c r="O22" s="21"/>
      <c r="Q22" s="21"/>
      <c r="R22" s="21"/>
      <c r="S22" s="21"/>
      <c r="T22" s="21"/>
    </row>
    <row r="23" customFormat="false" ht="15" hidden="false" customHeight="true" outlineLevel="0" collapsed="false">
      <c r="A23" s="21"/>
      <c r="B23" s="21"/>
      <c r="C23" s="21"/>
      <c r="D23" s="21"/>
      <c r="E23" s="21"/>
      <c r="F23" s="21"/>
      <c r="G23" s="21"/>
      <c r="I23" s="21"/>
      <c r="J23" s="21"/>
      <c r="K23" s="21"/>
      <c r="L23" s="21"/>
      <c r="M23" s="21"/>
      <c r="N23" s="21"/>
      <c r="O23" s="21"/>
      <c r="Q23" s="21"/>
      <c r="R23" s="21"/>
      <c r="S23" s="21"/>
      <c r="T23" s="21"/>
    </row>
    <row r="24" customFormat="false" ht="15" hidden="false" customHeight="true" outlineLevel="0" collapsed="false">
      <c r="A24" s="21"/>
      <c r="B24" s="21"/>
      <c r="C24" s="21"/>
      <c r="D24" s="21"/>
      <c r="E24" s="21"/>
      <c r="F24" s="21"/>
      <c r="G24" s="21"/>
      <c r="I24" s="21"/>
      <c r="J24" s="21"/>
      <c r="K24" s="21"/>
      <c r="L24" s="21"/>
      <c r="M24" s="21"/>
      <c r="N24" s="21"/>
      <c r="O24" s="21"/>
      <c r="Q24" s="21"/>
      <c r="R24" s="21"/>
      <c r="S24" s="21"/>
      <c r="T24" s="21"/>
    </row>
    <row r="25" customFormat="false" ht="15" hidden="false" customHeight="true" outlineLevel="0" collapsed="false">
      <c r="A25" s="21"/>
      <c r="B25" s="21"/>
      <c r="C25" s="21"/>
      <c r="D25" s="21"/>
      <c r="E25" s="21"/>
      <c r="F25" s="21"/>
      <c r="G25" s="21"/>
      <c r="I25" s="21"/>
      <c r="J25" s="21"/>
      <c r="K25" s="21"/>
      <c r="L25" s="21"/>
      <c r="M25" s="21"/>
      <c r="N25" s="21"/>
      <c r="O25" s="21"/>
      <c r="Q25" s="21"/>
      <c r="R25" s="21"/>
      <c r="S25" s="21"/>
      <c r="T25" s="21"/>
    </row>
    <row r="26" customFormat="false" ht="15" hidden="false" customHeight="true" outlineLevel="0" collapsed="false">
      <c r="A26" s="21"/>
      <c r="B26" s="21"/>
      <c r="C26" s="21"/>
      <c r="D26" s="21"/>
      <c r="E26" s="21"/>
      <c r="F26" s="21"/>
      <c r="G26" s="21"/>
      <c r="I26" s="21"/>
      <c r="J26" s="21"/>
      <c r="K26" s="21"/>
      <c r="L26" s="21"/>
      <c r="M26" s="21"/>
      <c r="N26" s="21"/>
      <c r="O26" s="21"/>
      <c r="Q26" s="21"/>
      <c r="R26" s="21"/>
      <c r="S26" s="21"/>
      <c r="T26" s="21"/>
    </row>
    <row r="27" customFormat="false" ht="15" hidden="false" customHeight="true" outlineLevel="0" collapsed="false">
      <c r="A27" s="21"/>
      <c r="B27" s="21"/>
      <c r="C27" s="21"/>
      <c r="D27" s="21"/>
      <c r="E27" s="21"/>
      <c r="F27" s="21"/>
      <c r="G27" s="21"/>
      <c r="I27" s="21"/>
      <c r="J27" s="21"/>
      <c r="K27" s="21"/>
      <c r="L27" s="21"/>
      <c r="M27" s="21"/>
      <c r="N27" s="21"/>
      <c r="O27" s="21"/>
      <c r="Q27" s="21"/>
      <c r="R27" s="21"/>
      <c r="S27" s="21"/>
      <c r="T27" s="21"/>
    </row>
    <row r="28" customFormat="false" ht="15" hidden="false" customHeight="true" outlineLevel="0" collapsed="false">
      <c r="A28" s="21"/>
      <c r="B28" s="21"/>
      <c r="C28" s="21"/>
      <c r="D28" s="21"/>
      <c r="E28" s="21"/>
      <c r="F28" s="21"/>
      <c r="G28" s="21"/>
      <c r="I28" s="21"/>
      <c r="J28" s="21"/>
      <c r="K28" s="21"/>
      <c r="L28" s="21"/>
      <c r="M28" s="21"/>
      <c r="N28" s="21"/>
      <c r="O28" s="21"/>
      <c r="Q28" s="21"/>
      <c r="R28" s="21"/>
      <c r="S28" s="21"/>
      <c r="T28" s="21"/>
    </row>
    <row r="29" customFormat="false" ht="15" hidden="false" customHeight="true" outlineLevel="0" collapsed="false">
      <c r="A29" s="21"/>
      <c r="B29" s="21"/>
      <c r="C29" s="21"/>
      <c r="D29" s="21"/>
      <c r="E29" s="21"/>
      <c r="F29" s="21"/>
      <c r="G29" s="21"/>
      <c r="I29" s="21"/>
      <c r="J29" s="21"/>
      <c r="K29" s="21"/>
      <c r="L29" s="21"/>
      <c r="M29" s="21"/>
      <c r="N29" s="21"/>
      <c r="O29" s="21"/>
      <c r="Q29" s="21"/>
      <c r="R29" s="21"/>
      <c r="S29" s="21"/>
      <c r="T29" s="21"/>
    </row>
    <row r="30" customFormat="false" ht="15" hidden="false" customHeight="true" outlineLevel="0" collapsed="false">
      <c r="A30" s="21"/>
      <c r="B30" s="21"/>
      <c r="C30" s="21"/>
      <c r="D30" s="21"/>
      <c r="E30" s="21"/>
      <c r="F30" s="21"/>
      <c r="G30" s="21"/>
      <c r="I30" s="21"/>
      <c r="J30" s="21"/>
      <c r="K30" s="21"/>
      <c r="L30" s="21"/>
      <c r="M30" s="21"/>
      <c r="N30" s="21"/>
      <c r="O30" s="21"/>
      <c r="Q30" s="21"/>
      <c r="R30" s="21"/>
      <c r="S30" s="21"/>
      <c r="T30" s="21"/>
    </row>
    <row r="31" customFormat="false" ht="15" hidden="false" customHeight="true" outlineLevel="0" collapsed="false">
      <c r="A31" s="21"/>
      <c r="B31" s="21"/>
      <c r="C31" s="21"/>
      <c r="D31" s="21"/>
      <c r="E31" s="21"/>
      <c r="F31" s="21"/>
      <c r="G31" s="21"/>
      <c r="I31" s="21"/>
      <c r="J31" s="21"/>
      <c r="K31" s="21"/>
      <c r="L31" s="21"/>
      <c r="M31" s="21"/>
      <c r="N31" s="21"/>
      <c r="O31" s="21"/>
      <c r="Q31" s="21"/>
      <c r="R31" s="21"/>
      <c r="S31" s="21"/>
      <c r="T31" s="21"/>
    </row>
    <row r="32" customFormat="false" ht="15" hidden="false" customHeight="true" outlineLevel="0" collapsed="false">
      <c r="A32" s="21"/>
      <c r="B32" s="21"/>
      <c r="C32" s="21"/>
      <c r="D32" s="21"/>
      <c r="E32" s="21"/>
      <c r="F32" s="21"/>
      <c r="G32" s="21"/>
      <c r="I32" s="21"/>
      <c r="J32" s="21"/>
      <c r="K32" s="21"/>
      <c r="L32" s="21"/>
      <c r="M32" s="21"/>
      <c r="N32" s="21"/>
      <c r="O32" s="21"/>
      <c r="Q32" s="21"/>
      <c r="R32" s="21"/>
      <c r="S32" s="21"/>
      <c r="T32" s="21"/>
    </row>
    <row r="33" customFormat="false" ht="15" hidden="false" customHeight="true" outlineLevel="0" collapsed="false">
      <c r="A33" s="21"/>
      <c r="B33" s="21"/>
      <c r="C33" s="21"/>
      <c r="D33" s="21"/>
      <c r="E33" s="21"/>
      <c r="F33" s="21"/>
      <c r="G33" s="21"/>
      <c r="I33" s="21"/>
      <c r="J33" s="21"/>
      <c r="K33" s="21"/>
      <c r="L33" s="21"/>
      <c r="M33" s="21"/>
      <c r="N33" s="21"/>
      <c r="O33" s="21"/>
      <c r="Q33" s="21"/>
      <c r="R33" s="21"/>
      <c r="S33" s="21"/>
      <c r="T33" s="21"/>
    </row>
    <row r="34" customFormat="false" ht="15" hidden="false" customHeight="true" outlineLevel="0" collapsed="false">
      <c r="A34" s="21"/>
      <c r="B34" s="21"/>
      <c r="C34" s="21"/>
      <c r="D34" s="21"/>
      <c r="E34" s="21"/>
      <c r="F34" s="21"/>
      <c r="G34" s="21"/>
      <c r="I34" s="21"/>
      <c r="J34" s="21"/>
      <c r="K34" s="21"/>
      <c r="L34" s="21"/>
      <c r="M34" s="21"/>
      <c r="N34" s="21"/>
      <c r="O34" s="21"/>
      <c r="Q34" s="21"/>
      <c r="R34" s="21"/>
      <c r="S34" s="21"/>
      <c r="T34" s="21"/>
    </row>
    <row r="35" customFormat="false" ht="15" hidden="false" customHeight="true" outlineLevel="0" collapsed="false">
      <c r="A35" s="21"/>
      <c r="B35" s="21"/>
      <c r="C35" s="21"/>
      <c r="D35" s="21"/>
      <c r="E35" s="21"/>
      <c r="F35" s="21"/>
      <c r="G35" s="21"/>
      <c r="I35" s="21"/>
      <c r="J35" s="21"/>
      <c r="K35" s="21"/>
      <c r="L35" s="21"/>
      <c r="M35" s="21"/>
      <c r="N35" s="21"/>
      <c r="O35" s="21"/>
      <c r="Q35" s="21"/>
      <c r="R35" s="21"/>
      <c r="S35" s="21"/>
      <c r="T35" s="21"/>
    </row>
    <row r="36" customFormat="false" ht="15" hidden="false" customHeight="true" outlineLevel="0" collapsed="false">
      <c r="A36" s="21"/>
      <c r="B36" s="21"/>
      <c r="C36" s="21"/>
      <c r="D36" s="21"/>
      <c r="E36" s="21"/>
      <c r="F36" s="21"/>
      <c r="G36" s="21"/>
      <c r="I36" s="21"/>
      <c r="J36" s="21"/>
      <c r="K36" s="21"/>
      <c r="L36" s="21"/>
      <c r="M36" s="21"/>
      <c r="N36" s="21"/>
      <c r="O36" s="21"/>
      <c r="Q36" s="21"/>
      <c r="R36" s="21"/>
      <c r="S36" s="21"/>
      <c r="T36" s="21"/>
    </row>
    <row r="37" customFormat="false" ht="15" hidden="false" customHeight="true" outlineLevel="0" collapsed="false">
      <c r="A37" s="21"/>
      <c r="B37" s="21"/>
      <c r="C37" s="21"/>
      <c r="D37" s="21"/>
      <c r="E37" s="21"/>
      <c r="F37" s="21"/>
      <c r="G37" s="21"/>
      <c r="I37" s="21"/>
      <c r="J37" s="21"/>
      <c r="K37" s="21"/>
      <c r="L37" s="21"/>
      <c r="M37" s="21"/>
      <c r="N37" s="21"/>
      <c r="O37" s="21"/>
      <c r="Q37" s="21"/>
      <c r="R37" s="21"/>
      <c r="S37" s="21"/>
      <c r="T37" s="21"/>
    </row>
    <row r="38" customFormat="false" ht="15" hidden="false" customHeight="true" outlineLevel="0" collapsed="false">
      <c r="A38" s="21"/>
      <c r="B38" s="21"/>
      <c r="C38" s="21"/>
      <c r="D38" s="21"/>
      <c r="E38" s="21"/>
      <c r="F38" s="21"/>
      <c r="G38" s="21"/>
      <c r="I38" s="21"/>
      <c r="J38" s="21"/>
      <c r="K38" s="21"/>
      <c r="L38" s="21"/>
      <c r="M38" s="21"/>
      <c r="N38" s="21"/>
      <c r="O38" s="21"/>
      <c r="Q38" s="21"/>
      <c r="R38" s="21"/>
      <c r="S38" s="21"/>
      <c r="T38" s="21"/>
    </row>
    <row r="39" customFormat="false" ht="15" hidden="false" customHeight="true" outlineLevel="0" collapsed="false">
      <c r="A39" s="21"/>
      <c r="B39" s="21"/>
      <c r="C39" s="21"/>
      <c r="D39" s="21"/>
      <c r="E39" s="21"/>
      <c r="F39" s="21"/>
      <c r="G39" s="21"/>
      <c r="I39" s="21"/>
      <c r="J39" s="21"/>
      <c r="K39" s="21"/>
      <c r="L39" s="21"/>
      <c r="M39" s="21"/>
      <c r="N39" s="21"/>
      <c r="O39" s="21"/>
      <c r="Q39" s="21"/>
      <c r="R39" s="21"/>
      <c r="S39" s="21"/>
      <c r="T39" s="21"/>
    </row>
    <row r="40" customFormat="false" ht="15" hidden="false" customHeight="true" outlineLevel="0" collapsed="false">
      <c r="A40" s="21"/>
      <c r="B40" s="21"/>
      <c r="C40" s="21"/>
      <c r="D40" s="21"/>
      <c r="E40" s="21"/>
      <c r="F40" s="21"/>
      <c r="G40" s="21"/>
      <c r="I40" s="21"/>
      <c r="J40" s="21"/>
      <c r="K40" s="21"/>
      <c r="L40" s="21"/>
      <c r="M40" s="21"/>
      <c r="N40" s="21"/>
      <c r="O40" s="21"/>
      <c r="Q40" s="21"/>
      <c r="R40" s="21"/>
      <c r="S40" s="21"/>
      <c r="T40" s="21"/>
    </row>
    <row r="41" customFormat="false" ht="15" hidden="false" customHeight="true" outlineLevel="0" collapsed="false">
      <c r="A41" s="21"/>
      <c r="B41" s="21"/>
      <c r="C41" s="21"/>
      <c r="D41" s="21"/>
      <c r="E41" s="21"/>
      <c r="F41" s="21"/>
      <c r="G41" s="21"/>
      <c r="I41" s="21"/>
      <c r="J41" s="21"/>
      <c r="K41" s="21"/>
      <c r="L41" s="21"/>
      <c r="M41" s="21"/>
      <c r="N41" s="21"/>
      <c r="O41" s="21"/>
      <c r="Q41" s="21"/>
      <c r="R41" s="21"/>
      <c r="S41" s="21"/>
      <c r="T41" s="21"/>
    </row>
    <row r="42" customFormat="false" ht="15" hidden="false" customHeight="true" outlineLevel="0" collapsed="false">
      <c r="A42" s="21"/>
      <c r="B42" s="21"/>
      <c r="C42" s="21"/>
      <c r="D42" s="21"/>
      <c r="E42" s="21"/>
      <c r="F42" s="21"/>
      <c r="G42" s="21"/>
      <c r="I42" s="21"/>
      <c r="J42" s="21"/>
      <c r="K42" s="21"/>
      <c r="L42" s="21"/>
      <c r="M42" s="21"/>
      <c r="N42" s="21"/>
      <c r="O42" s="21"/>
      <c r="Q42" s="21"/>
      <c r="R42" s="21"/>
      <c r="S42" s="21"/>
      <c r="T42" s="21"/>
    </row>
    <row r="43" customFormat="false" ht="15" hidden="false" customHeight="true" outlineLevel="0" collapsed="false">
      <c r="A43" s="21"/>
      <c r="B43" s="21"/>
      <c r="C43" s="21"/>
      <c r="D43" s="21"/>
      <c r="E43" s="21"/>
      <c r="F43" s="21"/>
      <c r="G43" s="21"/>
      <c r="I43" s="21"/>
      <c r="J43" s="21"/>
      <c r="K43" s="21"/>
      <c r="L43" s="21"/>
      <c r="M43" s="21"/>
      <c r="N43" s="21"/>
      <c r="O43" s="21"/>
      <c r="Q43" s="21"/>
      <c r="R43" s="21"/>
      <c r="S43" s="21"/>
      <c r="T43" s="21"/>
    </row>
    <row r="44" customFormat="false" ht="15" hidden="false" customHeight="true" outlineLevel="0" collapsed="false">
      <c r="A44" s="21"/>
      <c r="B44" s="21"/>
      <c r="C44" s="21"/>
      <c r="D44" s="21"/>
      <c r="E44" s="21"/>
      <c r="F44" s="21"/>
      <c r="G44" s="21"/>
      <c r="I44" s="21"/>
      <c r="J44" s="21"/>
      <c r="K44" s="21"/>
      <c r="L44" s="21"/>
      <c r="M44" s="21"/>
      <c r="N44" s="21"/>
      <c r="O44" s="21"/>
      <c r="Q44" s="21"/>
      <c r="R44" s="21"/>
      <c r="S44" s="21"/>
      <c r="T44" s="21"/>
    </row>
    <row r="45" customFormat="false" ht="15" hidden="false" customHeight="true" outlineLevel="0" collapsed="false">
      <c r="A45" s="21"/>
      <c r="B45" s="21"/>
      <c r="C45" s="21"/>
      <c r="D45" s="21"/>
      <c r="E45" s="21"/>
      <c r="F45" s="21"/>
      <c r="G45" s="21"/>
      <c r="I45" s="21"/>
      <c r="J45" s="21"/>
      <c r="K45" s="21"/>
      <c r="L45" s="21"/>
      <c r="M45" s="21"/>
      <c r="N45" s="21"/>
      <c r="O45" s="21"/>
      <c r="Q45" s="21"/>
      <c r="R45" s="21"/>
      <c r="S45" s="21"/>
      <c r="T45" s="21"/>
    </row>
    <row r="46" customFormat="false" ht="15" hidden="false" customHeight="true" outlineLevel="0" collapsed="false">
      <c r="A46" s="21"/>
      <c r="B46" s="21"/>
      <c r="C46" s="21"/>
      <c r="D46" s="21"/>
      <c r="E46" s="21"/>
      <c r="F46" s="21"/>
      <c r="G46" s="21"/>
      <c r="I46" s="21"/>
      <c r="J46" s="21"/>
      <c r="K46" s="21"/>
      <c r="L46" s="21"/>
      <c r="M46" s="21"/>
      <c r="N46" s="21"/>
      <c r="O46" s="21"/>
      <c r="Q46" s="21"/>
      <c r="R46" s="21"/>
      <c r="S46" s="21"/>
      <c r="T46" s="21"/>
    </row>
    <row r="47" customFormat="false" ht="15" hidden="false" customHeight="true" outlineLevel="0" collapsed="false">
      <c r="A47" s="21"/>
      <c r="B47" s="21"/>
      <c r="C47" s="21"/>
      <c r="D47" s="21"/>
      <c r="E47" s="21"/>
      <c r="F47" s="21"/>
      <c r="G47" s="21"/>
      <c r="I47" s="21"/>
      <c r="J47" s="21"/>
      <c r="K47" s="21"/>
      <c r="L47" s="21"/>
      <c r="M47" s="21"/>
      <c r="N47" s="21"/>
      <c r="O47" s="21"/>
      <c r="Q47" s="21"/>
      <c r="R47" s="21"/>
      <c r="S47" s="21"/>
      <c r="T47" s="21"/>
    </row>
    <row r="48" customFormat="false" ht="15" hidden="false" customHeight="true" outlineLevel="0" collapsed="false">
      <c r="A48" s="21"/>
      <c r="B48" s="21"/>
      <c r="C48" s="21"/>
      <c r="D48" s="21"/>
      <c r="E48" s="21"/>
      <c r="F48" s="21"/>
      <c r="G48" s="21"/>
      <c r="I48" s="21"/>
      <c r="J48" s="21"/>
      <c r="K48" s="21"/>
      <c r="L48" s="21"/>
      <c r="M48" s="21"/>
      <c r="N48" s="21"/>
      <c r="O48" s="21"/>
      <c r="Q48" s="21"/>
      <c r="R48" s="21"/>
      <c r="S48" s="21"/>
      <c r="T48" s="21"/>
    </row>
    <row r="49" customFormat="false" ht="15" hidden="false" customHeight="true" outlineLevel="0" collapsed="false">
      <c r="A49" s="21"/>
      <c r="B49" s="21"/>
      <c r="C49" s="21"/>
      <c r="D49" s="21"/>
      <c r="E49" s="21"/>
      <c r="F49" s="21"/>
      <c r="G49" s="21"/>
      <c r="I49" s="21"/>
      <c r="J49" s="21"/>
      <c r="K49" s="21"/>
      <c r="L49" s="21"/>
      <c r="M49" s="21"/>
      <c r="N49" s="21"/>
      <c r="O49" s="21"/>
      <c r="Q49" s="21"/>
      <c r="R49" s="21"/>
      <c r="S49" s="21"/>
      <c r="T49" s="21"/>
    </row>
    <row r="50" customFormat="false" ht="15" hidden="false" customHeight="true" outlineLevel="0" collapsed="false">
      <c r="A50" s="21"/>
      <c r="B50" s="21"/>
      <c r="C50" s="21"/>
      <c r="D50" s="21"/>
      <c r="E50" s="21"/>
      <c r="F50" s="21"/>
      <c r="G50" s="21"/>
      <c r="I50" s="21"/>
      <c r="J50" s="21"/>
      <c r="K50" s="21"/>
      <c r="L50" s="21"/>
      <c r="M50" s="21"/>
      <c r="N50" s="21"/>
      <c r="O50" s="21"/>
      <c r="Q50" s="21"/>
      <c r="R50" s="21"/>
      <c r="S50" s="21"/>
      <c r="T50" s="21"/>
    </row>
    <row r="51" customFormat="false" ht="15" hidden="false" customHeight="true" outlineLevel="0" collapsed="false">
      <c r="A51" s="21"/>
      <c r="B51" s="21"/>
      <c r="C51" s="21"/>
      <c r="D51" s="21"/>
      <c r="E51" s="21"/>
      <c r="F51" s="21"/>
      <c r="G51" s="21"/>
      <c r="I51" s="21"/>
      <c r="J51" s="21"/>
      <c r="K51" s="21"/>
      <c r="L51" s="21"/>
      <c r="M51" s="21"/>
      <c r="N51" s="21"/>
      <c r="O51" s="21"/>
      <c r="Q51" s="21"/>
      <c r="R51" s="21"/>
      <c r="S51" s="21"/>
      <c r="T51" s="21"/>
    </row>
    <row r="52" customFormat="false" ht="15" hidden="false" customHeight="true" outlineLevel="0" collapsed="false">
      <c r="A52" s="21"/>
      <c r="B52" s="21"/>
      <c r="C52" s="21"/>
      <c r="D52" s="21"/>
      <c r="E52" s="21"/>
      <c r="F52" s="21"/>
      <c r="G52" s="21"/>
      <c r="I52" s="21"/>
      <c r="J52" s="21"/>
      <c r="K52" s="21"/>
      <c r="L52" s="21"/>
      <c r="M52" s="21"/>
      <c r="N52" s="21"/>
      <c r="O52" s="21"/>
      <c r="Q52" s="21"/>
      <c r="R52" s="21"/>
      <c r="S52" s="21"/>
      <c r="T52" s="21"/>
    </row>
    <row r="53" customFormat="false" ht="15" hidden="false" customHeight="true" outlineLevel="0" collapsed="false">
      <c r="A53" s="21"/>
      <c r="B53" s="21"/>
      <c r="C53" s="21"/>
      <c r="D53" s="21"/>
      <c r="E53" s="21"/>
      <c r="F53" s="21"/>
      <c r="G53" s="21"/>
      <c r="I53" s="21"/>
      <c r="J53" s="21"/>
      <c r="K53" s="21"/>
      <c r="L53" s="21"/>
      <c r="M53" s="21"/>
      <c r="N53" s="21"/>
      <c r="O53" s="21"/>
      <c r="Q53" s="21"/>
      <c r="R53" s="21"/>
      <c r="S53" s="21"/>
      <c r="T53" s="21"/>
    </row>
    <row r="54" customFormat="false" ht="15" hidden="false" customHeight="true" outlineLevel="0" collapsed="false">
      <c r="A54" s="21"/>
      <c r="B54" s="21"/>
      <c r="C54" s="21"/>
      <c r="D54" s="21"/>
      <c r="E54" s="21"/>
      <c r="F54" s="21"/>
      <c r="G54" s="21"/>
      <c r="I54" s="21"/>
      <c r="J54" s="21"/>
      <c r="K54" s="21"/>
      <c r="L54" s="21"/>
      <c r="M54" s="21"/>
      <c r="N54" s="21"/>
      <c r="O54" s="21"/>
      <c r="Q54" s="21"/>
      <c r="R54" s="21"/>
      <c r="S54" s="21"/>
      <c r="T54" s="21"/>
    </row>
    <row r="55" customFormat="false" ht="15" hidden="false" customHeight="true" outlineLevel="0" collapsed="false">
      <c r="A55" s="21"/>
      <c r="B55" s="21"/>
      <c r="C55" s="21"/>
      <c r="D55" s="21"/>
      <c r="E55" s="21"/>
      <c r="F55" s="21"/>
      <c r="G55" s="21"/>
      <c r="I55" s="21"/>
      <c r="J55" s="21"/>
      <c r="K55" s="21"/>
      <c r="L55" s="21"/>
      <c r="M55" s="21"/>
      <c r="N55" s="21"/>
      <c r="O55" s="21"/>
      <c r="Q55" s="21"/>
      <c r="R55" s="21"/>
      <c r="S55" s="21"/>
      <c r="T55" s="21"/>
    </row>
    <row r="56" customFormat="false" ht="15" hidden="false" customHeight="true" outlineLevel="0" collapsed="false">
      <c r="A56" s="21"/>
      <c r="B56" s="21"/>
      <c r="C56" s="21"/>
      <c r="D56" s="21"/>
      <c r="E56" s="21"/>
      <c r="F56" s="21"/>
      <c r="G56" s="21"/>
      <c r="I56" s="21"/>
      <c r="J56" s="21"/>
      <c r="K56" s="21"/>
      <c r="L56" s="21"/>
      <c r="M56" s="21"/>
      <c r="N56" s="21"/>
      <c r="O56" s="21"/>
      <c r="Q56" s="21"/>
      <c r="R56" s="21"/>
      <c r="S56" s="21"/>
      <c r="T56" s="21"/>
    </row>
    <row r="57" customFormat="false" ht="15" hidden="false" customHeight="true" outlineLevel="0" collapsed="false">
      <c r="A57" s="21"/>
      <c r="B57" s="21"/>
      <c r="C57" s="21"/>
      <c r="D57" s="21"/>
      <c r="E57" s="21"/>
      <c r="F57" s="21"/>
      <c r="G57" s="21"/>
      <c r="I57" s="21"/>
      <c r="J57" s="21"/>
      <c r="K57" s="21"/>
      <c r="L57" s="21"/>
      <c r="M57" s="21"/>
      <c r="N57" s="21"/>
      <c r="O57" s="21"/>
      <c r="Q57" s="21"/>
      <c r="R57" s="21"/>
      <c r="S57" s="21"/>
      <c r="T57" s="21"/>
    </row>
    <row r="58" customFormat="false" ht="15" hidden="false" customHeight="true" outlineLevel="0" collapsed="false">
      <c r="A58" s="21"/>
      <c r="B58" s="21"/>
      <c r="C58" s="21"/>
      <c r="D58" s="21"/>
      <c r="E58" s="21"/>
      <c r="F58" s="21"/>
      <c r="G58" s="21"/>
      <c r="I58" s="21"/>
      <c r="J58" s="21"/>
      <c r="K58" s="21"/>
      <c r="L58" s="21"/>
      <c r="M58" s="21"/>
      <c r="N58" s="21"/>
      <c r="O58" s="21"/>
      <c r="Q58" s="21"/>
      <c r="R58" s="21"/>
      <c r="S58" s="21"/>
      <c r="T58" s="21"/>
    </row>
    <row r="59" customFormat="false" ht="15" hidden="false" customHeight="true" outlineLevel="0" collapsed="false">
      <c r="A59" s="21"/>
      <c r="B59" s="21"/>
      <c r="C59" s="21"/>
      <c r="D59" s="21"/>
      <c r="E59" s="21"/>
      <c r="F59" s="21"/>
      <c r="G59" s="21"/>
      <c r="I59" s="21"/>
      <c r="J59" s="21"/>
      <c r="K59" s="21"/>
      <c r="L59" s="21"/>
      <c r="M59" s="21"/>
      <c r="N59" s="21"/>
      <c r="O59" s="21"/>
      <c r="Q59" s="21"/>
      <c r="R59" s="21"/>
      <c r="S59" s="21"/>
      <c r="T59" s="21"/>
    </row>
    <row r="60" customFormat="false" ht="15" hidden="false" customHeight="true" outlineLevel="0" collapsed="false">
      <c r="A60" s="21"/>
      <c r="B60" s="21"/>
      <c r="C60" s="21"/>
      <c r="D60" s="21"/>
      <c r="E60" s="21"/>
      <c r="F60" s="21"/>
      <c r="G60" s="21"/>
      <c r="I60" s="21"/>
      <c r="J60" s="21"/>
      <c r="K60" s="21"/>
      <c r="L60" s="21"/>
      <c r="M60" s="21"/>
      <c r="N60" s="21"/>
      <c r="O60" s="21"/>
      <c r="Q60" s="21"/>
      <c r="R60" s="21"/>
      <c r="S60" s="21"/>
      <c r="T60" s="21"/>
    </row>
    <row r="61" customFormat="false" ht="15" hidden="false" customHeight="true" outlineLevel="0" collapsed="false">
      <c r="A61" s="21"/>
      <c r="B61" s="21"/>
      <c r="C61" s="21"/>
      <c r="D61" s="21"/>
      <c r="E61" s="21"/>
      <c r="F61" s="21"/>
      <c r="G61" s="21"/>
      <c r="I61" s="21"/>
      <c r="J61" s="21"/>
      <c r="K61" s="21"/>
      <c r="L61" s="21"/>
      <c r="M61" s="21"/>
      <c r="N61" s="21"/>
      <c r="O61" s="21"/>
      <c r="Q61" s="21"/>
      <c r="R61" s="21"/>
      <c r="S61" s="21"/>
      <c r="T61" s="21"/>
    </row>
    <row r="62" customFormat="false" ht="15" hidden="false" customHeight="true" outlineLevel="0" collapsed="false">
      <c r="A62" s="21"/>
      <c r="B62" s="21"/>
      <c r="C62" s="21"/>
      <c r="D62" s="21"/>
      <c r="E62" s="21"/>
      <c r="F62" s="21"/>
      <c r="G62" s="21"/>
      <c r="I62" s="21"/>
      <c r="J62" s="21"/>
      <c r="K62" s="21"/>
      <c r="L62" s="21"/>
      <c r="M62" s="21"/>
      <c r="N62" s="21"/>
      <c r="O62" s="21"/>
      <c r="Q62" s="21"/>
      <c r="R62" s="21"/>
      <c r="S62" s="21"/>
      <c r="T62" s="21"/>
    </row>
    <row r="63" customFormat="false" ht="15" hidden="false" customHeight="true" outlineLevel="0" collapsed="false">
      <c r="A63" s="21"/>
      <c r="B63" s="21"/>
      <c r="C63" s="21"/>
      <c r="D63" s="21"/>
      <c r="E63" s="21"/>
      <c r="F63" s="21"/>
      <c r="G63" s="21"/>
      <c r="I63" s="21"/>
      <c r="J63" s="21"/>
      <c r="K63" s="21"/>
      <c r="L63" s="21"/>
      <c r="M63" s="21"/>
      <c r="N63" s="21"/>
      <c r="O63" s="21"/>
      <c r="Q63" s="21"/>
      <c r="R63" s="21"/>
      <c r="S63" s="21"/>
      <c r="T63" s="21"/>
    </row>
    <row r="64" customFormat="false" ht="15" hidden="false" customHeight="true" outlineLevel="0" collapsed="false">
      <c r="A64" s="21"/>
      <c r="B64" s="21"/>
      <c r="C64" s="21"/>
      <c r="D64" s="21"/>
      <c r="E64" s="21"/>
      <c r="F64" s="21"/>
      <c r="G64" s="21"/>
      <c r="I64" s="21"/>
      <c r="J64" s="21"/>
      <c r="K64" s="21"/>
      <c r="L64" s="21"/>
      <c r="M64" s="21"/>
      <c r="N64" s="21"/>
      <c r="O64" s="21"/>
      <c r="Q64" s="21"/>
      <c r="R64" s="21"/>
      <c r="S64" s="21"/>
      <c r="T64" s="21"/>
    </row>
    <row r="65" customFormat="false" ht="15" hidden="false" customHeight="true" outlineLevel="0" collapsed="false">
      <c r="A65" s="21"/>
      <c r="B65" s="21"/>
      <c r="C65" s="21"/>
      <c r="D65" s="21"/>
      <c r="E65" s="21"/>
      <c r="F65" s="21"/>
      <c r="G65" s="21"/>
      <c r="I65" s="21"/>
      <c r="J65" s="21"/>
      <c r="K65" s="21"/>
      <c r="L65" s="21"/>
      <c r="M65" s="21"/>
      <c r="N65" s="21"/>
      <c r="O65" s="21"/>
      <c r="Q65" s="21"/>
      <c r="R65" s="21"/>
      <c r="S65" s="21"/>
      <c r="T65" s="21"/>
    </row>
    <row r="66" customFormat="false" ht="15" hidden="false" customHeight="true" outlineLevel="0" collapsed="false">
      <c r="A66" s="21"/>
      <c r="B66" s="21"/>
      <c r="C66" s="21"/>
      <c r="D66" s="21"/>
      <c r="E66" s="21"/>
      <c r="F66" s="21"/>
      <c r="G66" s="21"/>
      <c r="I66" s="21"/>
      <c r="J66" s="21"/>
      <c r="K66" s="21"/>
      <c r="L66" s="21"/>
      <c r="M66" s="21"/>
      <c r="N66" s="21"/>
      <c r="O66" s="21"/>
      <c r="Q66" s="21"/>
      <c r="R66" s="21"/>
      <c r="S66" s="21"/>
      <c r="T66" s="21"/>
    </row>
    <row r="67" customFormat="false" ht="15" hidden="false" customHeight="true" outlineLevel="0" collapsed="false">
      <c r="A67" s="21"/>
      <c r="B67" s="21"/>
      <c r="C67" s="21"/>
      <c r="D67" s="21"/>
      <c r="E67" s="21"/>
      <c r="F67" s="21"/>
      <c r="G67" s="21"/>
      <c r="I67" s="21"/>
      <c r="J67" s="21"/>
      <c r="K67" s="21"/>
      <c r="L67" s="21"/>
      <c r="M67" s="21"/>
      <c r="N67" s="21"/>
      <c r="O67" s="21"/>
      <c r="Q67" s="21"/>
      <c r="R67" s="21"/>
      <c r="S67" s="21"/>
      <c r="T67" s="21"/>
    </row>
    <row r="68" customFormat="false" ht="15" hidden="false" customHeight="true" outlineLevel="0" collapsed="false">
      <c r="A68" s="21"/>
      <c r="B68" s="21"/>
      <c r="C68" s="21"/>
      <c r="D68" s="21"/>
      <c r="E68" s="21"/>
      <c r="F68" s="21"/>
      <c r="G68" s="21"/>
      <c r="I68" s="21"/>
      <c r="J68" s="21"/>
      <c r="K68" s="21"/>
      <c r="L68" s="21"/>
      <c r="M68" s="21"/>
      <c r="N68" s="21"/>
      <c r="O68" s="21"/>
      <c r="Q68" s="21"/>
      <c r="R68" s="21"/>
      <c r="S68" s="21"/>
      <c r="T68" s="21"/>
    </row>
    <row r="69" customFormat="false" ht="15" hidden="false" customHeight="true" outlineLevel="0" collapsed="false">
      <c r="A69" s="21"/>
      <c r="B69" s="21"/>
      <c r="C69" s="21"/>
      <c r="D69" s="21"/>
      <c r="E69" s="21"/>
      <c r="F69" s="21"/>
      <c r="G69" s="21"/>
      <c r="I69" s="21"/>
      <c r="J69" s="21"/>
      <c r="K69" s="21"/>
      <c r="L69" s="21"/>
      <c r="M69" s="21"/>
      <c r="N69" s="21"/>
      <c r="O69" s="21"/>
      <c r="Q69" s="21"/>
      <c r="R69" s="21"/>
      <c r="S69" s="21"/>
      <c r="T69" s="21"/>
    </row>
    <row r="70" customFormat="false" ht="15" hidden="false" customHeight="true" outlineLevel="0" collapsed="false">
      <c r="A70" s="21"/>
      <c r="B70" s="21"/>
      <c r="C70" s="21"/>
      <c r="D70" s="21"/>
      <c r="E70" s="21"/>
      <c r="F70" s="21"/>
      <c r="G70" s="21"/>
      <c r="I70" s="21"/>
      <c r="J70" s="21"/>
      <c r="K70" s="21"/>
      <c r="L70" s="21"/>
      <c r="M70" s="21"/>
      <c r="N70" s="21"/>
      <c r="O70" s="21"/>
      <c r="Q70" s="21"/>
      <c r="R70" s="21"/>
      <c r="S70" s="21"/>
      <c r="T70" s="21"/>
    </row>
    <row r="71" customFormat="false" ht="15" hidden="false" customHeight="true" outlineLevel="0" collapsed="false">
      <c r="A71" s="21"/>
      <c r="B71" s="21"/>
      <c r="C71" s="21"/>
      <c r="D71" s="21"/>
      <c r="E71" s="21"/>
      <c r="F71" s="21"/>
      <c r="G71" s="21"/>
      <c r="I71" s="21"/>
      <c r="J71" s="21"/>
      <c r="K71" s="21"/>
      <c r="L71" s="21"/>
      <c r="M71" s="21"/>
      <c r="N71" s="21"/>
      <c r="O71" s="21"/>
      <c r="Q71" s="21"/>
      <c r="R71" s="21"/>
      <c r="S71" s="21"/>
      <c r="T71" s="21"/>
    </row>
    <row r="72" customFormat="false" ht="15" hidden="false" customHeight="true" outlineLevel="0" collapsed="false">
      <c r="A72" s="21"/>
      <c r="B72" s="21"/>
      <c r="C72" s="21"/>
      <c r="D72" s="21"/>
      <c r="E72" s="21"/>
      <c r="F72" s="21"/>
      <c r="G72" s="21"/>
      <c r="I72" s="21"/>
      <c r="J72" s="21"/>
      <c r="K72" s="21"/>
      <c r="L72" s="21"/>
      <c r="M72" s="21"/>
      <c r="N72" s="21"/>
      <c r="O72" s="21"/>
      <c r="Q72" s="21"/>
      <c r="R72" s="21"/>
      <c r="S72" s="21"/>
      <c r="T72" s="21"/>
    </row>
    <row r="73" customFormat="false" ht="15" hidden="false" customHeight="true" outlineLevel="0" collapsed="false">
      <c r="A73" s="21"/>
      <c r="B73" s="21"/>
      <c r="C73" s="21"/>
      <c r="D73" s="21"/>
      <c r="E73" s="21"/>
      <c r="F73" s="21"/>
      <c r="G73" s="21"/>
      <c r="I73" s="21"/>
      <c r="J73" s="21"/>
      <c r="K73" s="21"/>
      <c r="L73" s="21"/>
      <c r="M73" s="21"/>
      <c r="N73" s="21"/>
      <c r="O73" s="21"/>
      <c r="Q73" s="21"/>
      <c r="R73" s="21"/>
      <c r="S73" s="21"/>
      <c r="T73" s="21"/>
    </row>
    <row r="74" customFormat="false" ht="15" hidden="false" customHeight="true" outlineLevel="0" collapsed="false">
      <c r="A74" s="21"/>
      <c r="B74" s="21"/>
      <c r="C74" s="21"/>
      <c r="D74" s="21"/>
      <c r="E74" s="21"/>
      <c r="F74" s="21"/>
      <c r="G74" s="21"/>
      <c r="I74" s="21"/>
      <c r="J74" s="21"/>
      <c r="K74" s="21"/>
      <c r="L74" s="21"/>
      <c r="M74" s="21"/>
      <c r="N74" s="21"/>
      <c r="O74" s="21"/>
      <c r="Q74" s="21"/>
      <c r="R74" s="21"/>
      <c r="S74" s="21"/>
      <c r="T74" s="21"/>
    </row>
    <row r="75" customFormat="false" ht="15" hidden="false" customHeight="true" outlineLevel="0" collapsed="false">
      <c r="A75" s="21"/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N75" s="21"/>
      <c r="O75" s="21"/>
      <c r="Q75" s="21"/>
      <c r="R75" s="21"/>
      <c r="S75" s="21"/>
      <c r="T75" s="21"/>
    </row>
    <row r="76" customFormat="false" ht="15" hidden="false" customHeight="true" outlineLevel="0" collapsed="false">
      <c r="A76" s="21"/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N76" s="21"/>
      <c r="O76" s="21"/>
      <c r="Q76" s="21"/>
      <c r="R76" s="21"/>
      <c r="S76" s="21"/>
      <c r="T76" s="21"/>
    </row>
    <row r="77" customFormat="false" ht="15" hidden="false" customHeight="true" outlineLevel="0" collapsed="false">
      <c r="A77" s="21"/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N77" s="21"/>
      <c r="O77" s="21"/>
      <c r="Q77" s="21"/>
      <c r="R77" s="21"/>
      <c r="S77" s="21"/>
      <c r="T77" s="21"/>
    </row>
    <row r="78" customFormat="false" ht="15" hidden="false" customHeight="true" outlineLevel="0" collapsed="false">
      <c r="A78" s="21"/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N78" s="21"/>
      <c r="O78" s="21"/>
      <c r="Q78" s="21"/>
      <c r="R78" s="21"/>
      <c r="S78" s="21"/>
      <c r="T78" s="21"/>
    </row>
    <row r="79" customFormat="false" ht="15" hidden="false" customHeight="true" outlineLevel="0" collapsed="false">
      <c r="A79" s="21"/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N79" s="21"/>
      <c r="O79" s="21"/>
      <c r="Q79" s="21"/>
      <c r="R79" s="21"/>
      <c r="S79" s="21"/>
      <c r="T79" s="21"/>
    </row>
    <row r="80" customFormat="false" ht="15" hidden="false" customHeight="true" outlineLevel="0" collapsed="false">
      <c r="A80" s="21"/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N80" s="21"/>
      <c r="O80" s="21"/>
      <c r="Q80" s="21"/>
      <c r="R80" s="21"/>
      <c r="S80" s="21"/>
      <c r="T80" s="21"/>
    </row>
    <row r="81" customFormat="false" ht="15" hidden="false" customHeight="true" outlineLevel="0" collapsed="false">
      <c r="A81" s="21"/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N81" s="21"/>
      <c r="O81" s="21"/>
      <c r="Q81" s="21"/>
      <c r="R81" s="21"/>
      <c r="S81" s="21"/>
      <c r="T81" s="21"/>
    </row>
    <row r="82" customFormat="false" ht="15" hidden="false" customHeight="true" outlineLevel="0" collapsed="false">
      <c r="A82" s="21"/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N82" s="21"/>
      <c r="O82" s="21"/>
      <c r="Q82" s="21"/>
      <c r="R82" s="21"/>
      <c r="S82" s="21"/>
      <c r="T82" s="21"/>
    </row>
    <row r="83" customFormat="false" ht="15" hidden="false" customHeight="true" outlineLevel="0" collapsed="false">
      <c r="A83" s="21"/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N83" s="21"/>
      <c r="O83" s="21"/>
      <c r="Q83" s="21"/>
      <c r="R83" s="21"/>
      <c r="S83" s="21"/>
      <c r="T83" s="21"/>
    </row>
    <row r="84" customFormat="false" ht="15" hidden="false" customHeight="true" outlineLevel="0" collapsed="false">
      <c r="A84" s="21"/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N84" s="21"/>
      <c r="O84" s="21"/>
      <c r="Q84" s="21"/>
      <c r="R84" s="21"/>
      <c r="S84" s="21"/>
      <c r="T84" s="21"/>
    </row>
    <row r="85" customFormat="false" ht="15" hidden="false" customHeight="true" outlineLevel="0" collapsed="false">
      <c r="A85" s="21"/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N85" s="21"/>
      <c r="O85" s="21"/>
      <c r="Q85" s="21"/>
      <c r="R85" s="21"/>
      <c r="S85" s="21"/>
      <c r="T85" s="21"/>
    </row>
    <row r="86" customFormat="false" ht="15" hidden="false" customHeight="true" outlineLevel="0" collapsed="false">
      <c r="A86" s="21"/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N86" s="21"/>
      <c r="O86" s="21"/>
      <c r="Q86" s="21"/>
      <c r="R86" s="21"/>
      <c r="S86" s="21"/>
      <c r="T86" s="21"/>
    </row>
    <row r="87" customFormat="false" ht="15" hidden="false" customHeight="true" outlineLevel="0" collapsed="false">
      <c r="A87" s="21"/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N87" s="21"/>
      <c r="O87" s="21"/>
      <c r="Q87" s="21"/>
      <c r="R87" s="21"/>
      <c r="S87" s="21"/>
      <c r="T87" s="21"/>
    </row>
    <row r="88" customFormat="false" ht="15" hidden="false" customHeight="true" outlineLevel="0" collapsed="false">
      <c r="A88" s="21"/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N88" s="21"/>
      <c r="O88" s="21"/>
      <c r="Q88" s="21"/>
      <c r="R88" s="21"/>
      <c r="S88" s="21"/>
      <c r="T88" s="21"/>
    </row>
    <row r="89" customFormat="false" ht="15" hidden="false" customHeight="true" outlineLevel="0" collapsed="false">
      <c r="A89" s="21"/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N89" s="21"/>
      <c r="O89" s="21"/>
      <c r="Q89" s="21"/>
      <c r="R89" s="21"/>
      <c r="S89" s="21"/>
      <c r="T89" s="21"/>
    </row>
    <row r="90" customFormat="false" ht="15" hidden="false" customHeight="true" outlineLevel="0" collapsed="false">
      <c r="A90" s="21"/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N90" s="21"/>
      <c r="O90" s="21"/>
      <c r="Q90" s="21"/>
      <c r="R90" s="21"/>
      <c r="S90" s="21"/>
      <c r="T90" s="21"/>
    </row>
    <row r="91" customFormat="false" ht="15" hidden="false" customHeight="true" outlineLevel="0" collapsed="false">
      <c r="A91" s="21"/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N91" s="21"/>
      <c r="O91" s="21"/>
      <c r="Q91" s="21"/>
      <c r="R91" s="21"/>
      <c r="S91" s="21"/>
      <c r="T91" s="21"/>
    </row>
    <row r="92" customFormat="false" ht="15" hidden="false" customHeight="true" outlineLevel="0" collapsed="false">
      <c r="A92" s="21"/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N92" s="21"/>
      <c r="O92" s="21"/>
      <c r="Q92" s="21"/>
      <c r="R92" s="21"/>
      <c r="S92" s="21"/>
      <c r="T92" s="21"/>
    </row>
    <row r="93" customFormat="false" ht="15" hidden="false" customHeight="true" outlineLevel="0" collapsed="false">
      <c r="A93" s="21"/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N93" s="21"/>
      <c r="O93" s="21"/>
      <c r="Q93" s="21"/>
      <c r="R93" s="21"/>
      <c r="S93" s="21"/>
      <c r="T93" s="21"/>
    </row>
    <row r="94" customFormat="false" ht="15" hidden="false" customHeight="true" outlineLevel="0" collapsed="false">
      <c r="A94" s="21"/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N94" s="21"/>
      <c r="O94" s="21"/>
      <c r="Q94" s="21"/>
      <c r="R94" s="21"/>
      <c r="S94" s="21"/>
      <c r="T94" s="21"/>
    </row>
    <row r="95" customFormat="false" ht="15" hidden="false" customHeight="true" outlineLevel="0" collapsed="false">
      <c r="A95" s="21"/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N95" s="21"/>
      <c r="O95" s="21"/>
      <c r="Q95" s="21"/>
      <c r="R95" s="21"/>
      <c r="S95" s="21"/>
      <c r="T95" s="21"/>
    </row>
    <row r="96" customFormat="false" ht="15" hidden="false" customHeight="true" outlineLevel="0" collapsed="false">
      <c r="A96" s="21"/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N96" s="21"/>
      <c r="O96" s="21"/>
      <c r="Q96" s="21"/>
      <c r="R96" s="21"/>
      <c r="S96" s="21"/>
      <c r="T96" s="21"/>
    </row>
    <row r="97" customFormat="false" ht="15" hidden="false" customHeight="true" outlineLevel="0" collapsed="false">
      <c r="A97" s="21"/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N97" s="21"/>
      <c r="O97" s="21"/>
      <c r="Q97" s="21"/>
      <c r="R97" s="21"/>
      <c r="S97" s="21"/>
      <c r="T97" s="21"/>
    </row>
    <row r="98" customFormat="false" ht="15" hidden="false" customHeight="true" outlineLevel="0" collapsed="false">
      <c r="A98" s="21"/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N98" s="21"/>
      <c r="O98" s="21"/>
      <c r="Q98" s="21"/>
      <c r="R98" s="21"/>
      <c r="S98" s="21"/>
      <c r="T98" s="21"/>
    </row>
    <row r="99" customFormat="false" ht="15" hidden="false" customHeight="true" outlineLevel="0" collapsed="false">
      <c r="A99" s="21"/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N99" s="21"/>
      <c r="O99" s="21"/>
      <c r="Q99" s="21"/>
      <c r="R99" s="21"/>
      <c r="S99" s="21"/>
      <c r="T99" s="21"/>
    </row>
    <row r="100" customFormat="false" ht="15" hidden="false" customHeight="true" outlineLevel="0" collapsed="false">
      <c r="A100" s="21"/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N100" s="21"/>
      <c r="O100" s="21"/>
      <c r="Q100" s="21"/>
      <c r="R100" s="21"/>
      <c r="S100" s="21"/>
      <c r="T100" s="21"/>
    </row>
    <row r="101" customFormat="false" ht="15" hidden="false" customHeight="true" outlineLevel="0" collapsed="false">
      <c r="A101" s="21"/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N101" s="21"/>
      <c r="O101" s="21"/>
      <c r="Q101" s="21"/>
      <c r="R101" s="21"/>
      <c r="S101" s="21"/>
      <c r="T101" s="21"/>
    </row>
    <row r="102" customFormat="false" ht="15" hidden="false" customHeight="true" outlineLevel="0" collapsed="false">
      <c r="A102" s="21"/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N102" s="21"/>
      <c r="O102" s="21"/>
      <c r="Q102" s="21"/>
      <c r="R102" s="21"/>
      <c r="S102" s="21"/>
      <c r="T102" s="21"/>
    </row>
    <row r="103" customFormat="false" ht="15" hidden="false" customHeight="true" outlineLevel="0" collapsed="false">
      <c r="A103" s="21"/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N103" s="21"/>
      <c r="O103" s="21"/>
      <c r="Q103" s="21"/>
      <c r="R103" s="21"/>
      <c r="S103" s="21"/>
      <c r="T103" s="21"/>
    </row>
    <row r="104" customFormat="false" ht="15" hidden="false" customHeight="true" outlineLevel="0" collapsed="false">
      <c r="A104" s="21"/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N104" s="21"/>
      <c r="O104" s="21"/>
      <c r="Q104" s="21"/>
      <c r="R104" s="21"/>
      <c r="S104" s="21"/>
      <c r="T104" s="21"/>
    </row>
    <row r="105" customFormat="false" ht="15" hidden="false" customHeight="true" outlineLevel="0" collapsed="false">
      <c r="A105" s="21"/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N105" s="21"/>
      <c r="O105" s="21"/>
      <c r="Q105" s="21"/>
      <c r="R105" s="21"/>
      <c r="S105" s="21"/>
      <c r="T105" s="21"/>
    </row>
    <row r="106" customFormat="false" ht="15" hidden="false" customHeight="true" outlineLevel="0" collapsed="false">
      <c r="A106" s="21"/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N106" s="21"/>
      <c r="O106" s="21"/>
      <c r="Q106" s="21"/>
      <c r="R106" s="21"/>
      <c r="S106" s="21"/>
      <c r="T106" s="21"/>
    </row>
    <row r="107" customFormat="false" ht="15" hidden="false" customHeight="true" outlineLevel="0" collapsed="false">
      <c r="A107" s="21"/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N107" s="21"/>
      <c r="O107" s="21"/>
      <c r="Q107" s="21"/>
      <c r="R107" s="21"/>
      <c r="S107" s="21"/>
      <c r="T107" s="21"/>
    </row>
    <row r="108" customFormat="false" ht="15" hidden="false" customHeight="true" outlineLevel="0" collapsed="false">
      <c r="A108" s="21"/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N108" s="21"/>
      <c r="O108" s="21"/>
      <c r="Q108" s="21"/>
      <c r="R108" s="21"/>
      <c r="S108" s="21"/>
      <c r="T108" s="21"/>
    </row>
    <row r="109" customFormat="false" ht="15" hidden="false" customHeight="true" outlineLevel="0" collapsed="false">
      <c r="A109" s="21"/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N109" s="21"/>
      <c r="O109" s="21"/>
      <c r="Q109" s="21"/>
      <c r="R109" s="21"/>
      <c r="S109" s="21"/>
      <c r="T109" s="21"/>
    </row>
    <row r="110" customFormat="false" ht="15" hidden="false" customHeight="true" outlineLevel="0" collapsed="false">
      <c r="A110" s="21"/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N110" s="21"/>
      <c r="O110" s="21"/>
      <c r="Q110" s="21"/>
      <c r="R110" s="21"/>
      <c r="S110" s="21"/>
      <c r="T110" s="21"/>
    </row>
    <row r="111" customFormat="false" ht="15" hidden="false" customHeight="true" outlineLevel="0" collapsed="false">
      <c r="A111" s="21"/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N111" s="21"/>
      <c r="O111" s="21"/>
      <c r="Q111" s="21"/>
      <c r="R111" s="21"/>
      <c r="S111" s="21"/>
      <c r="T111" s="21"/>
    </row>
    <row r="112" customFormat="false" ht="15" hidden="false" customHeight="true" outlineLevel="0" collapsed="false">
      <c r="A112" s="21"/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N112" s="21"/>
      <c r="O112" s="21"/>
      <c r="Q112" s="21"/>
      <c r="R112" s="21"/>
      <c r="S112" s="21"/>
      <c r="T112" s="21"/>
    </row>
    <row r="113" customFormat="false" ht="15" hidden="false" customHeight="true" outlineLevel="0" collapsed="false">
      <c r="A113" s="21"/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N113" s="21"/>
      <c r="O113" s="21"/>
      <c r="Q113" s="21"/>
      <c r="R113" s="21"/>
      <c r="S113" s="21"/>
      <c r="T113" s="21"/>
    </row>
    <row r="114" customFormat="false" ht="15" hidden="false" customHeight="true" outlineLevel="0" collapsed="false">
      <c r="A114" s="21"/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N114" s="21"/>
      <c r="O114" s="21"/>
      <c r="Q114" s="21"/>
      <c r="R114" s="21"/>
      <c r="S114" s="21"/>
      <c r="T114" s="21"/>
    </row>
    <row r="115" customFormat="false" ht="15" hidden="false" customHeight="true" outlineLevel="0" collapsed="false">
      <c r="A115" s="21"/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N115" s="21"/>
      <c r="O115" s="21"/>
      <c r="Q115" s="21"/>
      <c r="R115" s="21"/>
      <c r="S115" s="21"/>
      <c r="T115" s="21"/>
    </row>
    <row r="116" customFormat="false" ht="15" hidden="false" customHeight="true" outlineLevel="0" collapsed="false">
      <c r="A116" s="21"/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N116" s="21"/>
      <c r="O116" s="21"/>
      <c r="Q116" s="21"/>
      <c r="R116" s="21"/>
      <c r="S116" s="21"/>
      <c r="T116" s="21"/>
    </row>
    <row r="117" customFormat="false" ht="15" hidden="false" customHeight="true" outlineLevel="0" collapsed="false">
      <c r="A117" s="21"/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N117" s="21"/>
      <c r="O117" s="21"/>
      <c r="Q117" s="21"/>
      <c r="R117" s="21"/>
      <c r="S117" s="21"/>
      <c r="T117" s="21"/>
    </row>
    <row r="118" customFormat="false" ht="15" hidden="false" customHeight="true" outlineLevel="0" collapsed="false">
      <c r="A118" s="21"/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N118" s="21"/>
      <c r="O118" s="21"/>
      <c r="Q118" s="21"/>
      <c r="R118" s="21"/>
      <c r="S118" s="21"/>
      <c r="T118" s="21"/>
    </row>
    <row r="119" customFormat="false" ht="15" hidden="false" customHeight="true" outlineLevel="0" collapsed="false">
      <c r="A119" s="21"/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N119" s="21"/>
      <c r="O119" s="21"/>
      <c r="Q119" s="21"/>
      <c r="R119" s="21"/>
      <c r="S119" s="21"/>
      <c r="T119" s="21"/>
    </row>
    <row r="120" customFormat="false" ht="15" hidden="false" customHeight="true" outlineLevel="0" collapsed="false">
      <c r="A120" s="21"/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N120" s="21"/>
      <c r="O120" s="21"/>
      <c r="Q120" s="21"/>
      <c r="R120" s="21"/>
      <c r="S120" s="21"/>
      <c r="T120" s="21"/>
    </row>
    <row r="121" customFormat="false" ht="15" hidden="false" customHeight="true" outlineLevel="0" collapsed="false">
      <c r="A121" s="21"/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N121" s="21"/>
      <c r="O121" s="21"/>
      <c r="Q121" s="21"/>
      <c r="R121" s="21"/>
      <c r="S121" s="21"/>
      <c r="T121" s="21"/>
    </row>
    <row r="122" customFormat="false" ht="15" hidden="false" customHeight="true" outlineLevel="0" collapsed="false">
      <c r="A122" s="21"/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N122" s="21"/>
      <c r="O122" s="21"/>
      <c r="Q122" s="21"/>
      <c r="R122" s="21"/>
      <c r="S122" s="21"/>
      <c r="T122" s="21"/>
    </row>
    <row r="123" customFormat="false" ht="15" hidden="false" customHeight="true" outlineLevel="0" collapsed="false">
      <c r="A123" s="21"/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N123" s="21"/>
      <c r="O123" s="21"/>
      <c r="Q123" s="21"/>
      <c r="R123" s="21"/>
      <c r="S123" s="21"/>
      <c r="T123" s="21"/>
    </row>
    <row r="124" customFormat="false" ht="15" hidden="false" customHeight="true" outlineLevel="0" collapsed="false">
      <c r="A124" s="21"/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N124" s="21"/>
      <c r="O124" s="21"/>
      <c r="Q124" s="21"/>
      <c r="R124" s="21"/>
      <c r="S124" s="21"/>
      <c r="T124" s="21"/>
    </row>
    <row r="125" customFormat="false" ht="15" hidden="false" customHeight="true" outlineLevel="0" collapsed="false">
      <c r="A125" s="21"/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N125" s="21"/>
      <c r="O125" s="21"/>
      <c r="Q125" s="21"/>
      <c r="R125" s="21"/>
      <c r="S125" s="21"/>
      <c r="T125" s="21"/>
    </row>
    <row r="126" customFormat="false" ht="15" hidden="false" customHeight="true" outlineLevel="0" collapsed="false">
      <c r="A126" s="21"/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N126" s="21"/>
      <c r="O126" s="21"/>
      <c r="Q126" s="21"/>
      <c r="R126" s="21"/>
      <c r="S126" s="21"/>
      <c r="T126" s="21"/>
    </row>
    <row r="127" customFormat="false" ht="15" hidden="false" customHeight="true" outlineLevel="0" collapsed="false">
      <c r="A127" s="21"/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N127" s="21"/>
      <c r="O127" s="21"/>
      <c r="Q127" s="21"/>
      <c r="R127" s="21"/>
      <c r="S127" s="21"/>
      <c r="T127" s="21"/>
    </row>
    <row r="128" customFormat="false" ht="15" hidden="false" customHeight="true" outlineLevel="0" collapsed="false">
      <c r="A128" s="21"/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N128" s="21"/>
      <c r="O128" s="21"/>
      <c r="Q128" s="21"/>
      <c r="R128" s="21"/>
      <c r="S128" s="21"/>
      <c r="T128" s="21"/>
    </row>
    <row r="129" customFormat="false" ht="15" hidden="false" customHeight="true" outlineLevel="0" collapsed="false">
      <c r="A129" s="21"/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N129" s="21"/>
      <c r="O129" s="21"/>
      <c r="Q129" s="21"/>
      <c r="R129" s="21"/>
      <c r="S129" s="21"/>
      <c r="T129" s="21"/>
    </row>
    <row r="130" customFormat="false" ht="15" hidden="false" customHeight="true" outlineLevel="0" collapsed="false">
      <c r="A130" s="21"/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N130" s="21"/>
      <c r="O130" s="21"/>
      <c r="Q130" s="21"/>
      <c r="R130" s="21"/>
      <c r="S130" s="21"/>
      <c r="T130" s="21"/>
    </row>
    <row r="131" customFormat="false" ht="15" hidden="false" customHeight="true" outlineLevel="0" collapsed="false">
      <c r="A131" s="21"/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N131" s="21"/>
      <c r="O131" s="21"/>
      <c r="Q131" s="21"/>
      <c r="R131" s="21"/>
      <c r="S131" s="21"/>
      <c r="T131" s="21"/>
    </row>
    <row r="132" customFormat="false" ht="15" hidden="false" customHeight="true" outlineLevel="0" collapsed="false">
      <c r="A132" s="21"/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N132" s="21"/>
      <c r="O132" s="21"/>
      <c r="Q132" s="21"/>
      <c r="R132" s="21"/>
      <c r="S132" s="21"/>
      <c r="T132" s="21"/>
    </row>
    <row r="133" customFormat="false" ht="15" hidden="false" customHeight="true" outlineLevel="0" collapsed="false">
      <c r="A133" s="21"/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N133" s="21"/>
      <c r="O133" s="21"/>
      <c r="Q133" s="21"/>
      <c r="R133" s="21"/>
      <c r="S133" s="21"/>
      <c r="T133" s="21"/>
    </row>
    <row r="134" customFormat="false" ht="15" hidden="false" customHeight="true" outlineLevel="0" collapsed="false">
      <c r="A134" s="21"/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N134" s="21"/>
      <c r="O134" s="21"/>
      <c r="Q134" s="21"/>
      <c r="R134" s="21"/>
      <c r="S134" s="21"/>
      <c r="T134" s="21"/>
    </row>
    <row r="135" customFormat="false" ht="15" hidden="false" customHeight="true" outlineLevel="0" collapsed="false">
      <c r="A135" s="21"/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N135" s="21"/>
      <c r="O135" s="21"/>
      <c r="Q135" s="21"/>
      <c r="R135" s="21"/>
      <c r="S135" s="21"/>
      <c r="T135" s="21"/>
    </row>
    <row r="136" customFormat="false" ht="15" hidden="false" customHeight="true" outlineLevel="0" collapsed="false">
      <c r="A136" s="21"/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N136" s="21"/>
      <c r="O136" s="21"/>
      <c r="Q136" s="21"/>
      <c r="R136" s="21"/>
      <c r="S136" s="21"/>
      <c r="T136" s="21"/>
    </row>
    <row r="137" customFormat="false" ht="15" hidden="false" customHeight="true" outlineLevel="0" collapsed="false">
      <c r="A137" s="21"/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N137" s="21"/>
      <c r="O137" s="21"/>
      <c r="Q137" s="21"/>
      <c r="R137" s="21"/>
      <c r="S137" s="21"/>
      <c r="T137" s="21"/>
    </row>
    <row r="138" customFormat="false" ht="15" hidden="false" customHeight="true" outlineLevel="0" collapsed="false">
      <c r="A138" s="21"/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N138" s="21"/>
      <c r="O138" s="21"/>
      <c r="Q138" s="21"/>
      <c r="R138" s="21"/>
      <c r="S138" s="21"/>
      <c r="T138" s="21"/>
    </row>
    <row r="139" customFormat="false" ht="15" hidden="false" customHeight="true" outlineLevel="0" collapsed="false">
      <c r="A139" s="21"/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N139" s="21"/>
      <c r="O139" s="21"/>
      <c r="Q139" s="21"/>
      <c r="R139" s="21"/>
      <c r="S139" s="21"/>
      <c r="T139" s="21"/>
    </row>
    <row r="140" customFormat="false" ht="15" hidden="false" customHeight="true" outlineLevel="0" collapsed="false">
      <c r="A140" s="21"/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N140" s="21"/>
      <c r="O140" s="21"/>
      <c r="Q140" s="21"/>
      <c r="R140" s="21"/>
      <c r="S140" s="21"/>
      <c r="T140" s="21"/>
    </row>
    <row r="141" customFormat="false" ht="15" hidden="false" customHeight="true" outlineLevel="0" collapsed="false">
      <c r="A141" s="21"/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N141" s="21"/>
      <c r="O141" s="21"/>
      <c r="Q141" s="21"/>
      <c r="R141" s="21"/>
      <c r="S141" s="21"/>
      <c r="T141" s="21"/>
    </row>
    <row r="142" customFormat="false" ht="15" hidden="false" customHeight="true" outlineLevel="0" collapsed="false">
      <c r="A142" s="21"/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N142" s="21"/>
      <c r="O142" s="21"/>
      <c r="Q142" s="21"/>
      <c r="R142" s="21"/>
      <c r="S142" s="21"/>
      <c r="T142" s="21"/>
    </row>
    <row r="143" customFormat="false" ht="15" hidden="false" customHeight="true" outlineLevel="0" collapsed="false">
      <c r="A143" s="21"/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N143" s="21"/>
      <c r="O143" s="21"/>
      <c r="Q143" s="21"/>
      <c r="R143" s="21"/>
      <c r="S143" s="21"/>
      <c r="T143" s="21"/>
    </row>
    <row r="144" customFormat="false" ht="15" hidden="false" customHeight="true" outlineLevel="0" collapsed="false">
      <c r="A144" s="21"/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N144" s="21"/>
      <c r="O144" s="21"/>
      <c r="Q144" s="21"/>
      <c r="R144" s="21"/>
      <c r="S144" s="21"/>
      <c r="T144" s="21"/>
    </row>
    <row r="145" customFormat="false" ht="15" hidden="false" customHeight="true" outlineLevel="0" collapsed="false">
      <c r="A145" s="21"/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N145" s="21"/>
      <c r="O145" s="21"/>
      <c r="Q145" s="21"/>
      <c r="R145" s="21"/>
      <c r="S145" s="21"/>
      <c r="T145" s="21"/>
    </row>
    <row r="146" customFormat="false" ht="15" hidden="false" customHeight="true" outlineLevel="0" collapsed="false">
      <c r="A146" s="21"/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N146" s="21"/>
      <c r="O146" s="21"/>
      <c r="Q146" s="21"/>
      <c r="R146" s="21"/>
      <c r="S146" s="21"/>
      <c r="T146" s="21"/>
    </row>
    <row r="147" customFormat="false" ht="15" hidden="false" customHeight="true" outlineLevel="0" collapsed="false">
      <c r="A147" s="21"/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N147" s="21"/>
      <c r="O147" s="21"/>
      <c r="Q147" s="21"/>
      <c r="R147" s="21"/>
      <c r="S147" s="21"/>
      <c r="T147" s="21"/>
    </row>
    <row r="148" customFormat="false" ht="15" hidden="false" customHeight="true" outlineLevel="0" collapsed="false">
      <c r="A148" s="21"/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N148" s="21"/>
      <c r="O148" s="21"/>
      <c r="Q148" s="21"/>
      <c r="R148" s="21"/>
      <c r="S148" s="21"/>
      <c r="T148" s="21"/>
    </row>
    <row r="149" customFormat="false" ht="15" hidden="false" customHeight="true" outlineLevel="0" collapsed="false">
      <c r="A149" s="21"/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N149" s="21"/>
      <c r="O149" s="21"/>
      <c r="Q149" s="21"/>
      <c r="R149" s="21"/>
      <c r="S149" s="21"/>
      <c r="T149" s="21"/>
    </row>
    <row r="150" customFormat="false" ht="15" hidden="false" customHeight="true" outlineLevel="0" collapsed="false">
      <c r="A150" s="21"/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N150" s="21"/>
      <c r="O150" s="21"/>
      <c r="Q150" s="21"/>
      <c r="R150" s="21"/>
      <c r="S150" s="21"/>
      <c r="T150" s="21"/>
    </row>
    <row r="151" customFormat="false" ht="15" hidden="false" customHeight="true" outlineLevel="0" collapsed="false">
      <c r="A151" s="21"/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N151" s="21"/>
      <c r="O151" s="21"/>
      <c r="Q151" s="21"/>
      <c r="R151" s="21"/>
      <c r="S151" s="21"/>
      <c r="T151" s="21"/>
    </row>
    <row r="152" customFormat="false" ht="15" hidden="false" customHeight="true" outlineLevel="0" collapsed="false">
      <c r="A152" s="21"/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N152" s="21"/>
      <c r="O152" s="21"/>
      <c r="Q152" s="21"/>
      <c r="R152" s="21"/>
      <c r="S152" s="21"/>
      <c r="T152" s="21"/>
    </row>
    <row r="153" customFormat="false" ht="15" hidden="false" customHeight="true" outlineLevel="0" collapsed="false">
      <c r="A153" s="21"/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N153" s="21"/>
      <c r="O153" s="21"/>
      <c r="Q153" s="21"/>
      <c r="R153" s="21"/>
      <c r="S153" s="21"/>
      <c r="T153" s="21"/>
    </row>
    <row r="154" customFormat="false" ht="15" hidden="false" customHeight="true" outlineLevel="0" collapsed="false">
      <c r="A154" s="21"/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N154" s="21"/>
      <c r="O154" s="21"/>
      <c r="Q154" s="21"/>
      <c r="R154" s="21"/>
      <c r="S154" s="21"/>
      <c r="T154" s="21"/>
    </row>
    <row r="155" customFormat="false" ht="15" hidden="false" customHeight="true" outlineLevel="0" collapsed="false">
      <c r="A155" s="21"/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N155" s="21"/>
      <c r="O155" s="21"/>
      <c r="Q155" s="21"/>
      <c r="R155" s="21"/>
      <c r="S155" s="21"/>
      <c r="T155" s="21"/>
    </row>
    <row r="156" customFormat="false" ht="15" hidden="false" customHeight="true" outlineLevel="0" collapsed="false">
      <c r="A156" s="21"/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N156" s="21"/>
      <c r="O156" s="21"/>
      <c r="Q156" s="21"/>
      <c r="R156" s="21"/>
      <c r="S156" s="21"/>
      <c r="T156" s="21"/>
    </row>
    <row r="157" customFormat="false" ht="15" hidden="false" customHeight="true" outlineLevel="0" collapsed="false">
      <c r="A157" s="21"/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N157" s="21"/>
      <c r="O157" s="21"/>
      <c r="Q157" s="21"/>
      <c r="R157" s="21"/>
      <c r="S157" s="21"/>
      <c r="T157" s="21"/>
    </row>
    <row r="158" customFormat="false" ht="15" hidden="false" customHeight="true" outlineLevel="0" collapsed="false">
      <c r="A158" s="21"/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N158" s="21"/>
      <c r="O158" s="21"/>
      <c r="Q158" s="21"/>
      <c r="R158" s="21"/>
      <c r="S158" s="21"/>
      <c r="T158" s="21"/>
    </row>
    <row r="159" customFormat="false" ht="15" hidden="false" customHeight="true" outlineLevel="0" collapsed="false">
      <c r="A159" s="21"/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N159" s="21"/>
      <c r="O159" s="21"/>
      <c r="Q159" s="21"/>
      <c r="R159" s="21"/>
      <c r="S159" s="21"/>
      <c r="T159" s="21"/>
    </row>
    <row r="160" customFormat="false" ht="15" hidden="false" customHeight="true" outlineLevel="0" collapsed="false">
      <c r="A160" s="21"/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N160" s="21"/>
      <c r="O160" s="21"/>
      <c r="Q160" s="21"/>
      <c r="R160" s="21"/>
      <c r="S160" s="21"/>
      <c r="T160" s="21"/>
    </row>
    <row r="161" customFormat="false" ht="15" hidden="false" customHeight="true" outlineLevel="0" collapsed="false">
      <c r="A161" s="21"/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N161" s="21"/>
      <c r="O161" s="21"/>
      <c r="Q161" s="21"/>
      <c r="R161" s="21"/>
      <c r="S161" s="21"/>
      <c r="T161" s="21"/>
    </row>
    <row r="162" customFormat="false" ht="15" hidden="false" customHeight="true" outlineLevel="0" collapsed="false">
      <c r="A162" s="21"/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N162" s="21"/>
      <c r="O162" s="21"/>
      <c r="Q162" s="21"/>
      <c r="R162" s="21"/>
      <c r="S162" s="21"/>
      <c r="T162" s="21"/>
    </row>
    <row r="163" customFormat="false" ht="15" hidden="false" customHeight="true" outlineLevel="0" collapsed="false">
      <c r="A163" s="21"/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N163" s="21"/>
      <c r="O163" s="21"/>
      <c r="Q163" s="21"/>
      <c r="R163" s="21"/>
      <c r="S163" s="21"/>
      <c r="T163" s="21"/>
    </row>
    <row r="164" customFormat="false" ht="15" hidden="false" customHeight="true" outlineLevel="0" collapsed="false">
      <c r="A164" s="21"/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N164" s="21"/>
      <c r="O164" s="21"/>
      <c r="Q164" s="21"/>
      <c r="R164" s="21"/>
      <c r="S164" s="21"/>
      <c r="T164" s="21"/>
    </row>
    <row r="165" customFormat="false" ht="15" hidden="false" customHeight="true" outlineLevel="0" collapsed="false">
      <c r="A165" s="21"/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N165" s="21"/>
      <c r="O165" s="21"/>
      <c r="Q165" s="21"/>
      <c r="R165" s="21"/>
      <c r="S165" s="21"/>
      <c r="T165" s="21"/>
    </row>
    <row r="166" customFormat="false" ht="15" hidden="false" customHeight="true" outlineLevel="0" collapsed="false">
      <c r="A166" s="21"/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N166" s="21"/>
      <c r="O166" s="21"/>
      <c r="Q166" s="21"/>
      <c r="R166" s="21"/>
      <c r="S166" s="21"/>
      <c r="T166" s="21"/>
    </row>
    <row r="167" customFormat="false" ht="15" hidden="false" customHeight="true" outlineLevel="0" collapsed="false">
      <c r="A167" s="21"/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N167" s="21"/>
      <c r="O167" s="21"/>
      <c r="Q167" s="21"/>
      <c r="R167" s="21"/>
      <c r="S167" s="21"/>
      <c r="T167" s="21"/>
    </row>
    <row r="168" customFormat="false" ht="15" hidden="false" customHeight="true" outlineLevel="0" collapsed="false">
      <c r="A168" s="21"/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N168" s="21"/>
      <c r="O168" s="21"/>
      <c r="Q168" s="21"/>
      <c r="R168" s="21"/>
      <c r="S168" s="21"/>
      <c r="T168" s="21"/>
    </row>
    <row r="169" customFormat="false" ht="15" hidden="false" customHeight="true" outlineLevel="0" collapsed="false">
      <c r="A169" s="21"/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N169" s="21"/>
      <c r="O169" s="21"/>
      <c r="Q169" s="21"/>
      <c r="R169" s="21"/>
      <c r="S169" s="21"/>
      <c r="T169" s="21"/>
    </row>
    <row r="170" customFormat="false" ht="15" hidden="false" customHeight="true" outlineLevel="0" collapsed="false">
      <c r="A170" s="21"/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N170" s="21"/>
      <c r="O170" s="21"/>
      <c r="Q170" s="21"/>
      <c r="R170" s="21"/>
      <c r="S170" s="21"/>
      <c r="T170" s="21"/>
    </row>
    <row r="171" customFormat="false" ht="15" hidden="false" customHeight="true" outlineLevel="0" collapsed="false">
      <c r="A171" s="21"/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N171" s="21"/>
      <c r="O171" s="21"/>
      <c r="Q171" s="21"/>
      <c r="R171" s="21"/>
      <c r="S171" s="21"/>
      <c r="T171" s="21"/>
    </row>
    <row r="172" customFormat="false" ht="15" hidden="false" customHeight="true" outlineLevel="0" collapsed="false">
      <c r="A172" s="21"/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N172" s="21"/>
      <c r="O172" s="21"/>
      <c r="Q172" s="21"/>
      <c r="R172" s="21"/>
      <c r="S172" s="21"/>
      <c r="T172" s="21"/>
    </row>
    <row r="173" customFormat="false" ht="15" hidden="false" customHeight="true" outlineLevel="0" collapsed="false">
      <c r="A173" s="21"/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N173" s="21"/>
      <c r="O173" s="21"/>
      <c r="Q173" s="21"/>
      <c r="R173" s="21"/>
      <c r="S173" s="21"/>
      <c r="T173" s="21"/>
    </row>
    <row r="174" customFormat="false" ht="15" hidden="false" customHeight="true" outlineLevel="0" collapsed="false">
      <c r="A174" s="21"/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N174" s="21"/>
      <c r="O174" s="21"/>
      <c r="Q174" s="21"/>
      <c r="R174" s="21"/>
      <c r="S174" s="21"/>
      <c r="T174" s="21"/>
    </row>
    <row r="175" customFormat="false" ht="15" hidden="false" customHeight="true" outlineLevel="0" collapsed="false">
      <c r="A175" s="21"/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N175" s="21"/>
      <c r="O175" s="21"/>
      <c r="Q175" s="21"/>
      <c r="R175" s="21"/>
      <c r="S175" s="21"/>
      <c r="T175" s="21"/>
    </row>
    <row r="176" customFormat="false" ht="15" hidden="false" customHeight="true" outlineLevel="0" collapsed="false">
      <c r="A176" s="21"/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N176" s="21"/>
      <c r="O176" s="21"/>
      <c r="Q176" s="21"/>
      <c r="R176" s="21"/>
      <c r="S176" s="21"/>
      <c r="T176" s="21"/>
    </row>
    <row r="177" customFormat="false" ht="15" hidden="false" customHeight="true" outlineLevel="0" collapsed="false">
      <c r="A177" s="21"/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N177" s="21"/>
      <c r="O177" s="21"/>
      <c r="Q177" s="21"/>
      <c r="R177" s="21"/>
      <c r="S177" s="21"/>
      <c r="T177" s="21"/>
    </row>
    <row r="178" customFormat="false" ht="15" hidden="false" customHeight="true" outlineLevel="0" collapsed="false">
      <c r="A178" s="21"/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N178" s="21"/>
      <c r="O178" s="21"/>
      <c r="Q178" s="21"/>
      <c r="R178" s="21"/>
      <c r="S178" s="21"/>
      <c r="T178" s="21"/>
    </row>
    <row r="179" customFormat="false" ht="15" hidden="false" customHeight="true" outlineLevel="0" collapsed="false">
      <c r="A179" s="21"/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N179" s="21"/>
      <c r="O179" s="21"/>
      <c r="Q179" s="21"/>
      <c r="R179" s="21"/>
      <c r="S179" s="21"/>
      <c r="T179" s="21"/>
    </row>
    <row r="180" customFormat="false" ht="15" hidden="false" customHeight="true" outlineLevel="0" collapsed="false">
      <c r="A180" s="21"/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N180" s="21"/>
      <c r="O180" s="21"/>
      <c r="Q180" s="21"/>
      <c r="R180" s="21"/>
      <c r="S180" s="21"/>
      <c r="T180" s="21"/>
    </row>
    <row r="181" customFormat="false" ht="15" hidden="false" customHeight="true" outlineLevel="0" collapsed="false">
      <c r="A181" s="21"/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N181" s="21"/>
      <c r="O181" s="21"/>
      <c r="Q181" s="21"/>
      <c r="R181" s="21"/>
      <c r="S181" s="21"/>
      <c r="T181" s="21"/>
    </row>
    <row r="182" customFormat="false" ht="15" hidden="false" customHeight="true" outlineLevel="0" collapsed="false">
      <c r="A182" s="21"/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N182" s="21"/>
      <c r="O182" s="21"/>
      <c r="Q182" s="21"/>
      <c r="R182" s="21"/>
      <c r="S182" s="21"/>
      <c r="T182" s="21"/>
    </row>
    <row r="183" customFormat="false" ht="15" hidden="false" customHeight="true" outlineLevel="0" collapsed="false">
      <c r="A183" s="21"/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N183" s="21"/>
      <c r="O183" s="21"/>
      <c r="Q183" s="21"/>
      <c r="R183" s="21"/>
      <c r="S183" s="21"/>
      <c r="T183" s="21"/>
    </row>
    <row r="184" customFormat="false" ht="15" hidden="false" customHeight="true" outlineLevel="0" collapsed="false">
      <c r="A184" s="21"/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N184" s="21"/>
      <c r="O184" s="21"/>
      <c r="Q184" s="21"/>
      <c r="R184" s="21"/>
      <c r="S184" s="21"/>
      <c r="T184" s="21"/>
    </row>
    <row r="185" customFormat="false" ht="15" hidden="false" customHeight="true" outlineLevel="0" collapsed="false">
      <c r="A185" s="21"/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N185" s="21"/>
      <c r="O185" s="21"/>
      <c r="Q185" s="21"/>
      <c r="R185" s="21"/>
      <c r="S185" s="21"/>
      <c r="T185" s="21"/>
    </row>
    <row r="186" customFormat="false" ht="15" hidden="false" customHeight="true" outlineLevel="0" collapsed="false">
      <c r="A186" s="21"/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N186" s="21"/>
      <c r="O186" s="21"/>
      <c r="Q186" s="21"/>
      <c r="R186" s="21"/>
      <c r="S186" s="21"/>
      <c r="T186" s="21"/>
    </row>
    <row r="187" customFormat="false" ht="15" hidden="false" customHeight="true" outlineLevel="0" collapsed="false">
      <c r="A187" s="21"/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N187" s="21"/>
      <c r="O187" s="21"/>
      <c r="Q187" s="21"/>
      <c r="R187" s="21"/>
      <c r="S187" s="21"/>
      <c r="T187" s="21"/>
    </row>
    <row r="188" customFormat="false" ht="15" hidden="false" customHeight="true" outlineLevel="0" collapsed="false">
      <c r="A188" s="21"/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N188" s="21"/>
      <c r="O188" s="21"/>
      <c r="Q188" s="21"/>
      <c r="R188" s="21"/>
      <c r="S188" s="21"/>
      <c r="T188" s="21"/>
    </row>
    <row r="189" customFormat="false" ht="15" hidden="false" customHeight="true" outlineLevel="0" collapsed="false">
      <c r="A189" s="21"/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N189" s="21"/>
      <c r="O189" s="21"/>
      <c r="Q189" s="21"/>
      <c r="R189" s="21"/>
      <c r="S189" s="21"/>
      <c r="T189" s="21"/>
    </row>
    <row r="190" customFormat="false" ht="15" hidden="false" customHeight="true" outlineLevel="0" collapsed="false">
      <c r="A190" s="21"/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N190" s="21"/>
      <c r="O190" s="21"/>
      <c r="Q190" s="21"/>
      <c r="R190" s="21"/>
      <c r="S190" s="21"/>
      <c r="T190" s="21"/>
    </row>
    <row r="191" customFormat="false" ht="15" hidden="false" customHeight="true" outlineLevel="0" collapsed="false">
      <c r="A191" s="21"/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N191" s="21"/>
      <c r="O191" s="21"/>
      <c r="Q191" s="21"/>
      <c r="R191" s="21"/>
      <c r="S191" s="21"/>
      <c r="T191" s="21"/>
    </row>
    <row r="192" customFormat="false" ht="15" hidden="false" customHeight="true" outlineLevel="0" collapsed="false">
      <c r="A192" s="21"/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N192" s="21"/>
      <c r="O192" s="21"/>
      <c r="Q192" s="21"/>
      <c r="R192" s="21"/>
      <c r="S192" s="21"/>
      <c r="T192" s="21"/>
    </row>
    <row r="193" customFormat="false" ht="15" hidden="false" customHeight="true" outlineLevel="0" collapsed="false">
      <c r="A193" s="21"/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N193" s="21"/>
      <c r="O193" s="21"/>
      <c r="Q193" s="21"/>
      <c r="R193" s="21"/>
      <c r="S193" s="21"/>
      <c r="T193" s="21"/>
    </row>
    <row r="194" customFormat="false" ht="15" hidden="false" customHeight="true" outlineLevel="0" collapsed="false">
      <c r="A194" s="21"/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N194" s="21"/>
      <c r="O194" s="21"/>
      <c r="Q194" s="21"/>
      <c r="R194" s="21"/>
      <c r="S194" s="21"/>
      <c r="T194" s="21"/>
    </row>
    <row r="195" customFormat="false" ht="15" hidden="false" customHeight="true" outlineLevel="0" collapsed="false">
      <c r="A195" s="21"/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N195" s="21"/>
      <c r="O195" s="21"/>
      <c r="Q195" s="21"/>
      <c r="R195" s="21"/>
      <c r="S195" s="21"/>
      <c r="T195" s="21"/>
    </row>
    <row r="196" customFormat="false" ht="15" hidden="false" customHeight="true" outlineLevel="0" collapsed="false">
      <c r="A196" s="21"/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N196" s="21"/>
      <c r="O196" s="21"/>
      <c r="Q196" s="21"/>
      <c r="R196" s="21"/>
      <c r="S196" s="21"/>
      <c r="T196" s="21"/>
    </row>
    <row r="197" customFormat="false" ht="15" hidden="false" customHeight="true" outlineLevel="0" collapsed="false">
      <c r="A197" s="21"/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N197" s="21"/>
      <c r="O197" s="21"/>
      <c r="Q197" s="21"/>
      <c r="R197" s="21"/>
      <c r="S197" s="21"/>
      <c r="T197" s="21"/>
    </row>
    <row r="198" customFormat="false" ht="15" hidden="false" customHeight="true" outlineLevel="0" collapsed="false">
      <c r="A198" s="21"/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N198" s="21"/>
      <c r="O198" s="21"/>
      <c r="Q198" s="21"/>
      <c r="R198" s="21"/>
      <c r="S198" s="21"/>
      <c r="T198" s="21"/>
    </row>
    <row r="199" customFormat="false" ht="15" hidden="false" customHeight="true" outlineLevel="0" collapsed="false">
      <c r="A199" s="21"/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N199" s="21"/>
      <c r="O199" s="21"/>
      <c r="Q199" s="21"/>
      <c r="R199" s="21"/>
      <c r="S199" s="21"/>
      <c r="T199" s="21"/>
    </row>
    <row r="200" customFormat="false" ht="15" hidden="false" customHeight="true" outlineLevel="0" collapsed="false">
      <c r="A200" s="21"/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N200" s="21"/>
      <c r="O200" s="21"/>
      <c r="Q200" s="21"/>
      <c r="R200" s="21"/>
      <c r="S200" s="21"/>
      <c r="T200" s="21"/>
    </row>
    <row r="201" customFormat="false" ht="15" hidden="false" customHeight="true" outlineLevel="0" collapsed="false">
      <c r="A201" s="21"/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N201" s="21"/>
      <c r="O201" s="21"/>
      <c r="Q201" s="21"/>
      <c r="R201" s="21"/>
      <c r="S201" s="21"/>
      <c r="T201" s="21"/>
    </row>
    <row r="202" customFormat="false" ht="15" hidden="false" customHeight="true" outlineLevel="0" collapsed="false">
      <c r="A202" s="21"/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N202" s="21"/>
      <c r="O202" s="21"/>
      <c r="Q202" s="21"/>
      <c r="R202" s="21"/>
      <c r="S202" s="21"/>
      <c r="T202" s="21"/>
    </row>
    <row r="203" customFormat="false" ht="15" hidden="false" customHeight="true" outlineLevel="0" collapsed="false">
      <c r="A203" s="21"/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N203" s="21"/>
      <c r="O203" s="21"/>
      <c r="Q203" s="21"/>
      <c r="R203" s="21"/>
      <c r="S203" s="21"/>
      <c r="T203" s="21"/>
    </row>
    <row r="204" customFormat="false" ht="15" hidden="false" customHeight="true" outlineLevel="0" collapsed="false">
      <c r="A204" s="21"/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N204" s="21"/>
      <c r="O204" s="21"/>
      <c r="Q204" s="21"/>
      <c r="R204" s="21"/>
      <c r="S204" s="21"/>
      <c r="T204" s="21"/>
    </row>
    <row r="205" customFormat="false" ht="15" hidden="false" customHeight="true" outlineLevel="0" collapsed="false">
      <c r="A205" s="21"/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N205" s="21"/>
      <c r="O205" s="21"/>
      <c r="Q205" s="21"/>
      <c r="R205" s="21"/>
      <c r="S205" s="21"/>
      <c r="T205" s="21"/>
    </row>
    <row r="206" customFormat="false" ht="15" hidden="false" customHeight="true" outlineLevel="0" collapsed="false">
      <c r="A206" s="21"/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N206" s="21"/>
      <c r="O206" s="21"/>
      <c r="Q206" s="21"/>
      <c r="R206" s="21"/>
      <c r="S206" s="21"/>
      <c r="T206" s="21"/>
    </row>
    <row r="207" customFormat="false" ht="15" hidden="false" customHeight="true" outlineLevel="0" collapsed="false">
      <c r="A207" s="21"/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N207" s="21"/>
      <c r="O207" s="21"/>
      <c r="Q207" s="21"/>
      <c r="R207" s="21"/>
      <c r="S207" s="21"/>
      <c r="T207" s="21"/>
    </row>
    <row r="208" customFormat="false" ht="15" hidden="false" customHeight="true" outlineLevel="0" collapsed="false">
      <c r="A208" s="21"/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N208" s="21"/>
      <c r="O208" s="21"/>
      <c r="Q208" s="21"/>
      <c r="R208" s="21"/>
      <c r="S208" s="21"/>
      <c r="T208" s="21"/>
    </row>
    <row r="209" customFormat="false" ht="15" hidden="false" customHeight="true" outlineLevel="0" collapsed="false">
      <c r="A209" s="21"/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N209" s="21"/>
      <c r="O209" s="21"/>
      <c r="Q209" s="21"/>
      <c r="R209" s="21"/>
      <c r="S209" s="21"/>
      <c r="T209" s="21"/>
    </row>
    <row r="210" customFormat="false" ht="15" hidden="false" customHeight="true" outlineLevel="0" collapsed="false">
      <c r="A210" s="21"/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N210" s="21"/>
      <c r="O210" s="21"/>
      <c r="Q210" s="21"/>
      <c r="R210" s="21"/>
      <c r="S210" s="21"/>
      <c r="T210" s="21"/>
    </row>
    <row r="211" customFormat="false" ht="15" hidden="false" customHeight="true" outlineLevel="0" collapsed="false">
      <c r="A211" s="21"/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N211" s="21"/>
      <c r="O211" s="21"/>
      <c r="Q211" s="21"/>
      <c r="R211" s="21"/>
      <c r="S211" s="21"/>
      <c r="T211" s="21"/>
    </row>
    <row r="212" customFormat="false" ht="15" hidden="false" customHeight="true" outlineLevel="0" collapsed="false">
      <c r="A212" s="21"/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N212" s="21"/>
      <c r="O212" s="21"/>
      <c r="Q212" s="21"/>
      <c r="R212" s="21"/>
      <c r="S212" s="21"/>
      <c r="T212" s="21"/>
    </row>
    <row r="213" customFormat="false" ht="15" hidden="false" customHeight="true" outlineLevel="0" collapsed="false">
      <c r="A213" s="21"/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N213" s="21"/>
      <c r="O213" s="21"/>
      <c r="Q213" s="21"/>
      <c r="R213" s="21"/>
      <c r="S213" s="21"/>
      <c r="T213" s="21"/>
    </row>
    <row r="214" customFormat="false" ht="15" hidden="false" customHeight="true" outlineLevel="0" collapsed="false">
      <c r="A214" s="21"/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N214" s="21"/>
      <c r="O214" s="21"/>
      <c r="Q214" s="21"/>
      <c r="R214" s="21"/>
      <c r="S214" s="21"/>
      <c r="T214" s="21"/>
    </row>
    <row r="215" customFormat="false" ht="15" hidden="false" customHeight="true" outlineLevel="0" collapsed="false">
      <c r="A215" s="21"/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N215" s="21"/>
      <c r="O215" s="21"/>
      <c r="Q215" s="21"/>
      <c r="R215" s="21"/>
      <c r="S215" s="21"/>
      <c r="T215" s="21"/>
    </row>
    <row r="216" customFormat="false" ht="15" hidden="false" customHeight="true" outlineLevel="0" collapsed="false">
      <c r="A216" s="21"/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N216" s="21"/>
      <c r="O216" s="21"/>
      <c r="Q216" s="21"/>
      <c r="R216" s="21"/>
      <c r="S216" s="21"/>
      <c r="T216" s="21"/>
    </row>
    <row r="217" customFormat="false" ht="15" hidden="false" customHeight="true" outlineLevel="0" collapsed="false">
      <c r="A217" s="21"/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N217" s="21"/>
      <c r="O217" s="21"/>
      <c r="Q217" s="21"/>
      <c r="R217" s="21"/>
      <c r="S217" s="21"/>
      <c r="T217" s="21"/>
    </row>
    <row r="218" customFormat="false" ht="15" hidden="false" customHeight="true" outlineLevel="0" collapsed="false">
      <c r="A218" s="21"/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N218" s="21"/>
      <c r="O218" s="21"/>
      <c r="Q218" s="21"/>
      <c r="R218" s="21"/>
      <c r="S218" s="21"/>
      <c r="T218" s="21"/>
    </row>
    <row r="219" customFormat="false" ht="15" hidden="false" customHeight="true" outlineLevel="0" collapsed="false">
      <c r="A219" s="21"/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N219" s="21"/>
      <c r="O219" s="21"/>
      <c r="Q219" s="21"/>
      <c r="R219" s="21"/>
      <c r="S219" s="21"/>
      <c r="T219" s="21"/>
    </row>
    <row r="220" customFormat="false" ht="15" hidden="false" customHeight="true" outlineLevel="0" collapsed="false">
      <c r="A220" s="21"/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N220" s="21"/>
      <c r="O220" s="21"/>
      <c r="Q220" s="21"/>
      <c r="R220" s="21"/>
      <c r="S220" s="21"/>
      <c r="T220" s="21"/>
    </row>
    <row r="221" customFormat="false" ht="15" hidden="false" customHeight="true" outlineLevel="0" collapsed="false">
      <c r="A221" s="21"/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N221" s="21"/>
      <c r="O221" s="21"/>
      <c r="Q221" s="21"/>
      <c r="R221" s="21"/>
      <c r="S221" s="21"/>
      <c r="T221" s="21"/>
    </row>
    <row r="222" customFormat="false" ht="15" hidden="false" customHeight="true" outlineLevel="0" collapsed="false">
      <c r="A222" s="21"/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N222" s="21"/>
      <c r="O222" s="21"/>
      <c r="Q222" s="21"/>
      <c r="R222" s="21"/>
      <c r="S222" s="21"/>
      <c r="T222" s="21"/>
    </row>
    <row r="223" customFormat="false" ht="15" hidden="false" customHeight="true" outlineLevel="0" collapsed="false">
      <c r="A223" s="21"/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N223" s="21"/>
      <c r="O223" s="21"/>
      <c r="Q223" s="21"/>
      <c r="R223" s="21"/>
      <c r="S223" s="21"/>
      <c r="T223" s="21"/>
    </row>
    <row r="224" customFormat="false" ht="15" hidden="false" customHeight="true" outlineLevel="0" collapsed="false">
      <c r="A224" s="21"/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N224" s="21"/>
      <c r="O224" s="21"/>
      <c r="Q224" s="21"/>
      <c r="R224" s="21"/>
      <c r="S224" s="21"/>
      <c r="T224" s="21"/>
    </row>
    <row r="225" customFormat="false" ht="15" hidden="false" customHeight="true" outlineLevel="0" collapsed="false">
      <c r="A225" s="21"/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N225" s="21"/>
      <c r="O225" s="21"/>
      <c r="Q225" s="21"/>
      <c r="R225" s="21"/>
      <c r="S225" s="21"/>
      <c r="T225" s="21"/>
    </row>
    <row r="226" customFormat="false" ht="15" hidden="false" customHeight="true" outlineLevel="0" collapsed="false">
      <c r="A226" s="21"/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N226" s="21"/>
      <c r="O226" s="21"/>
      <c r="Q226" s="21"/>
      <c r="R226" s="21"/>
      <c r="S226" s="21"/>
      <c r="T226" s="21"/>
    </row>
    <row r="227" customFormat="false" ht="15" hidden="false" customHeight="true" outlineLevel="0" collapsed="false">
      <c r="A227" s="21"/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N227" s="21"/>
      <c r="O227" s="21"/>
      <c r="Q227" s="21"/>
      <c r="R227" s="21"/>
      <c r="S227" s="21"/>
      <c r="T227" s="21"/>
    </row>
    <row r="228" customFormat="false" ht="15" hidden="false" customHeight="true" outlineLevel="0" collapsed="false">
      <c r="A228" s="21"/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N228" s="21"/>
      <c r="O228" s="21"/>
      <c r="Q228" s="21"/>
      <c r="R228" s="21"/>
      <c r="S228" s="21"/>
      <c r="T228" s="21"/>
    </row>
    <row r="229" customFormat="false" ht="15" hidden="false" customHeight="true" outlineLevel="0" collapsed="false">
      <c r="A229" s="21"/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N229" s="21"/>
      <c r="O229" s="21"/>
      <c r="Q229" s="21"/>
      <c r="R229" s="21"/>
      <c r="S229" s="21"/>
      <c r="T229" s="21"/>
    </row>
    <row r="230" customFormat="false" ht="15" hidden="false" customHeight="true" outlineLevel="0" collapsed="false">
      <c r="A230" s="21"/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N230" s="21"/>
      <c r="O230" s="21"/>
      <c r="Q230" s="21"/>
      <c r="R230" s="21"/>
      <c r="S230" s="21"/>
      <c r="T230" s="21"/>
    </row>
    <row r="231" customFormat="false" ht="15" hidden="false" customHeight="true" outlineLevel="0" collapsed="false">
      <c r="A231" s="21"/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N231" s="21"/>
      <c r="O231" s="21"/>
      <c r="Q231" s="21"/>
      <c r="R231" s="21"/>
      <c r="S231" s="21"/>
      <c r="T231" s="21"/>
    </row>
    <row r="232" customFormat="false" ht="15" hidden="false" customHeight="true" outlineLevel="0" collapsed="false">
      <c r="A232" s="21"/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N232" s="21"/>
      <c r="O232" s="21"/>
      <c r="Q232" s="21"/>
      <c r="R232" s="21"/>
      <c r="S232" s="21"/>
      <c r="T232" s="21"/>
    </row>
    <row r="233" customFormat="false" ht="15" hidden="false" customHeight="true" outlineLevel="0" collapsed="false">
      <c r="A233" s="21"/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N233" s="21"/>
      <c r="O233" s="21"/>
      <c r="Q233" s="21"/>
      <c r="R233" s="21"/>
      <c r="S233" s="21"/>
      <c r="T233" s="21"/>
    </row>
    <row r="234" customFormat="false" ht="15" hidden="false" customHeight="true" outlineLevel="0" collapsed="false">
      <c r="A234" s="21"/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N234" s="21"/>
      <c r="O234" s="21"/>
      <c r="Q234" s="21"/>
      <c r="R234" s="21"/>
      <c r="S234" s="21"/>
      <c r="T234" s="21"/>
    </row>
    <row r="235" customFormat="false" ht="15" hidden="false" customHeight="true" outlineLevel="0" collapsed="false">
      <c r="A235" s="21"/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N235" s="21"/>
      <c r="O235" s="21"/>
      <c r="Q235" s="21"/>
      <c r="R235" s="21"/>
      <c r="S235" s="21"/>
      <c r="T235" s="21"/>
    </row>
    <row r="236" customFormat="false" ht="15" hidden="false" customHeight="true" outlineLevel="0" collapsed="false">
      <c r="A236" s="21"/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N236" s="21"/>
      <c r="O236" s="21"/>
      <c r="Q236" s="21"/>
      <c r="R236" s="21"/>
      <c r="S236" s="21"/>
      <c r="T236" s="21"/>
    </row>
    <row r="237" customFormat="false" ht="15" hidden="false" customHeight="true" outlineLevel="0" collapsed="false">
      <c r="A237" s="21"/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N237" s="21"/>
      <c r="O237" s="21"/>
      <c r="Q237" s="21"/>
      <c r="R237" s="21"/>
      <c r="S237" s="21"/>
      <c r="T237" s="21"/>
    </row>
    <row r="238" customFormat="false" ht="15" hidden="false" customHeight="true" outlineLevel="0" collapsed="false">
      <c r="A238" s="21"/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N238" s="21"/>
      <c r="O238" s="21"/>
      <c r="Q238" s="21"/>
      <c r="R238" s="21"/>
      <c r="S238" s="21"/>
      <c r="T238" s="21"/>
    </row>
    <row r="239" customFormat="false" ht="15" hidden="false" customHeight="true" outlineLevel="0" collapsed="false">
      <c r="A239" s="21"/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N239" s="21"/>
      <c r="O239" s="21"/>
      <c r="Q239" s="21"/>
      <c r="R239" s="21"/>
      <c r="S239" s="21"/>
      <c r="T239" s="21"/>
    </row>
    <row r="240" customFormat="false" ht="15" hidden="false" customHeight="true" outlineLevel="0" collapsed="false">
      <c r="A240" s="21"/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N240" s="21"/>
      <c r="O240" s="21"/>
      <c r="Q240" s="21"/>
      <c r="R240" s="21"/>
      <c r="S240" s="21"/>
      <c r="T240" s="21"/>
    </row>
    <row r="241" customFormat="false" ht="15" hidden="false" customHeight="true" outlineLevel="0" collapsed="false">
      <c r="A241" s="21"/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N241" s="21"/>
      <c r="O241" s="21"/>
      <c r="Q241" s="21"/>
      <c r="R241" s="21"/>
      <c r="S241" s="21"/>
      <c r="T241" s="21"/>
    </row>
    <row r="242" customFormat="false" ht="15" hidden="false" customHeight="true" outlineLevel="0" collapsed="false">
      <c r="A242" s="21"/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N242" s="21"/>
      <c r="O242" s="21"/>
      <c r="Q242" s="21"/>
      <c r="R242" s="21"/>
      <c r="S242" s="21"/>
      <c r="T242" s="21"/>
    </row>
    <row r="243" customFormat="false" ht="15" hidden="false" customHeight="true" outlineLevel="0" collapsed="false">
      <c r="A243" s="21"/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N243" s="21"/>
      <c r="O243" s="21"/>
      <c r="Q243" s="21"/>
      <c r="R243" s="21"/>
      <c r="S243" s="21"/>
      <c r="T243" s="21"/>
    </row>
    <row r="244" customFormat="false" ht="15" hidden="false" customHeight="true" outlineLevel="0" collapsed="false">
      <c r="A244" s="21"/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N244" s="21"/>
      <c r="O244" s="21"/>
      <c r="Q244" s="21"/>
      <c r="R244" s="21"/>
      <c r="S244" s="21"/>
      <c r="T244" s="21"/>
    </row>
    <row r="245" customFormat="false" ht="15" hidden="false" customHeight="true" outlineLevel="0" collapsed="false">
      <c r="A245" s="21"/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N245" s="21"/>
      <c r="O245" s="21"/>
      <c r="Q245" s="21"/>
      <c r="R245" s="21"/>
      <c r="S245" s="21"/>
      <c r="T245" s="21"/>
    </row>
    <row r="246" customFormat="false" ht="15" hidden="false" customHeight="true" outlineLevel="0" collapsed="false">
      <c r="A246" s="21"/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N246" s="21"/>
      <c r="O246" s="21"/>
      <c r="Q246" s="21"/>
      <c r="R246" s="21"/>
      <c r="S246" s="21"/>
      <c r="T246" s="21"/>
    </row>
    <row r="247" customFormat="false" ht="15" hidden="false" customHeight="true" outlineLevel="0" collapsed="false">
      <c r="A247" s="21"/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N247" s="21"/>
      <c r="O247" s="21"/>
      <c r="Q247" s="21"/>
      <c r="R247" s="21"/>
      <c r="S247" s="21"/>
      <c r="T247" s="21"/>
    </row>
    <row r="248" customFormat="false" ht="15" hidden="false" customHeight="true" outlineLevel="0" collapsed="false">
      <c r="A248" s="21"/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N248" s="21"/>
      <c r="O248" s="21"/>
      <c r="Q248" s="21"/>
      <c r="R248" s="21"/>
      <c r="S248" s="21"/>
      <c r="T248" s="21"/>
    </row>
    <row r="249" customFormat="false" ht="15" hidden="false" customHeight="true" outlineLevel="0" collapsed="false">
      <c r="A249" s="21"/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N249" s="21"/>
      <c r="O249" s="21"/>
      <c r="Q249" s="21"/>
      <c r="R249" s="21"/>
      <c r="S249" s="21"/>
      <c r="T249" s="21"/>
    </row>
    <row r="250" customFormat="false" ht="15" hidden="false" customHeight="true" outlineLevel="0" collapsed="false">
      <c r="A250" s="21"/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N250" s="21"/>
      <c r="O250" s="21"/>
      <c r="Q250" s="21"/>
      <c r="R250" s="21"/>
      <c r="S250" s="21"/>
      <c r="T250" s="21"/>
    </row>
    <row r="251" customFormat="false" ht="15" hidden="false" customHeight="true" outlineLevel="0" collapsed="false">
      <c r="A251" s="21"/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N251" s="21"/>
      <c r="O251" s="21"/>
      <c r="Q251" s="21"/>
      <c r="R251" s="21"/>
      <c r="S251" s="21"/>
      <c r="T251" s="21"/>
    </row>
    <row r="252" customFormat="false" ht="15" hidden="false" customHeight="true" outlineLevel="0" collapsed="false">
      <c r="A252" s="21"/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N252" s="21"/>
      <c r="O252" s="21"/>
      <c r="Q252" s="21"/>
      <c r="R252" s="21"/>
      <c r="S252" s="21"/>
      <c r="T252" s="21"/>
    </row>
    <row r="253" customFormat="false" ht="15" hidden="false" customHeight="true" outlineLevel="0" collapsed="false">
      <c r="A253" s="21"/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N253" s="21"/>
      <c r="O253" s="21"/>
      <c r="Q253" s="21"/>
      <c r="R253" s="21"/>
      <c r="S253" s="21"/>
      <c r="T253" s="21"/>
    </row>
    <row r="254" customFormat="false" ht="15" hidden="false" customHeight="true" outlineLevel="0" collapsed="false">
      <c r="A254" s="21"/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N254" s="21"/>
      <c r="O254" s="21"/>
      <c r="Q254" s="21"/>
      <c r="R254" s="21"/>
      <c r="S254" s="21"/>
      <c r="T254" s="21"/>
    </row>
    <row r="255" customFormat="false" ht="15" hidden="false" customHeight="true" outlineLevel="0" collapsed="false">
      <c r="A255" s="21"/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N255" s="21"/>
      <c r="O255" s="21"/>
      <c r="Q255" s="21"/>
      <c r="R255" s="21"/>
      <c r="S255" s="21"/>
      <c r="T255" s="21"/>
    </row>
    <row r="256" customFormat="false" ht="15" hidden="false" customHeight="true" outlineLevel="0" collapsed="false">
      <c r="A256" s="21"/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N256" s="21"/>
      <c r="O256" s="21"/>
      <c r="Q256" s="21"/>
      <c r="R256" s="21"/>
      <c r="S256" s="21"/>
      <c r="T256" s="21"/>
    </row>
    <row r="257" customFormat="false" ht="15" hidden="false" customHeight="true" outlineLevel="0" collapsed="false">
      <c r="A257" s="21"/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N257" s="21"/>
      <c r="O257" s="21"/>
      <c r="Q257" s="21"/>
      <c r="R257" s="21"/>
      <c r="S257" s="21"/>
      <c r="T257" s="21"/>
    </row>
    <row r="258" customFormat="false" ht="15" hidden="false" customHeight="true" outlineLevel="0" collapsed="false">
      <c r="A258" s="21"/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N258" s="21"/>
      <c r="O258" s="21"/>
      <c r="Q258" s="21"/>
      <c r="R258" s="21"/>
      <c r="S258" s="21"/>
      <c r="T258" s="21"/>
    </row>
    <row r="259" customFormat="false" ht="15" hidden="false" customHeight="true" outlineLevel="0" collapsed="false">
      <c r="A259" s="21"/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N259" s="21"/>
      <c r="O259" s="21"/>
      <c r="Q259" s="21"/>
      <c r="R259" s="21"/>
      <c r="S259" s="21"/>
      <c r="T259" s="21"/>
    </row>
    <row r="260" customFormat="false" ht="15" hidden="false" customHeight="true" outlineLevel="0" collapsed="false">
      <c r="A260" s="21"/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N260" s="21"/>
      <c r="O260" s="21"/>
      <c r="Q260" s="21"/>
      <c r="R260" s="21"/>
      <c r="S260" s="21"/>
      <c r="T260" s="21"/>
    </row>
    <row r="261" customFormat="false" ht="15" hidden="false" customHeight="true" outlineLevel="0" collapsed="false">
      <c r="A261" s="21"/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N261" s="21"/>
      <c r="O261" s="21"/>
      <c r="Q261" s="21"/>
      <c r="R261" s="21"/>
      <c r="S261" s="21"/>
      <c r="T261" s="21"/>
    </row>
    <row r="262" customFormat="false" ht="15" hidden="false" customHeight="true" outlineLevel="0" collapsed="false">
      <c r="A262" s="21"/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N262" s="21"/>
      <c r="O262" s="21"/>
      <c r="Q262" s="21"/>
      <c r="R262" s="21"/>
      <c r="S262" s="21"/>
      <c r="T262" s="21"/>
    </row>
    <row r="263" customFormat="false" ht="15" hidden="false" customHeight="true" outlineLevel="0" collapsed="false">
      <c r="A263" s="21"/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N263" s="21"/>
      <c r="O263" s="21"/>
      <c r="Q263" s="21"/>
      <c r="R263" s="21"/>
      <c r="S263" s="21"/>
      <c r="T263" s="21"/>
    </row>
    <row r="264" customFormat="false" ht="15" hidden="false" customHeight="true" outlineLevel="0" collapsed="false">
      <c r="A264" s="21"/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N264" s="21"/>
      <c r="O264" s="21"/>
      <c r="Q264" s="21"/>
      <c r="R264" s="21"/>
      <c r="S264" s="21"/>
      <c r="T264" s="21"/>
    </row>
    <row r="265" customFormat="false" ht="15" hidden="false" customHeight="true" outlineLevel="0" collapsed="false">
      <c r="A265" s="21"/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N265" s="21"/>
      <c r="O265" s="21"/>
      <c r="Q265" s="21"/>
      <c r="R265" s="21"/>
      <c r="S265" s="21"/>
      <c r="T265" s="21"/>
    </row>
    <row r="266" customFormat="false" ht="15" hidden="false" customHeight="true" outlineLevel="0" collapsed="false">
      <c r="A266" s="21"/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N266" s="21"/>
      <c r="O266" s="21"/>
      <c r="Q266" s="21"/>
      <c r="R266" s="21"/>
      <c r="S266" s="21"/>
      <c r="T266" s="21"/>
    </row>
    <row r="267" customFormat="false" ht="15" hidden="false" customHeight="true" outlineLevel="0" collapsed="false">
      <c r="A267" s="21"/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N267" s="21"/>
      <c r="O267" s="21"/>
      <c r="Q267" s="21"/>
      <c r="R267" s="21"/>
      <c r="S267" s="21"/>
      <c r="T267" s="21"/>
    </row>
    <row r="268" customFormat="false" ht="15" hidden="false" customHeight="true" outlineLevel="0" collapsed="false">
      <c r="A268" s="21"/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N268" s="21"/>
      <c r="O268" s="21"/>
      <c r="Q268" s="21"/>
      <c r="R268" s="21"/>
      <c r="S268" s="21"/>
      <c r="T268" s="21"/>
    </row>
    <row r="269" customFormat="false" ht="15" hidden="false" customHeight="true" outlineLevel="0" collapsed="false">
      <c r="A269" s="21"/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N269" s="21"/>
      <c r="O269" s="21"/>
      <c r="Q269" s="21"/>
      <c r="R269" s="21"/>
      <c r="S269" s="21"/>
      <c r="T269" s="21"/>
    </row>
    <row r="270" customFormat="false" ht="15" hidden="false" customHeight="true" outlineLevel="0" collapsed="false">
      <c r="A270" s="21"/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N270" s="21"/>
      <c r="O270" s="21"/>
      <c r="Q270" s="21"/>
      <c r="R270" s="21"/>
      <c r="S270" s="21"/>
      <c r="T270" s="21"/>
    </row>
    <row r="271" customFormat="false" ht="15" hidden="false" customHeight="true" outlineLevel="0" collapsed="false">
      <c r="A271" s="21"/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N271" s="21"/>
      <c r="O271" s="21"/>
      <c r="Q271" s="21"/>
      <c r="R271" s="21"/>
      <c r="S271" s="21"/>
      <c r="T271" s="21"/>
    </row>
    <row r="272" customFormat="false" ht="15" hidden="false" customHeight="true" outlineLevel="0" collapsed="false">
      <c r="A272" s="21"/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N272" s="21"/>
      <c r="O272" s="21"/>
      <c r="Q272" s="21"/>
      <c r="R272" s="21"/>
      <c r="S272" s="21"/>
      <c r="T272" s="21"/>
    </row>
    <row r="273" customFormat="false" ht="15" hidden="false" customHeight="true" outlineLevel="0" collapsed="false">
      <c r="A273" s="21"/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N273" s="21"/>
      <c r="O273" s="21"/>
      <c r="Q273" s="21"/>
      <c r="R273" s="21"/>
      <c r="S273" s="21"/>
      <c r="T273" s="21"/>
    </row>
    <row r="274" customFormat="false" ht="15" hidden="false" customHeight="true" outlineLevel="0" collapsed="false">
      <c r="A274" s="21"/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N274" s="21"/>
      <c r="O274" s="21"/>
      <c r="Q274" s="21"/>
      <c r="R274" s="21"/>
      <c r="S274" s="21"/>
      <c r="T274" s="21"/>
    </row>
    <row r="275" customFormat="false" ht="15" hidden="false" customHeight="true" outlineLevel="0" collapsed="false">
      <c r="A275" s="21"/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N275" s="21"/>
      <c r="O275" s="21"/>
      <c r="Q275" s="21"/>
      <c r="R275" s="21"/>
      <c r="S275" s="21"/>
      <c r="T275" s="21"/>
    </row>
    <row r="276" customFormat="false" ht="15" hidden="false" customHeight="true" outlineLevel="0" collapsed="false">
      <c r="A276" s="21"/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N276" s="21"/>
      <c r="O276" s="21"/>
      <c r="Q276" s="21"/>
      <c r="R276" s="21"/>
      <c r="S276" s="21"/>
      <c r="T276" s="21"/>
    </row>
    <row r="277" customFormat="false" ht="15" hidden="false" customHeight="true" outlineLevel="0" collapsed="false">
      <c r="A277" s="21"/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N277" s="21"/>
      <c r="O277" s="21"/>
      <c r="Q277" s="21"/>
      <c r="R277" s="21"/>
      <c r="S277" s="21"/>
      <c r="T277" s="21"/>
    </row>
    <row r="278" customFormat="false" ht="15" hidden="false" customHeight="true" outlineLevel="0" collapsed="false">
      <c r="A278" s="21"/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N278" s="21"/>
      <c r="O278" s="21"/>
      <c r="Q278" s="21"/>
      <c r="R278" s="21"/>
      <c r="S278" s="21"/>
      <c r="T278" s="21"/>
    </row>
    <row r="279" customFormat="false" ht="15" hidden="false" customHeight="true" outlineLevel="0" collapsed="false">
      <c r="A279" s="21"/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N279" s="21"/>
      <c r="O279" s="21"/>
      <c r="Q279" s="21"/>
      <c r="R279" s="21"/>
      <c r="S279" s="21"/>
      <c r="T279" s="21"/>
    </row>
    <row r="280" customFormat="false" ht="15" hidden="false" customHeight="true" outlineLevel="0" collapsed="false">
      <c r="A280" s="21"/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N280" s="21"/>
      <c r="O280" s="21"/>
      <c r="Q280" s="21"/>
      <c r="R280" s="21"/>
      <c r="S280" s="21"/>
      <c r="T280" s="21"/>
    </row>
    <row r="281" customFormat="false" ht="15" hidden="false" customHeight="true" outlineLevel="0" collapsed="false">
      <c r="A281" s="21"/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N281" s="21"/>
      <c r="O281" s="21"/>
      <c r="Q281" s="21"/>
      <c r="R281" s="21"/>
      <c r="S281" s="21"/>
      <c r="T281" s="21"/>
    </row>
    <row r="282" customFormat="false" ht="15" hidden="false" customHeight="true" outlineLevel="0" collapsed="false">
      <c r="A282" s="21"/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N282" s="21"/>
      <c r="O282" s="21"/>
      <c r="Q282" s="21"/>
      <c r="R282" s="21"/>
      <c r="S282" s="21"/>
      <c r="T282" s="21"/>
    </row>
    <row r="283" customFormat="false" ht="15" hidden="false" customHeight="true" outlineLevel="0" collapsed="false">
      <c r="A283" s="21"/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N283" s="21"/>
      <c r="O283" s="21"/>
      <c r="Q283" s="21"/>
      <c r="R283" s="21"/>
      <c r="S283" s="21"/>
      <c r="T283" s="21"/>
    </row>
    <row r="284" customFormat="false" ht="15" hidden="false" customHeight="true" outlineLevel="0" collapsed="false">
      <c r="A284" s="21"/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N284" s="21"/>
      <c r="O284" s="21"/>
      <c r="Q284" s="21"/>
      <c r="R284" s="21"/>
      <c r="S284" s="21"/>
      <c r="T284" s="21"/>
    </row>
    <row r="285" customFormat="false" ht="15" hidden="false" customHeight="true" outlineLevel="0" collapsed="false">
      <c r="A285" s="21"/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N285" s="21"/>
      <c r="O285" s="21"/>
      <c r="Q285" s="21"/>
      <c r="R285" s="21"/>
      <c r="S285" s="21"/>
      <c r="T285" s="21"/>
    </row>
    <row r="286" customFormat="false" ht="15" hidden="false" customHeight="true" outlineLevel="0" collapsed="false">
      <c r="A286" s="21"/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N286" s="21"/>
      <c r="O286" s="21"/>
      <c r="Q286" s="21"/>
      <c r="R286" s="21"/>
      <c r="S286" s="21"/>
      <c r="T286" s="21"/>
    </row>
    <row r="287" customFormat="false" ht="15" hidden="false" customHeight="true" outlineLevel="0" collapsed="false">
      <c r="A287" s="21"/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N287" s="21"/>
      <c r="O287" s="21"/>
      <c r="Q287" s="21"/>
      <c r="R287" s="21"/>
      <c r="S287" s="21"/>
      <c r="T287" s="21"/>
    </row>
    <row r="288" customFormat="false" ht="15" hidden="false" customHeight="true" outlineLevel="0" collapsed="false">
      <c r="A288" s="21"/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N288" s="21"/>
      <c r="O288" s="21"/>
      <c r="Q288" s="21"/>
      <c r="R288" s="21"/>
      <c r="S288" s="21"/>
      <c r="T288" s="21"/>
    </row>
    <row r="289" customFormat="false" ht="15" hidden="false" customHeight="true" outlineLevel="0" collapsed="false">
      <c r="A289" s="21"/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N289" s="21"/>
      <c r="O289" s="21"/>
      <c r="Q289" s="21"/>
      <c r="R289" s="21"/>
      <c r="S289" s="21"/>
      <c r="T289" s="21"/>
    </row>
    <row r="290" customFormat="false" ht="15" hidden="false" customHeight="true" outlineLevel="0" collapsed="false">
      <c r="A290" s="21"/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N290" s="21"/>
      <c r="O290" s="21"/>
      <c r="Q290" s="21"/>
      <c r="R290" s="21"/>
      <c r="S290" s="21"/>
      <c r="T290" s="21"/>
    </row>
    <row r="291" customFormat="false" ht="15" hidden="false" customHeight="true" outlineLevel="0" collapsed="false">
      <c r="A291" s="21"/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N291" s="21"/>
      <c r="O291" s="21"/>
      <c r="Q291" s="21"/>
      <c r="R291" s="21"/>
      <c r="S291" s="21"/>
      <c r="T291" s="21"/>
    </row>
    <row r="292" customFormat="false" ht="15" hidden="false" customHeight="true" outlineLevel="0" collapsed="false">
      <c r="A292" s="21"/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N292" s="21"/>
      <c r="O292" s="21"/>
      <c r="Q292" s="21"/>
      <c r="R292" s="21"/>
      <c r="S292" s="21"/>
      <c r="T292" s="21"/>
    </row>
    <row r="293" customFormat="false" ht="15" hidden="false" customHeight="true" outlineLevel="0" collapsed="false">
      <c r="A293" s="21"/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N293" s="21"/>
      <c r="O293" s="21"/>
      <c r="Q293" s="21"/>
      <c r="R293" s="21"/>
      <c r="S293" s="21"/>
      <c r="T293" s="21"/>
    </row>
    <row r="294" customFormat="false" ht="15" hidden="false" customHeight="true" outlineLevel="0" collapsed="false">
      <c r="A294" s="21"/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N294" s="21"/>
      <c r="O294" s="21"/>
      <c r="Q294" s="21"/>
      <c r="R294" s="21"/>
      <c r="S294" s="21"/>
      <c r="T294" s="21"/>
    </row>
    <row r="295" customFormat="false" ht="15" hidden="false" customHeight="true" outlineLevel="0" collapsed="false">
      <c r="A295" s="21"/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N295" s="21"/>
      <c r="O295" s="21"/>
      <c r="Q295" s="21"/>
      <c r="R295" s="21"/>
      <c r="S295" s="21"/>
      <c r="T295" s="21"/>
    </row>
    <row r="296" customFormat="false" ht="15" hidden="false" customHeight="true" outlineLevel="0" collapsed="false">
      <c r="A296" s="21"/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N296" s="21"/>
      <c r="O296" s="21"/>
      <c r="Q296" s="21"/>
      <c r="R296" s="21"/>
      <c r="S296" s="21"/>
      <c r="T296" s="21"/>
    </row>
    <row r="297" customFormat="false" ht="15" hidden="false" customHeight="true" outlineLevel="0" collapsed="false">
      <c r="A297" s="21"/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N297" s="21"/>
      <c r="O297" s="21"/>
      <c r="Q297" s="21"/>
      <c r="R297" s="21"/>
      <c r="S297" s="21"/>
      <c r="T297" s="21"/>
    </row>
    <row r="298" customFormat="false" ht="15" hidden="false" customHeight="true" outlineLevel="0" collapsed="false">
      <c r="A298" s="21"/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N298" s="21"/>
      <c r="O298" s="21"/>
      <c r="Q298" s="21"/>
      <c r="R298" s="21"/>
      <c r="S298" s="21"/>
      <c r="T298" s="21"/>
    </row>
    <row r="299" customFormat="false" ht="15" hidden="false" customHeight="true" outlineLevel="0" collapsed="false">
      <c r="A299" s="21"/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N299" s="21"/>
      <c r="O299" s="21"/>
      <c r="Q299" s="21"/>
      <c r="R299" s="21"/>
      <c r="S299" s="21"/>
      <c r="T299" s="21"/>
    </row>
    <row r="300" customFormat="false" ht="15" hidden="false" customHeight="true" outlineLevel="0" collapsed="false">
      <c r="A300" s="21"/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N300" s="21"/>
      <c r="O300" s="21"/>
      <c r="Q300" s="21"/>
      <c r="R300" s="21"/>
      <c r="S300" s="21"/>
      <c r="T300" s="21"/>
    </row>
    <row r="301" customFormat="false" ht="15" hidden="false" customHeight="true" outlineLevel="0" collapsed="false">
      <c r="A301" s="21"/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N301" s="21"/>
      <c r="O301" s="21"/>
      <c r="Q301" s="21"/>
      <c r="R301" s="21"/>
      <c r="S301" s="21"/>
      <c r="T301" s="21"/>
    </row>
    <row r="302" customFormat="false" ht="15" hidden="false" customHeight="true" outlineLevel="0" collapsed="false">
      <c r="A302" s="21"/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N302" s="21"/>
      <c r="O302" s="21"/>
      <c r="Q302" s="21"/>
      <c r="R302" s="21"/>
      <c r="S302" s="21"/>
      <c r="T302" s="21"/>
    </row>
    <row r="303" customFormat="false" ht="15" hidden="false" customHeight="true" outlineLevel="0" collapsed="false">
      <c r="A303" s="21"/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N303" s="21"/>
      <c r="O303" s="21"/>
      <c r="Q303" s="21"/>
      <c r="R303" s="21"/>
      <c r="S303" s="21"/>
      <c r="T303" s="21"/>
    </row>
    <row r="304" customFormat="false" ht="15" hidden="false" customHeight="true" outlineLevel="0" collapsed="false">
      <c r="A304" s="21"/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N304" s="21"/>
      <c r="O304" s="21"/>
      <c r="Q304" s="21"/>
      <c r="R304" s="21"/>
      <c r="S304" s="21"/>
      <c r="T304" s="21"/>
    </row>
    <row r="305" customFormat="false" ht="15" hidden="false" customHeight="true" outlineLevel="0" collapsed="false">
      <c r="A305" s="21"/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N305" s="21"/>
      <c r="O305" s="21"/>
      <c r="Q305" s="21"/>
      <c r="R305" s="21"/>
      <c r="S305" s="21"/>
      <c r="T305" s="21"/>
    </row>
    <row r="306" customFormat="false" ht="15" hidden="false" customHeight="true" outlineLevel="0" collapsed="false">
      <c r="A306" s="21"/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N306" s="21"/>
      <c r="O306" s="21"/>
      <c r="Q306" s="21"/>
      <c r="R306" s="21"/>
      <c r="S306" s="21"/>
      <c r="T306" s="21"/>
    </row>
    <row r="307" customFormat="false" ht="15" hidden="false" customHeight="true" outlineLevel="0" collapsed="false">
      <c r="A307" s="21"/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N307" s="21"/>
      <c r="O307" s="21"/>
      <c r="Q307" s="21"/>
      <c r="R307" s="21"/>
      <c r="S307" s="21"/>
      <c r="T307" s="21"/>
    </row>
    <row r="308" customFormat="false" ht="15" hidden="false" customHeight="true" outlineLevel="0" collapsed="false">
      <c r="A308" s="21"/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N308" s="21"/>
      <c r="O308" s="21"/>
      <c r="Q308" s="21"/>
      <c r="R308" s="21"/>
      <c r="S308" s="21"/>
      <c r="T308" s="21"/>
    </row>
    <row r="309" customFormat="false" ht="15" hidden="false" customHeight="true" outlineLevel="0" collapsed="false">
      <c r="A309" s="21"/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N309" s="21"/>
      <c r="O309" s="21"/>
      <c r="Q309" s="21"/>
      <c r="R309" s="21"/>
      <c r="S309" s="21"/>
      <c r="T309" s="21"/>
    </row>
    <row r="310" customFormat="false" ht="15" hidden="false" customHeight="true" outlineLevel="0" collapsed="false">
      <c r="A310" s="21"/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N310" s="21"/>
      <c r="O310" s="21"/>
      <c r="Q310" s="21"/>
      <c r="R310" s="21"/>
      <c r="S310" s="21"/>
      <c r="T310" s="21"/>
    </row>
    <row r="311" customFormat="false" ht="15" hidden="false" customHeight="true" outlineLevel="0" collapsed="false">
      <c r="A311" s="21"/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N311" s="21"/>
      <c r="O311" s="21"/>
      <c r="Q311" s="21"/>
      <c r="R311" s="21"/>
      <c r="S311" s="21"/>
      <c r="T311" s="21"/>
    </row>
    <row r="312" customFormat="false" ht="15" hidden="false" customHeight="true" outlineLevel="0" collapsed="false">
      <c r="A312" s="21"/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N312" s="21"/>
      <c r="O312" s="21"/>
      <c r="Q312" s="21"/>
      <c r="R312" s="21"/>
      <c r="S312" s="21"/>
      <c r="T312" s="21"/>
    </row>
    <row r="313" customFormat="false" ht="15" hidden="false" customHeight="true" outlineLevel="0" collapsed="false">
      <c r="A313" s="21"/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N313" s="21"/>
      <c r="O313" s="21"/>
      <c r="Q313" s="21"/>
      <c r="R313" s="21"/>
      <c r="S313" s="21"/>
      <c r="T313" s="21"/>
    </row>
    <row r="314" customFormat="false" ht="15" hidden="false" customHeight="true" outlineLevel="0" collapsed="false">
      <c r="A314" s="21"/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N314" s="21"/>
      <c r="O314" s="21"/>
      <c r="Q314" s="21"/>
      <c r="R314" s="21"/>
      <c r="S314" s="21"/>
      <c r="T314" s="21"/>
    </row>
    <row r="315" customFormat="false" ht="15" hidden="false" customHeight="true" outlineLevel="0" collapsed="false">
      <c r="A315" s="21"/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N315" s="21"/>
      <c r="O315" s="21"/>
      <c r="Q315" s="21"/>
      <c r="R315" s="21"/>
      <c r="S315" s="21"/>
      <c r="T315" s="21"/>
    </row>
    <row r="316" customFormat="false" ht="15" hidden="false" customHeight="true" outlineLevel="0" collapsed="false">
      <c r="A316" s="21"/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N316" s="21"/>
      <c r="O316" s="21"/>
      <c r="Q316" s="21"/>
      <c r="R316" s="21"/>
      <c r="S316" s="21"/>
      <c r="T316" s="21"/>
    </row>
    <row r="317" customFormat="false" ht="15" hidden="false" customHeight="true" outlineLevel="0" collapsed="false">
      <c r="A317" s="21"/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N317" s="21"/>
      <c r="O317" s="21"/>
      <c r="Q317" s="21"/>
      <c r="R317" s="21"/>
      <c r="S317" s="21"/>
      <c r="T317" s="21"/>
    </row>
    <row r="318" customFormat="false" ht="15" hidden="false" customHeight="true" outlineLevel="0" collapsed="false">
      <c r="A318" s="21"/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N318" s="21"/>
      <c r="O318" s="21"/>
      <c r="Q318" s="21"/>
      <c r="R318" s="21"/>
      <c r="S318" s="21"/>
      <c r="T318" s="21"/>
    </row>
    <row r="319" customFormat="false" ht="15" hidden="false" customHeight="true" outlineLevel="0" collapsed="false">
      <c r="A319" s="21"/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N319" s="21"/>
      <c r="O319" s="21"/>
      <c r="Q319" s="21"/>
      <c r="R319" s="21"/>
      <c r="S319" s="21"/>
      <c r="T319" s="21"/>
    </row>
    <row r="320" customFormat="false" ht="15" hidden="false" customHeight="true" outlineLevel="0" collapsed="false">
      <c r="A320" s="21"/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N320" s="21"/>
      <c r="O320" s="21"/>
      <c r="Q320" s="21"/>
      <c r="R320" s="21"/>
      <c r="S320" s="21"/>
      <c r="T320" s="21"/>
    </row>
    <row r="321" customFormat="false" ht="15" hidden="false" customHeight="true" outlineLevel="0" collapsed="false">
      <c r="A321" s="21"/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N321" s="21"/>
      <c r="O321" s="21"/>
      <c r="Q321" s="21"/>
      <c r="R321" s="21"/>
      <c r="S321" s="21"/>
      <c r="T321" s="21"/>
    </row>
    <row r="322" customFormat="false" ht="15" hidden="false" customHeight="true" outlineLevel="0" collapsed="false">
      <c r="A322" s="21"/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N322" s="21"/>
      <c r="O322" s="21"/>
      <c r="Q322" s="21"/>
      <c r="R322" s="21"/>
      <c r="S322" s="21"/>
      <c r="T322" s="21"/>
    </row>
    <row r="323" customFormat="false" ht="15" hidden="false" customHeight="true" outlineLevel="0" collapsed="false">
      <c r="A323" s="21"/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N323" s="21"/>
      <c r="O323" s="21"/>
      <c r="Q323" s="21"/>
      <c r="R323" s="21"/>
      <c r="S323" s="21"/>
      <c r="T323" s="21"/>
    </row>
    <row r="324" customFormat="false" ht="15" hidden="false" customHeight="true" outlineLevel="0" collapsed="false">
      <c r="A324" s="21"/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N324" s="21"/>
      <c r="O324" s="21"/>
      <c r="Q324" s="21"/>
      <c r="R324" s="21"/>
      <c r="S324" s="21"/>
      <c r="T324" s="21"/>
    </row>
    <row r="325" customFormat="false" ht="15" hidden="false" customHeight="true" outlineLevel="0" collapsed="false">
      <c r="A325" s="21"/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N325" s="21"/>
      <c r="O325" s="21"/>
      <c r="Q325" s="21"/>
      <c r="R325" s="21"/>
      <c r="S325" s="21"/>
      <c r="T325" s="21"/>
    </row>
    <row r="326" customFormat="false" ht="15" hidden="false" customHeight="true" outlineLevel="0" collapsed="false">
      <c r="A326" s="21"/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N326" s="21"/>
      <c r="O326" s="21"/>
      <c r="Q326" s="21"/>
      <c r="R326" s="21"/>
      <c r="S326" s="21"/>
      <c r="T326" s="21"/>
    </row>
    <row r="327" customFormat="false" ht="15" hidden="false" customHeight="true" outlineLevel="0" collapsed="false">
      <c r="A327" s="21"/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N327" s="21"/>
      <c r="O327" s="21"/>
      <c r="Q327" s="21"/>
      <c r="R327" s="21"/>
      <c r="S327" s="21"/>
      <c r="T327" s="21"/>
    </row>
    <row r="328" customFormat="false" ht="15" hidden="false" customHeight="true" outlineLevel="0" collapsed="false">
      <c r="A328" s="21"/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N328" s="21"/>
      <c r="O328" s="21"/>
      <c r="Q328" s="21"/>
      <c r="R328" s="21"/>
      <c r="S328" s="21"/>
      <c r="T328" s="21"/>
    </row>
    <row r="329" customFormat="false" ht="15" hidden="false" customHeight="true" outlineLevel="0" collapsed="false">
      <c r="A329" s="21"/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N329" s="21"/>
      <c r="O329" s="21"/>
      <c r="Q329" s="21"/>
      <c r="R329" s="21"/>
      <c r="S329" s="21"/>
      <c r="T329" s="21"/>
    </row>
    <row r="330" customFormat="false" ht="15" hidden="false" customHeight="true" outlineLevel="0" collapsed="false">
      <c r="A330" s="21"/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N330" s="21"/>
      <c r="O330" s="21"/>
      <c r="Q330" s="21"/>
      <c r="R330" s="21"/>
      <c r="S330" s="21"/>
      <c r="T330" s="21"/>
    </row>
    <row r="331" customFormat="false" ht="15" hidden="false" customHeight="true" outlineLevel="0" collapsed="false">
      <c r="A331" s="21"/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N331" s="21"/>
      <c r="O331" s="21"/>
      <c r="Q331" s="21"/>
      <c r="R331" s="21"/>
      <c r="S331" s="21"/>
      <c r="T331" s="21"/>
    </row>
    <row r="332" customFormat="false" ht="15" hidden="false" customHeight="true" outlineLevel="0" collapsed="false">
      <c r="A332" s="21"/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N332" s="21"/>
      <c r="O332" s="21"/>
      <c r="Q332" s="21"/>
      <c r="R332" s="21"/>
      <c r="S332" s="21"/>
      <c r="T332" s="21"/>
    </row>
    <row r="333" customFormat="false" ht="15" hidden="false" customHeight="true" outlineLevel="0" collapsed="false">
      <c r="A333" s="21"/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N333" s="21"/>
      <c r="O333" s="21"/>
      <c r="Q333" s="21"/>
      <c r="R333" s="21"/>
      <c r="S333" s="21"/>
      <c r="T333" s="21"/>
    </row>
    <row r="334" customFormat="false" ht="15" hidden="false" customHeight="true" outlineLevel="0" collapsed="false">
      <c r="A334" s="21"/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N334" s="21"/>
      <c r="O334" s="21"/>
      <c r="Q334" s="21"/>
      <c r="R334" s="21"/>
      <c r="S334" s="21"/>
      <c r="T334" s="21"/>
    </row>
    <row r="335" customFormat="false" ht="15" hidden="false" customHeight="true" outlineLevel="0" collapsed="false">
      <c r="A335" s="21"/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N335" s="21"/>
      <c r="O335" s="21"/>
      <c r="Q335" s="21"/>
      <c r="R335" s="21"/>
      <c r="S335" s="21"/>
      <c r="T335" s="21"/>
    </row>
    <row r="336" customFormat="false" ht="15" hidden="false" customHeight="true" outlineLevel="0" collapsed="false">
      <c r="A336" s="21"/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N336" s="21"/>
      <c r="O336" s="21"/>
      <c r="Q336" s="21"/>
      <c r="R336" s="21"/>
      <c r="S336" s="21"/>
      <c r="T336" s="21"/>
    </row>
    <row r="337" customFormat="false" ht="15" hidden="false" customHeight="true" outlineLevel="0" collapsed="false">
      <c r="A337" s="21"/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N337" s="21"/>
      <c r="O337" s="21"/>
      <c r="Q337" s="21"/>
      <c r="R337" s="21"/>
      <c r="S337" s="21"/>
      <c r="T337" s="21"/>
    </row>
    <row r="338" customFormat="false" ht="15" hidden="false" customHeight="true" outlineLevel="0" collapsed="false">
      <c r="A338" s="21"/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N338" s="21"/>
      <c r="O338" s="21"/>
      <c r="Q338" s="21"/>
      <c r="R338" s="21"/>
      <c r="S338" s="21"/>
      <c r="T338" s="21"/>
    </row>
    <row r="339" customFormat="false" ht="15" hidden="false" customHeight="true" outlineLevel="0" collapsed="false">
      <c r="A339" s="21"/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N339" s="21"/>
      <c r="O339" s="21"/>
      <c r="Q339" s="21"/>
      <c r="R339" s="21"/>
      <c r="S339" s="21"/>
      <c r="T339" s="21"/>
    </row>
    <row r="340" customFormat="false" ht="15" hidden="false" customHeight="true" outlineLevel="0" collapsed="false">
      <c r="A340" s="21"/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N340" s="21"/>
      <c r="O340" s="21"/>
      <c r="Q340" s="21"/>
      <c r="R340" s="21"/>
      <c r="S340" s="21"/>
      <c r="T340" s="21"/>
    </row>
    <row r="341" customFormat="false" ht="15" hidden="false" customHeight="true" outlineLevel="0" collapsed="false">
      <c r="A341" s="21"/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N341" s="21"/>
      <c r="O341" s="21"/>
      <c r="Q341" s="21"/>
      <c r="R341" s="21"/>
      <c r="S341" s="21"/>
      <c r="T341" s="21"/>
    </row>
    <row r="342" customFormat="false" ht="15" hidden="false" customHeight="true" outlineLevel="0" collapsed="false">
      <c r="A342" s="21"/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N342" s="21"/>
      <c r="O342" s="21"/>
      <c r="Q342" s="21"/>
      <c r="R342" s="21"/>
      <c r="S342" s="21"/>
      <c r="T342" s="21"/>
    </row>
    <row r="343" customFormat="false" ht="15" hidden="false" customHeight="true" outlineLevel="0" collapsed="false">
      <c r="A343" s="21"/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N343" s="21"/>
      <c r="O343" s="21"/>
      <c r="Q343" s="21"/>
      <c r="R343" s="21"/>
      <c r="S343" s="21"/>
      <c r="T343" s="21"/>
    </row>
    <row r="344" customFormat="false" ht="15" hidden="false" customHeight="true" outlineLevel="0" collapsed="false">
      <c r="A344" s="21"/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N344" s="21"/>
      <c r="O344" s="21"/>
      <c r="Q344" s="21"/>
      <c r="R344" s="21"/>
      <c r="S344" s="21"/>
      <c r="T344" s="21"/>
    </row>
    <row r="345" customFormat="false" ht="15" hidden="false" customHeight="true" outlineLevel="0" collapsed="false">
      <c r="A345" s="21"/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N345" s="21"/>
      <c r="O345" s="21"/>
      <c r="Q345" s="21"/>
      <c r="R345" s="21"/>
      <c r="S345" s="21"/>
      <c r="T345" s="21"/>
    </row>
    <row r="346" customFormat="false" ht="15" hidden="false" customHeight="true" outlineLevel="0" collapsed="false">
      <c r="A346" s="21"/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N346" s="21"/>
      <c r="O346" s="21"/>
      <c r="Q346" s="21"/>
      <c r="R346" s="21"/>
      <c r="S346" s="21"/>
      <c r="T346" s="21"/>
    </row>
    <row r="347" customFormat="false" ht="15" hidden="false" customHeight="true" outlineLevel="0" collapsed="false">
      <c r="A347" s="21"/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N347" s="21"/>
      <c r="O347" s="21"/>
      <c r="Q347" s="21"/>
      <c r="R347" s="21"/>
      <c r="S347" s="21"/>
      <c r="T347" s="21"/>
    </row>
    <row r="348" customFormat="false" ht="15" hidden="false" customHeight="true" outlineLevel="0" collapsed="false">
      <c r="A348" s="21"/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N348" s="21"/>
      <c r="O348" s="21"/>
      <c r="Q348" s="21"/>
      <c r="R348" s="21"/>
      <c r="S348" s="21"/>
      <c r="T348" s="21"/>
    </row>
    <row r="349" customFormat="false" ht="15" hidden="false" customHeight="true" outlineLevel="0" collapsed="false">
      <c r="A349" s="21"/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N349" s="21"/>
      <c r="O349" s="21"/>
      <c r="Q349" s="21"/>
      <c r="R349" s="21"/>
      <c r="S349" s="21"/>
      <c r="T349" s="21"/>
    </row>
    <row r="350" customFormat="false" ht="15" hidden="false" customHeight="true" outlineLevel="0" collapsed="false">
      <c r="A350" s="21"/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N350" s="21"/>
      <c r="O350" s="21"/>
      <c r="Q350" s="21"/>
      <c r="R350" s="21"/>
      <c r="S350" s="21"/>
      <c r="T350" s="21"/>
    </row>
    <row r="351" customFormat="false" ht="15" hidden="false" customHeight="true" outlineLevel="0" collapsed="false">
      <c r="A351" s="21"/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N351" s="21"/>
      <c r="O351" s="21"/>
      <c r="Q351" s="21"/>
      <c r="R351" s="21"/>
      <c r="S351" s="21"/>
      <c r="T351" s="21"/>
    </row>
    <row r="352" customFormat="false" ht="15" hidden="false" customHeight="true" outlineLevel="0" collapsed="false">
      <c r="A352" s="21"/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N352" s="21"/>
      <c r="O352" s="21"/>
      <c r="Q352" s="21"/>
      <c r="R352" s="21"/>
      <c r="S352" s="21"/>
      <c r="T352" s="21"/>
    </row>
    <row r="353" customFormat="false" ht="15" hidden="false" customHeight="true" outlineLevel="0" collapsed="false">
      <c r="A353" s="21"/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N353" s="21"/>
      <c r="O353" s="21"/>
      <c r="Q353" s="21"/>
      <c r="R353" s="21"/>
      <c r="S353" s="21"/>
      <c r="T353" s="21"/>
    </row>
    <row r="354" customFormat="false" ht="15" hidden="false" customHeight="true" outlineLevel="0" collapsed="false">
      <c r="A354" s="21"/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N354" s="21"/>
      <c r="O354" s="21"/>
      <c r="Q354" s="21"/>
      <c r="R354" s="21"/>
      <c r="S354" s="21"/>
      <c r="T354" s="21"/>
    </row>
    <row r="355" customFormat="false" ht="15" hidden="false" customHeight="true" outlineLevel="0" collapsed="false">
      <c r="A355" s="21"/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N355" s="21"/>
      <c r="O355" s="21"/>
      <c r="Q355" s="21"/>
      <c r="R355" s="21"/>
      <c r="S355" s="21"/>
      <c r="T355" s="21"/>
    </row>
    <row r="356" customFormat="false" ht="15" hidden="false" customHeight="true" outlineLevel="0" collapsed="false">
      <c r="A356" s="21"/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N356" s="21"/>
      <c r="O356" s="21"/>
      <c r="Q356" s="21"/>
      <c r="R356" s="21"/>
      <c r="S356" s="21"/>
      <c r="T356" s="21"/>
    </row>
    <row r="357" customFormat="false" ht="15" hidden="false" customHeight="true" outlineLevel="0" collapsed="false">
      <c r="A357" s="21"/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N357" s="21"/>
      <c r="O357" s="21"/>
      <c r="Q357" s="21"/>
      <c r="R357" s="21"/>
      <c r="S357" s="21"/>
      <c r="T357" s="21"/>
    </row>
    <row r="358" customFormat="false" ht="15" hidden="false" customHeight="true" outlineLevel="0" collapsed="false">
      <c r="A358" s="21"/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N358" s="21"/>
      <c r="O358" s="21"/>
      <c r="Q358" s="21"/>
      <c r="R358" s="21"/>
      <c r="S358" s="21"/>
      <c r="T358" s="21"/>
    </row>
    <row r="359" customFormat="false" ht="15" hidden="false" customHeight="true" outlineLevel="0" collapsed="false">
      <c r="A359" s="21"/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N359" s="21"/>
      <c r="O359" s="21"/>
      <c r="Q359" s="21"/>
      <c r="R359" s="21"/>
      <c r="S359" s="21"/>
      <c r="T359" s="21"/>
    </row>
    <row r="360" customFormat="false" ht="15" hidden="false" customHeight="true" outlineLevel="0" collapsed="false">
      <c r="A360" s="21"/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N360" s="21"/>
      <c r="O360" s="21"/>
      <c r="Q360" s="21"/>
      <c r="R360" s="21"/>
      <c r="S360" s="21"/>
      <c r="T360" s="21"/>
    </row>
    <row r="361" customFormat="false" ht="15" hidden="false" customHeight="true" outlineLevel="0" collapsed="false">
      <c r="A361" s="21"/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N361" s="21"/>
      <c r="O361" s="21"/>
      <c r="Q361" s="21"/>
      <c r="R361" s="21"/>
      <c r="S361" s="21"/>
      <c r="T361" s="21"/>
    </row>
    <row r="362" customFormat="false" ht="15" hidden="false" customHeight="true" outlineLevel="0" collapsed="false">
      <c r="A362" s="21"/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N362" s="21"/>
      <c r="O362" s="21"/>
      <c r="Q362" s="21"/>
      <c r="R362" s="21"/>
      <c r="S362" s="21"/>
      <c r="T362" s="21"/>
    </row>
    <row r="363" customFormat="false" ht="15" hidden="false" customHeight="true" outlineLevel="0" collapsed="false">
      <c r="A363" s="21"/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N363" s="21"/>
      <c r="O363" s="21"/>
      <c r="Q363" s="21"/>
      <c r="R363" s="21"/>
      <c r="S363" s="21"/>
      <c r="T363" s="21"/>
    </row>
    <row r="364" customFormat="false" ht="15" hidden="false" customHeight="true" outlineLevel="0" collapsed="false">
      <c r="A364" s="21"/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N364" s="21"/>
      <c r="O364" s="21"/>
      <c r="Q364" s="21"/>
      <c r="R364" s="21"/>
      <c r="S364" s="21"/>
      <c r="T364" s="21"/>
    </row>
    <row r="365" customFormat="false" ht="15" hidden="false" customHeight="true" outlineLevel="0" collapsed="false">
      <c r="A365" s="21"/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N365" s="21"/>
      <c r="O365" s="21"/>
      <c r="Q365" s="21"/>
      <c r="R365" s="21"/>
      <c r="S365" s="21"/>
      <c r="T365" s="21"/>
    </row>
    <row r="366" customFormat="false" ht="15" hidden="false" customHeight="true" outlineLevel="0" collapsed="false">
      <c r="A366" s="21"/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N366" s="21"/>
      <c r="O366" s="21"/>
      <c r="Q366" s="21"/>
      <c r="R366" s="21"/>
      <c r="S366" s="21"/>
      <c r="T366" s="21"/>
    </row>
    <row r="367" customFormat="false" ht="15" hidden="false" customHeight="true" outlineLevel="0" collapsed="false">
      <c r="A367" s="21"/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N367" s="21"/>
      <c r="O367" s="21"/>
      <c r="Q367" s="21"/>
      <c r="R367" s="21"/>
      <c r="S367" s="21"/>
      <c r="T367" s="21"/>
    </row>
    <row r="368" customFormat="false" ht="15" hidden="false" customHeight="true" outlineLevel="0" collapsed="false">
      <c r="A368" s="21"/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N368" s="21"/>
      <c r="O368" s="21"/>
      <c r="Q368" s="21"/>
      <c r="R368" s="21"/>
      <c r="S368" s="21"/>
      <c r="T368" s="21"/>
    </row>
    <row r="369" customFormat="false" ht="15" hidden="false" customHeight="true" outlineLevel="0" collapsed="false">
      <c r="A369" s="21"/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N369" s="21"/>
      <c r="O369" s="21"/>
      <c r="Q369" s="21"/>
      <c r="R369" s="21"/>
      <c r="S369" s="21"/>
      <c r="T369" s="21"/>
    </row>
    <row r="370" customFormat="false" ht="15" hidden="false" customHeight="true" outlineLevel="0" collapsed="false">
      <c r="A370" s="21"/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N370" s="21"/>
      <c r="O370" s="21"/>
      <c r="Q370" s="21"/>
      <c r="R370" s="21"/>
      <c r="S370" s="21"/>
      <c r="T370" s="21"/>
    </row>
    <row r="371" customFormat="false" ht="15" hidden="false" customHeight="true" outlineLevel="0" collapsed="false">
      <c r="A371" s="21"/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N371" s="21"/>
      <c r="O371" s="21"/>
      <c r="Q371" s="21"/>
      <c r="R371" s="21"/>
      <c r="S371" s="21"/>
      <c r="T371" s="21"/>
    </row>
    <row r="372" customFormat="false" ht="15" hidden="false" customHeight="true" outlineLevel="0" collapsed="false">
      <c r="A372" s="21"/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N372" s="21"/>
      <c r="O372" s="21"/>
      <c r="Q372" s="21"/>
      <c r="R372" s="21"/>
      <c r="S372" s="21"/>
      <c r="T372" s="21"/>
    </row>
    <row r="373" customFormat="false" ht="15" hidden="false" customHeight="true" outlineLevel="0" collapsed="false">
      <c r="A373" s="21"/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N373" s="21"/>
      <c r="O373" s="21"/>
      <c r="Q373" s="21"/>
      <c r="R373" s="21"/>
      <c r="S373" s="21"/>
      <c r="T373" s="21"/>
    </row>
    <row r="374" customFormat="false" ht="15" hidden="false" customHeight="true" outlineLevel="0" collapsed="false">
      <c r="A374" s="21"/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N374" s="21"/>
      <c r="O374" s="21"/>
      <c r="Q374" s="21"/>
      <c r="R374" s="21"/>
      <c r="S374" s="21"/>
      <c r="T374" s="21"/>
    </row>
    <row r="375" customFormat="false" ht="15" hidden="false" customHeight="true" outlineLevel="0" collapsed="false">
      <c r="A375" s="21"/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N375" s="21"/>
      <c r="O375" s="21"/>
      <c r="Q375" s="21"/>
      <c r="R375" s="21"/>
      <c r="S375" s="21"/>
      <c r="T375" s="21"/>
    </row>
    <row r="376" customFormat="false" ht="15" hidden="false" customHeight="true" outlineLevel="0" collapsed="false">
      <c r="A376" s="21"/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N376" s="21"/>
      <c r="O376" s="21"/>
      <c r="Q376" s="21"/>
      <c r="R376" s="21"/>
      <c r="S376" s="21"/>
      <c r="T376" s="21"/>
    </row>
    <row r="377" customFormat="false" ht="15" hidden="false" customHeight="true" outlineLevel="0" collapsed="false">
      <c r="A377" s="21"/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N377" s="21"/>
      <c r="O377" s="21"/>
      <c r="Q377" s="21"/>
      <c r="R377" s="21"/>
      <c r="S377" s="21"/>
      <c r="T377" s="21"/>
    </row>
    <row r="378" customFormat="false" ht="15" hidden="false" customHeight="true" outlineLevel="0" collapsed="false">
      <c r="A378" s="21"/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N378" s="21"/>
      <c r="O378" s="21"/>
      <c r="Q378" s="21"/>
      <c r="R378" s="21"/>
      <c r="S378" s="21"/>
      <c r="T378" s="21"/>
    </row>
    <row r="379" customFormat="false" ht="15" hidden="false" customHeight="true" outlineLevel="0" collapsed="false">
      <c r="A379" s="21"/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N379" s="21"/>
      <c r="O379" s="21"/>
      <c r="Q379" s="21"/>
      <c r="R379" s="21"/>
      <c r="S379" s="21"/>
      <c r="T379" s="21"/>
    </row>
    <row r="380" customFormat="false" ht="15" hidden="false" customHeight="true" outlineLevel="0" collapsed="false">
      <c r="A380" s="21"/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N380" s="21"/>
      <c r="O380" s="21"/>
      <c r="Q380" s="21"/>
      <c r="R380" s="21"/>
      <c r="S380" s="21"/>
      <c r="T380" s="21"/>
    </row>
    <row r="381" customFormat="false" ht="15" hidden="false" customHeight="true" outlineLevel="0" collapsed="false">
      <c r="A381" s="21"/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N381" s="21"/>
      <c r="O381" s="21"/>
      <c r="Q381" s="21"/>
      <c r="R381" s="21"/>
      <c r="S381" s="21"/>
      <c r="T381" s="21"/>
    </row>
    <row r="382" customFormat="false" ht="15" hidden="false" customHeight="true" outlineLevel="0" collapsed="false">
      <c r="A382" s="21"/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N382" s="21"/>
      <c r="O382" s="21"/>
      <c r="Q382" s="21"/>
      <c r="R382" s="21"/>
      <c r="S382" s="21"/>
      <c r="T382" s="21"/>
    </row>
    <row r="383" customFormat="false" ht="15" hidden="false" customHeight="true" outlineLevel="0" collapsed="false">
      <c r="A383" s="21"/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N383" s="21"/>
      <c r="O383" s="21"/>
      <c r="Q383" s="21"/>
      <c r="R383" s="21"/>
      <c r="S383" s="21"/>
      <c r="T383" s="21"/>
    </row>
    <row r="384" customFormat="false" ht="15" hidden="false" customHeight="true" outlineLevel="0" collapsed="false">
      <c r="A384" s="21"/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N384" s="21"/>
      <c r="O384" s="21"/>
      <c r="Q384" s="21"/>
      <c r="R384" s="21"/>
      <c r="S384" s="21"/>
      <c r="T384" s="21"/>
    </row>
    <row r="385" customFormat="false" ht="15" hidden="false" customHeight="true" outlineLevel="0" collapsed="false">
      <c r="A385" s="21"/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N385" s="21"/>
      <c r="O385" s="21"/>
      <c r="Q385" s="21"/>
      <c r="R385" s="21"/>
      <c r="S385" s="21"/>
      <c r="T385" s="21"/>
    </row>
    <row r="386" customFormat="false" ht="15" hidden="false" customHeight="true" outlineLevel="0" collapsed="false">
      <c r="A386" s="21"/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N386" s="21"/>
      <c r="O386" s="21"/>
      <c r="Q386" s="21"/>
      <c r="R386" s="21"/>
      <c r="S386" s="21"/>
      <c r="T386" s="21"/>
    </row>
    <row r="387" customFormat="false" ht="15" hidden="false" customHeight="true" outlineLevel="0" collapsed="false">
      <c r="A387" s="21"/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N387" s="21"/>
      <c r="O387" s="21"/>
      <c r="Q387" s="21"/>
      <c r="R387" s="21"/>
      <c r="S387" s="21"/>
      <c r="T387" s="21"/>
    </row>
    <row r="388" customFormat="false" ht="15" hidden="false" customHeight="true" outlineLevel="0" collapsed="false">
      <c r="A388" s="21"/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N388" s="21"/>
      <c r="O388" s="21"/>
      <c r="Q388" s="21"/>
      <c r="R388" s="21"/>
      <c r="S388" s="21"/>
      <c r="T388" s="21"/>
    </row>
    <row r="389" customFormat="false" ht="15" hidden="false" customHeight="true" outlineLevel="0" collapsed="false">
      <c r="A389" s="21"/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N389" s="21"/>
      <c r="O389" s="21"/>
      <c r="Q389" s="21"/>
      <c r="R389" s="21"/>
      <c r="S389" s="21"/>
      <c r="T389" s="21"/>
    </row>
    <row r="390" customFormat="false" ht="15" hidden="false" customHeight="true" outlineLevel="0" collapsed="false">
      <c r="A390" s="21"/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N390" s="21"/>
      <c r="O390" s="21"/>
      <c r="Q390" s="21"/>
      <c r="R390" s="21"/>
      <c r="S390" s="21"/>
      <c r="T390" s="21"/>
    </row>
    <row r="391" customFormat="false" ht="15" hidden="false" customHeight="true" outlineLevel="0" collapsed="false">
      <c r="A391" s="21"/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N391" s="21"/>
      <c r="O391" s="21"/>
      <c r="Q391" s="21"/>
      <c r="R391" s="21"/>
      <c r="S391" s="21"/>
      <c r="T391" s="21"/>
    </row>
    <row r="392" customFormat="false" ht="15" hidden="false" customHeight="true" outlineLevel="0" collapsed="false">
      <c r="A392" s="21"/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N392" s="21"/>
      <c r="O392" s="21"/>
      <c r="Q392" s="21"/>
      <c r="R392" s="21"/>
      <c r="S392" s="21"/>
      <c r="T392" s="21"/>
    </row>
    <row r="393" customFormat="false" ht="15" hidden="false" customHeight="true" outlineLevel="0" collapsed="false">
      <c r="A393" s="21"/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N393" s="21"/>
      <c r="O393" s="21"/>
      <c r="Q393" s="21"/>
      <c r="R393" s="21"/>
      <c r="S393" s="21"/>
      <c r="T393" s="21"/>
    </row>
    <row r="394" customFormat="false" ht="15" hidden="false" customHeight="true" outlineLevel="0" collapsed="false">
      <c r="A394" s="21"/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N394" s="21"/>
      <c r="O394" s="21"/>
      <c r="Q394" s="21"/>
      <c r="R394" s="21"/>
      <c r="S394" s="21"/>
      <c r="T394" s="21"/>
    </row>
    <row r="395" customFormat="false" ht="15" hidden="false" customHeight="true" outlineLevel="0" collapsed="false">
      <c r="A395" s="21"/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N395" s="21"/>
      <c r="O395" s="21"/>
      <c r="Q395" s="21"/>
      <c r="R395" s="21"/>
      <c r="S395" s="21"/>
      <c r="T395" s="21"/>
    </row>
    <row r="396" customFormat="false" ht="15" hidden="false" customHeight="true" outlineLevel="0" collapsed="false">
      <c r="A396" s="21"/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N396" s="21"/>
      <c r="O396" s="21"/>
      <c r="Q396" s="21"/>
      <c r="R396" s="21"/>
      <c r="S396" s="21"/>
      <c r="T396" s="21"/>
    </row>
    <row r="397" customFormat="false" ht="15" hidden="false" customHeight="true" outlineLevel="0" collapsed="false">
      <c r="A397" s="21"/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N397" s="21"/>
      <c r="O397" s="21"/>
      <c r="Q397" s="21"/>
      <c r="R397" s="21"/>
      <c r="S397" s="21"/>
      <c r="T397" s="21"/>
    </row>
    <row r="398" customFormat="false" ht="15" hidden="false" customHeight="true" outlineLevel="0" collapsed="false">
      <c r="A398" s="21"/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N398" s="21"/>
      <c r="O398" s="21"/>
      <c r="Q398" s="21"/>
      <c r="R398" s="21"/>
      <c r="S398" s="21"/>
      <c r="T398" s="21"/>
    </row>
    <row r="399" customFormat="false" ht="15" hidden="false" customHeight="true" outlineLevel="0" collapsed="false">
      <c r="A399" s="21"/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N399" s="21"/>
      <c r="O399" s="21"/>
      <c r="Q399" s="21"/>
      <c r="R399" s="21"/>
      <c r="S399" s="21"/>
      <c r="T399" s="21"/>
    </row>
    <row r="400" customFormat="false" ht="15" hidden="false" customHeight="true" outlineLevel="0" collapsed="false">
      <c r="A400" s="21"/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N400" s="21"/>
      <c r="O400" s="21"/>
      <c r="Q400" s="21"/>
      <c r="R400" s="21"/>
      <c r="S400" s="21"/>
      <c r="T400" s="21"/>
    </row>
    <row r="401" customFormat="false" ht="15" hidden="false" customHeight="true" outlineLevel="0" collapsed="false">
      <c r="A401" s="21"/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N401" s="21"/>
      <c r="O401" s="21"/>
      <c r="Q401" s="21"/>
      <c r="R401" s="21"/>
      <c r="S401" s="21"/>
      <c r="T401" s="21"/>
    </row>
    <row r="402" customFormat="false" ht="15" hidden="false" customHeight="true" outlineLevel="0" collapsed="false">
      <c r="A402" s="21"/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N402" s="21"/>
      <c r="O402" s="21"/>
      <c r="Q402" s="21"/>
      <c r="R402" s="21"/>
      <c r="S402" s="21"/>
      <c r="T402" s="21"/>
    </row>
    <row r="403" customFormat="false" ht="15" hidden="false" customHeight="true" outlineLevel="0" collapsed="false">
      <c r="A403" s="21"/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N403" s="21"/>
      <c r="O403" s="21"/>
      <c r="Q403" s="21"/>
      <c r="R403" s="21"/>
      <c r="S403" s="21"/>
      <c r="T403" s="21"/>
    </row>
    <row r="404" customFormat="false" ht="15" hidden="false" customHeight="true" outlineLevel="0" collapsed="false">
      <c r="A404" s="21"/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N404" s="21"/>
      <c r="O404" s="21"/>
      <c r="Q404" s="21"/>
      <c r="R404" s="21"/>
      <c r="S404" s="21"/>
      <c r="T404" s="21"/>
    </row>
    <row r="405" customFormat="false" ht="15" hidden="false" customHeight="true" outlineLevel="0" collapsed="false">
      <c r="A405" s="21"/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N405" s="21"/>
      <c r="O405" s="21"/>
      <c r="Q405" s="21"/>
      <c r="R405" s="21"/>
      <c r="S405" s="21"/>
      <c r="T405" s="21"/>
    </row>
    <row r="406" customFormat="false" ht="15" hidden="false" customHeight="true" outlineLevel="0" collapsed="false">
      <c r="A406" s="21"/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N406" s="21"/>
      <c r="O406" s="21"/>
      <c r="Q406" s="21"/>
      <c r="R406" s="21"/>
      <c r="S406" s="21"/>
      <c r="T406" s="21"/>
    </row>
    <row r="407" customFormat="false" ht="15" hidden="false" customHeight="true" outlineLevel="0" collapsed="false">
      <c r="A407" s="21"/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N407" s="21"/>
      <c r="O407" s="21"/>
      <c r="Q407" s="21"/>
      <c r="R407" s="21"/>
      <c r="S407" s="21"/>
      <c r="T407" s="21"/>
    </row>
    <row r="408" customFormat="false" ht="15" hidden="false" customHeight="true" outlineLevel="0" collapsed="false">
      <c r="A408" s="21"/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N408" s="21"/>
      <c r="O408" s="21"/>
      <c r="Q408" s="21"/>
      <c r="R408" s="21"/>
      <c r="S408" s="21"/>
      <c r="T408" s="21"/>
    </row>
    <row r="409" customFormat="false" ht="15" hidden="false" customHeight="true" outlineLevel="0" collapsed="false">
      <c r="A409" s="21"/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N409" s="21"/>
      <c r="O409" s="21"/>
      <c r="Q409" s="21"/>
      <c r="R409" s="21"/>
      <c r="S409" s="21"/>
      <c r="T409" s="21"/>
    </row>
    <row r="410" customFormat="false" ht="15" hidden="false" customHeight="true" outlineLevel="0" collapsed="false">
      <c r="A410" s="21"/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N410" s="21"/>
      <c r="O410" s="21"/>
      <c r="Q410" s="21"/>
      <c r="R410" s="21"/>
      <c r="S410" s="21"/>
      <c r="T410" s="21"/>
    </row>
    <row r="411" customFormat="false" ht="15" hidden="false" customHeight="true" outlineLevel="0" collapsed="false">
      <c r="A411" s="21"/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N411" s="21"/>
      <c r="O411" s="21"/>
      <c r="Q411" s="21"/>
      <c r="R411" s="21"/>
      <c r="S411" s="21"/>
      <c r="T411" s="21"/>
    </row>
    <row r="412" customFormat="false" ht="15" hidden="false" customHeight="true" outlineLevel="0" collapsed="false">
      <c r="A412" s="21"/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N412" s="21"/>
      <c r="O412" s="21"/>
      <c r="Q412" s="21"/>
      <c r="R412" s="21"/>
      <c r="S412" s="21"/>
      <c r="T412" s="21"/>
    </row>
    <row r="413" customFormat="false" ht="15" hidden="false" customHeight="true" outlineLevel="0" collapsed="false">
      <c r="A413" s="21"/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N413" s="21"/>
      <c r="O413" s="21"/>
      <c r="Q413" s="21"/>
      <c r="R413" s="21"/>
      <c r="S413" s="21"/>
      <c r="T413" s="21"/>
    </row>
    <row r="414" customFormat="false" ht="15" hidden="false" customHeight="true" outlineLevel="0" collapsed="false">
      <c r="A414" s="21"/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N414" s="21"/>
      <c r="O414" s="21"/>
      <c r="Q414" s="21"/>
      <c r="R414" s="21"/>
      <c r="S414" s="21"/>
      <c r="T414" s="21"/>
    </row>
    <row r="415" customFormat="false" ht="15" hidden="false" customHeight="true" outlineLevel="0" collapsed="false">
      <c r="A415" s="21"/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N415" s="21"/>
      <c r="O415" s="21"/>
      <c r="Q415" s="21"/>
      <c r="R415" s="21"/>
      <c r="S415" s="21"/>
      <c r="T415" s="21"/>
    </row>
    <row r="416" customFormat="false" ht="15" hidden="false" customHeight="true" outlineLevel="0" collapsed="false">
      <c r="A416" s="21"/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N416" s="21"/>
      <c r="O416" s="21"/>
      <c r="Q416" s="21"/>
      <c r="R416" s="21"/>
      <c r="S416" s="21"/>
      <c r="T416" s="21"/>
    </row>
    <row r="417" customFormat="false" ht="15" hidden="false" customHeight="true" outlineLevel="0" collapsed="false">
      <c r="A417" s="21"/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N417" s="21"/>
      <c r="O417" s="21"/>
      <c r="Q417" s="21"/>
      <c r="R417" s="21"/>
      <c r="S417" s="21"/>
      <c r="T417" s="21"/>
    </row>
    <row r="418" customFormat="false" ht="15" hidden="false" customHeight="true" outlineLevel="0" collapsed="false">
      <c r="A418" s="21"/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N418" s="21"/>
      <c r="O418" s="21"/>
      <c r="Q418" s="21"/>
      <c r="R418" s="21"/>
      <c r="S418" s="21"/>
      <c r="T418" s="21"/>
    </row>
    <row r="419" customFormat="false" ht="15" hidden="false" customHeight="true" outlineLevel="0" collapsed="false">
      <c r="A419" s="21"/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N419" s="21"/>
      <c r="O419" s="21"/>
      <c r="Q419" s="21"/>
      <c r="R419" s="21"/>
      <c r="S419" s="21"/>
      <c r="T419" s="21"/>
    </row>
    <row r="420" customFormat="false" ht="15" hidden="false" customHeight="true" outlineLevel="0" collapsed="false">
      <c r="A420" s="21"/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N420" s="21"/>
      <c r="O420" s="21"/>
      <c r="Q420" s="21"/>
      <c r="R420" s="21"/>
      <c r="S420" s="21"/>
      <c r="T420" s="21"/>
    </row>
    <row r="421" customFormat="false" ht="15" hidden="false" customHeight="true" outlineLevel="0" collapsed="false">
      <c r="A421" s="21"/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N421" s="21"/>
      <c r="O421" s="21"/>
      <c r="Q421" s="21"/>
      <c r="R421" s="21"/>
      <c r="S421" s="21"/>
      <c r="T421" s="21"/>
    </row>
    <row r="422" customFormat="false" ht="15" hidden="false" customHeight="true" outlineLevel="0" collapsed="false">
      <c r="A422" s="21"/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N422" s="21"/>
      <c r="O422" s="21"/>
      <c r="Q422" s="21"/>
      <c r="R422" s="21"/>
      <c r="S422" s="21"/>
      <c r="T422" s="21"/>
    </row>
    <row r="423" customFormat="false" ht="15" hidden="false" customHeight="true" outlineLevel="0" collapsed="false">
      <c r="A423" s="21"/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N423" s="21"/>
      <c r="O423" s="21"/>
      <c r="Q423" s="21"/>
      <c r="R423" s="21"/>
      <c r="S423" s="21"/>
      <c r="T423" s="21"/>
    </row>
    <row r="424" customFormat="false" ht="15" hidden="false" customHeight="true" outlineLevel="0" collapsed="false">
      <c r="A424" s="21"/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N424" s="21"/>
      <c r="O424" s="21"/>
      <c r="Q424" s="21"/>
      <c r="R424" s="21"/>
      <c r="S424" s="21"/>
      <c r="T424" s="21"/>
    </row>
    <row r="425" customFormat="false" ht="15" hidden="false" customHeight="true" outlineLevel="0" collapsed="false">
      <c r="A425" s="21"/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N425" s="21"/>
      <c r="O425" s="21"/>
      <c r="Q425" s="21"/>
      <c r="R425" s="21"/>
      <c r="S425" s="21"/>
      <c r="T425" s="21"/>
    </row>
    <row r="426" customFormat="false" ht="15" hidden="false" customHeight="true" outlineLevel="0" collapsed="false">
      <c r="A426" s="21"/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N426" s="21"/>
      <c r="O426" s="21"/>
      <c r="Q426" s="21"/>
      <c r="R426" s="21"/>
      <c r="S426" s="21"/>
      <c r="T426" s="21"/>
    </row>
    <row r="427" customFormat="false" ht="15" hidden="false" customHeight="true" outlineLevel="0" collapsed="false">
      <c r="A427" s="21"/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N427" s="21"/>
      <c r="O427" s="21"/>
      <c r="Q427" s="21"/>
      <c r="R427" s="21"/>
      <c r="S427" s="21"/>
      <c r="T427" s="21"/>
    </row>
    <row r="428" customFormat="false" ht="15" hidden="false" customHeight="true" outlineLevel="0" collapsed="false">
      <c r="A428" s="21"/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N428" s="21"/>
      <c r="O428" s="21"/>
      <c r="Q428" s="21"/>
      <c r="R428" s="21"/>
      <c r="S428" s="21"/>
      <c r="T428" s="21"/>
    </row>
    <row r="429" customFormat="false" ht="15" hidden="false" customHeight="true" outlineLevel="0" collapsed="false">
      <c r="A429" s="21"/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N429" s="21"/>
      <c r="O429" s="21"/>
      <c r="Q429" s="21"/>
      <c r="R429" s="21"/>
      <c r="S429" s="21"/>
      <c r="T429" s="21"/>
    </row>
    <row r="430" customFormat="false" ht="15" hidden="false" customHeight="true" outlineLevel="0" collapsed="false">
      <c r="A430" s="21"/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N430" s="21"/>
      <c r="O430" s="21"/>
      <c r="Q430" s="21"/>
      <c r="R430" s="21"/>
      <c r="S430" s="21"/>
      <c r="T430" s="21"/>
    </row>
    <row r="431" customFormat="false" ht="15" hidden="false" customHeight="true" outlineLevel="0" collapsed="false">
      <c r="A431" s="21"/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N431" s="21"/>
      <c r="O431" s="21"/>
      <c r="Q431" s="21"/>
      <c r="R431" s="21"/>
      <c r="S431" s="21"/>
      <c r="T431" s="21"/>
    </row>
    <row r="432" customFormat="false" ht="15" hidden="false" customHeight="true" outlineLevel="0" collapsed="false">
      <c r="A432" s="21"/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N432" s="21"/>
      <c r="O432" s="21"/>
      <c r="Q432" s="21"/>
      <c r="R432" s="21"/>
      <c r="S432" s="21"/>
      <c r="T432" s="21"/>
    </row>
    <row r="433" customFormat="false" ht="15" hidden="false" customHeight="true" outlineLevel="0" collapsed="false">
      <c r="A433" s="21"/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N433" s="21"/>
      <c r="O433" s="21"/>
      <c r="Q433" s="21"/>
      <c r="R433" s="21"/>
      <c r="S433" s="21"/>
      <c r="T433" s="21"/>
    </row>
    <row r="434" customFormat="false" ht="15" hidden="false" customHeight="true" outlineLevel="0" collapsed="false">
      <c r="A434" s="21"/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N434" s="21"/>
      <c r="O434" s="21"/>
      <c r="Q434" s="21"/>
      <c r="R434" s="21"/>
      <c r="S434" s="21"/>
      <c r="T434" s="21"/>
    </row>
    <row r="435" customFormat="false" ht="15" hidden="false" customHeight="true" outlineLevel="0" collapsed="false">
      <c r="A435" s="21"/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N435" s="21"/>
      <c r="O435" s="21"/>
      <c r="Q435" s="21"/>
      <c r="R435" s="21"/>
      <c r="S435" s="21"/>
      <c r="T435" s="21"/>
    </row>
    <row r="436" customFormat="false" ht="15" hidden="false" customHeight="true" outlineLevel="0" collapsed="false">
      <c r="A436" s="21"/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N436" s="21"/>
      <c r="O436" s="21"/>
      <c r="Q436" s="21"/>
      <c r="R436" s="21"/>
      <c r="S436" s="21"/>
      <c r="T436" s="21"/>
    </row>
    <row r="437" customFormat="false" ht="15" hidden="false" customHeight="true" outlineLevel="0" collapsed="false">
      <c r="A437" s="21"/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N437" s="21"/>
      <c r="O437" s="21"/>
      <c r="Q437" s="21"/>
      <c r="R437" s="21"/>
      <c r="S437" s="21"/>
      <c r="T437" s="21"/>
    </row>
    <row r="438" customFormat="false" ht="15" hidden="false" customHeight="true" outlineLevel="0" collapsed="false">
      <c r="A438" s="21"/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N438" s="21"/>
      <c r="O438" s="21"/>
      <c r="Q438" s="21"/>
      <c r="R438" s="21"/>
      <c r="S438" s="21"/>
      <c r="T438" s="21"/>
    </row>
    <row r="439" customFormat="false" ht="15" hidden="false" customHeight="true" outlineLevel="0" collapsed="false">
      <c r="A439" s="21"/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N439" s="21"/>
      <c r="O439" s="21"/>
      <c r="Q439" s="21"/>
      <c r="R439" s="21"/>
      <c r="S439" s="21"/>
      <c r="T439" s="21"/>
    </row>
    <row r="440" customFormat="false" ht="15" hidden="false" customHeight="true" outlineLevel="0" collapsed="false">
      <c r="A440" s="21"/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N440" s="21"/>
      <c r="O440" s="21"/>
      <c r="Q440" s="21"/>
      <c r="R440" s="21"/>
      <c r="S440" s="21"/>
      <c r="T440" s="21"/>
    </row>
    <row r="441" customFormat="false" ht="15" hidden="false" customHeight="true" outlineLevel="0" collapsed="false">
      <c r="A441" s="21"/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N441" s="21"/>
      <c r="O441" s="21"/>
      <c r="Q441" s="21"/>
      <c r="R441" s="21"/>
      <c r="S441" s="21"/>
      <c r="T441" s="21"/>
    </row>
    <row r="442" customFormat="false" ht="15" hidden="false" customHeight="true" outlineLevel="0" collapsed="false">
      <c r="A442" s="21"/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N442" s="21"/>
      <c r="O442" s="21"/>
      <c r="Q442" s="21"/>
      <c r="R442" s="21"/>
      <c r="S442" s="21"/>
      <c r="T442" s="21"/>
    </row>
    <row r="443" customFormat="false" ht="15" hidden="false" customHeight="true" outlineLevel="0" collapsed="false">
      <c r="A443" s="21"/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N443" s="21"/>
      <c r="O443" s="21"/>
      <c r="Q443" s="21"/>
      <c r="R443" s="21"/>
      <c r="S443" s="21"/>
      <c r="T443" s="21"/>
    </row>
    <row r="444" customFormat="false" ht="15" hidden="false" customHeight="true" outlineLevel="0" collapsed="false">
      <c r="A444" s="21"/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N444" s="21"/>
      <c r="O444" s="21"/>
      <c r="Q444" s="21"/>
      <c r="R444" s="21"/>
      <c r="S444" s="21"/>
      <c r="T444" s="21"/>
    </row>
    <row r="445" customFormat="false" ht="15" hidden="false" customHeight="true" outlineLevel="0" collapsed="false">
      <c r="A445" s="21"/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N445" s="21"/>
      <c r="O445" s="21"/>
      <c r="Q445" s="21"/>
      <c r="R445" s="21"/>
      <c r="S445" s="21"/>
      <c r="T445" s="21"/>
    </row>
    <row r="446" customFormat="false" ht="15" hidden="false" customHeight="true" outlineLevel="0" collapsed="false">
      <c r="A446" s="21"/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N446" s="21"/>
      <c r="O446" s="21"/>
      <c r="Q446" s="21"/>
      <c r="R446" s="21"/>
      <c r="S446" s="21"/>
      <c r="T446" s="21"/>
    </row>
    <row r="447" customFormat="false" ht="15" hidden="false" customHeight="true" outlineLevel="0" collapsed="false">
      <c r="A447" s="21"/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N447" s="21"/>
      <c r="O447" s="21"/>
      <c r="Q447" s="21"/>
      <c r="R447" s="21"/>
      <c r="S447" s="21"/>
      <c r="T447" s="21"/>
    </row>
    <row r="448" customFormat="false" ht="15" hidden="false" customHeight="true" outlineLevel="0" collapsed="false">
      <c r="A448" s="21"/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N448" s="21"/>
      <c r="O448" s="21"/>
      <c r="Q448" s="21"/>
      <c r="R448" s="21"/>
      <c r="S448" s="21"/>
      <c r="T448" s="21"/>
    </row>
    <row r="449" customFormat="false" ht="15" hidden="false" customHeight="true" outlineLevel="0" collapsed="false">
      <c r="A449" s="21"/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N449" s="21"/>
      <c r="O449" s="21"/>
      <c r="Q449" s="21"/>
      <c r="R449" s="21"/>
      <c r="S449" s="21"/>
      <c r="T449" s="21"/>
    </row>
    <row r="450" customFormat="false" ht="15" hidden="false" customHeight="true" outlineLevel="0" collapsed="false">
      <c r="A450" s="21"/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N450" s="21"/>
      <c r="O450" s="21"/>
      <c r="Q450" s="21"/>
      <c r="R450" s="21"/>
      <c r="S450" s="21"/>
      <c r="T450" s="21"/>
    </row>
    <row r="451" customFormat="false" ht="15" hidden="false" customHeight="true" outlineLevel="0" collapsed="false">
      <c r="A451" s="21"/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N451" s="21"/>
      <c r="O451" s="21"/>
      <c r="Q451" s="21"/>
      <c r="R451" s="21"/>
      <c r="S451" s="21"/>
      <c r="T451" s="21"/>
    </row>
    <row r="452" customFormat="false" ht="15" hidden="false" customHeight="true" outlineLevel="0" collapsed="false">
      <c r="A452" s="21"/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N452" s="21"/>
      <c r="O452" s="21"/>
      <c r="Q452" s="21"/>
      <c r="R452" s="21"/>
      <c r="S452" s="21"/>
      <c r="T452" s="21"/>
    </row>
    <row r="453" customFormat="false" ht="15" hidden="false" customHeight="true" outlineLevel="0" collapsed="false">
      <c r="A453" s="21"/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N453" s="21"/>
      <c r="O453" s="21"/>
      <c r="Q453" s="21"/>
      <c r="R453" s="21"/>
      <c r="S453" s="21"/>
      <c r="T453" s="21"/>
    </row>
    <row r="454" customFormat="false" ht="15" hidden="false" customHeight="true" outlineLevel="0" collapsed="false">
      <c r="A454" s="21"/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N454" s="21"/>
      <c r="O454" s="21"/>
      <c r="Q454" s="21"/>
      <c r="R454" s="21"/>
      <c r="S454" s="21"/>
      <c r="T454" s="21"/>
    </row>
    <row r="455" customFormat="false" ht="15" hidden="false" customHeight="true" outlineLevel="0" collapsed="false">
      <c r="A455" s="21"/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N455" s="21"/>
      <c r="O455" s="21"/>
      <c r="Q455" s="21"/>
      <c r="R455" s="21"/>
      <c r="S455" s="21"/>
      <c r="T455" s="21"/>
    </row>
    <row r="456" customFormat="false" ht="15" hidden="false" customHeight="true" outlineLevel="0" collapsed="false">
      <c r="A456" s="21"/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N456" s="21"/>
      <c r="O456" s="21"/>
      <c r="Q456" s="21"/>
      <c r="R456" s="21"/>
      <c r="S456" s="21"/>
      <c r="T456" s="21"/>
    </row>
    <row r="457" customFormat="false" ht="15" hidden="false" customHeight="true" outlineLevel="0" collapsed="false">
      <c r="A457" s="21"/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N457" s="21"/>
      <c r="O457" s="21"/>
      <c r="Q457" s="21"/>
      <c r="R457" s="21"/>
      <c r="S457" s="21"/>
      <c r="T457" s="21"/>
    </row>
    <row r="458" customFormat="false" ht="15" hidden="false" customHeight="true" outlineLevel="0" collapsed="false">
      <c r="A458" s="21"/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N458" s="21"/>
      <c r="O458" s="21"/>
      <c r="Q458" s="21"/>
      <c r="R458" s="21"/>
      <c r="S458" s="21"/>
      <c r="T458" s="21"/>
    </row>
    <row r="459" customFormat="false" ht="15" hidden="false" customHeight="true" outlineLevel="0" collapsed="false">
      <c r="A459" s="21"/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N459" s="21"/>
      <c r="O459" s="21"/>
      <c r="Q459" s="21"/>
      <c r="R459" s="21"/>
      <c r="S459" s="21"/>
      <c r="T459" s="21"/>
    </row>
    <row r="460" customFormat="false" ht="15" hidden="false" customHeight="true" outlineLevel="0" collapsed="false">
      <c r="A460" s="21"/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N460" s="21"/>
      <c r="O460" s="21"/>
      <c r="Q460" s="21"/>
      <c r="R460" s="21"/>
      <c r="S460" s="21"/>
      <c r="T460" s="21"/>
    </row>
    <row r="461" customFormat="false" ht="15" hidden="false" customHeight="true" outlineLevel="0" collapsed="false">
      <c r="A461" s="21"/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N461" s="21"/>
      <c r="O461" s="21"/>
      <c r="Q461" s="21"/>
      <c r="R461" s="21"/>
      <c r="S461" s="21"/>
      <c r="T461" s="21"/>
    </row>
    <row r="462" customFormat="false" ht="15" hidden="false" customHeight="true" outlineLevel="0" collapsed="false">
      <c r="A462" s="21"/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N462" s="21"/>
      <c r="O462" s="21"/>
      <c r="Q462" s="21"/>
      <c r="R462" s="21"/>
      <c r="S462" s="21"/>
      <c r="T462" s="21"/>
    </row>
    <row r="463" customFormat="false" ht="15" hidden="false" customHeight="true" outlineLevel="0" collapsed="false">
      <c r="A463" s="21"/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N463" s="21"/>
      <c r="O463" s="21"/>
      <c r="Q463" s="21"/>
      <c r="R463" s="21"/>
      <c r="S463" s="21"/>
      <c r="T463" s="21"/>
    </row>
    <row r="464" customFormat="false" ht="15" hidden="false" customHeight="true" outlineLevel="0" collapsed="false">
      <c r="A464" s="21"/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N464" s="21"/>
      <c r="O464" s="21"/>
      <c r="Q464" s="21"/>
      <c r="R464" s="21"/>
      <c r="S464" s="21"/>
      <c r="T464" s="21"/>
    </row>
    <row r="465" customFormat="false" ht="15" hidden="false" customHeight="true" outlineLevel="0" collapsed="false">
      <c r="A465" s="21"/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N465" s="21"/>
      <c r="O465" s="21"/>
      <c r="Q465" s="21"/>
      <c r="R465" s="21"/>
      <c r="S465" s="21"/>
      <c r="T465" s="21"/>
    </row>
    <row r="466" customFormat="false" ht="15" hidden="false" customHeight="true" outlineLevel="0" collapsed="false">
      <c r="A466" s="21"/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N466" s="21"/>
      <c r="O466" s="21"/>
      <c r="Q466" s="21"/>
      <c r="R466" s="21"/>
      <c r="S466" s="21"/>
      <c r="T466" s="21"/>
    </row>
    <row r="467" customFormat="false" ht="15" hidden="false" customHeight="true" outlineLevel="0" collapsed="false">
      <c r="A467" s="21"/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N467" s="21"/>
      <c r="O467" s="21"/>
      <c r="Q467" s="21"/>
      <c r="R467" s="21"/>
      <c r="S467" s="21"/>
      <c r="T467" s="21"/>
    </row>
    <row r="468" customFormat="false" ht="15" hidden="false" customHeight="true" outlineLevel="0" collapsed="false">
      <c r="A468" s="21"/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N468" s="21"/>
      <c r="O468" s="21"/>
      <c r="Q468" s="21"/>
      <c r="R468" s="21"/>
      <c r="S468" s="21"/>
      <c r="T468" s="21"/>
    </row>
    <row r="469" customFormat="false" ht="15" hidden="false" customHeight="true" outlineLevel="0" collapsed="false">
      <c r="A469" s="21"/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N469" s="21"/>
      <c r="O469" s="21"/>
      <c r="Q469" s="21"/>
      <c r="R469" s="21"/>
      <c r="S469" s="21"/>
      <c r="T469" s="21"/>
    </row>
    <row r="470" customFormat="false" ht="15" hidden="false" customHeight="true" outlineLevel="0" collapsed="false">
      <c r="A470" s="21"/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N470" s="21"/>
      <c r="O470" s="21"/>
      <c r="Q470" s="21"/>
      <c r="R470" s="21"/>
      <c r="S470" s="21"/>
      <c r="T470" s="21"/>
    </row>
    <row r="471" customFormat="false" ht="15" hidden="false" customHeight="true" outlineLevel="0" collapsed="false">
      <c r="A471" s="21"/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N471" s="21"/>
      <c r="O471" s="21"/>
      <c r="Q471" s="21"/>
      <c r="R471" s="21"/>
      <c r="S471" s="21"/>
      <c r="T471" s="21"/>
    </row>
    <row r="472" customFormat="false" ht="15" hidden="false" customHeight="true" outlineLevel="0" collapsed="false">
      <c r="A472" s="21"/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N472" s="21"/>
      <c r="O472" s="21"/>
      <c r="Q472" s="21"/>
      <c r="R472" s="21"/>
      <c r="S472" s="21"/>
      <c r="T472" s="21"/>
    </row>
    <row r="473" customFormat="false" ht="15" hidden="false" customHeight="true" outlineLevel="0" collapsed="false">
      <c r="A473" s="21"/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N473" s="21"/>
      <c r="O473" s="21"/>
      <c r="Q473" s="21"/>
      <c r="R473" s="21"/>
      <c r="S473" s="21"/>
      <c r="T473" s="21"/>
    </row>
    <row r="474" customFormat="false" ht="15" hidden="false" customHeight="true" outlineLevel="0" collapsed="false">
      <c r="A474" s="21"/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N474" s="21"/>
      <c r="O474" s="21"/>
      <c r="Q474" s="21"/>
      <c r="R474" s="21"/>
      <c r="S474" s="21"/>
      <c r="T474" s="21"/>
    </row>
    <row r="475" customFormat="false" ht="15" hidden="false" customHeight="true" outlineLevel="0" collapsed="false">
      <c r="A475" s="21"/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N475" s="21"/>
      <c r="O475" s="21"/>
      <c r="Q475" s="21"/>
      <c r="R475" s="21"/>
      <c r="S475" s="21"/>
      <c r="T475" s="21"/>
    </row>
    <row r="476" customFormat="false" ht="15" hidden="false" customHeight="true" outlineLevel="0" collapsed="false">
      <c r="A476" s="21"/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N476" s="21"/>
      <c r="O476" s="21"/>
      <c r="Q476" s="21"/>
      <c r="R476" s="21"/>
      <c r="S476" s="21"/>
      <c r="T476" s="21"/>
    </row>
    <row r="477" customFormat="false" ht="15" hidden="false" customHeight="true" outlineLevel="0" collapsed="false">
      <c r="A477" s="21"/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N477" s="21"/>
      <c r="O477" s="21"/>
      <c r="Q477" s="21"/>
      <c r="R477" s="21"/>
      <c r="S477" s="21"/>
      <c r="T477" s="21"/>
    </row>
    <row r="478" customFormat="false" ht="15" hidden="false" customHeight="true" outlineLevel="0" collapsed="false">
      <c r="A478" s="21"/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N478" s="21"/>
      <c r="O478" s="21"/>
      <c r="Q478" s="21"/>
      <c r="R478" s="21"/>
      <c r="S478" s="21"/>
      <c r="T478" s="21"/>
    </row>
    <row r="479" customFormat="false" ht="15" hidden="false" customHeight="true" outlineLevel="0" collapsed="false">
      <c r="A479" s="21"/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N479" s="21"/>
      <c r="O479" s="21"/>
      <c r="Q479" s="21"/>
      <c r="R479" s="21"/>
      <c r="S479" s="21"/>
      <c r="T479" s="21"/>
    </row>
    <row r="480" customFormat="false" ht="15" hidden="false" customHeight="true" outlineLevel="0" collapsed="false">
      <c r="A480" s="21"/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N480" s="21"/>
      <c r="O480" s="21"/>
      <c r="Q480" s="21"/>
      <c r="R480" s="21"/>
      <c r="S480" s="21"/>
      <c r="T480" s="21"/>
    </row>
    <row r="481" customFormat="false" ht="15" hidden="false" customHeight="true" outlineLevel="0" collapsed="false">
      <c r="A481" s="21"/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N481" s="21"/>
      <c r="O481" s="21"/>
      <c r="Q481" s="21"/>
      <c r="R481" s="21"/>
      <c r="S481" s="21"/>
      <c r="T481" s="21"/>
    </row>
    <row r="482" customFormat="false" ht="15" hidden="false" customHeight="true" outlineLevel="0" collapsed="false">
      <c r="A482" s="21"/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N482" s="21"/>
      <c r="O482" s="21"/>
      <c r="Q482" s="21"/>
      <c r="R482" s="21"/>
      <c r="S482" s="21"/>
      <c r="T482" s="21"/>
    </row>
    <row r="483" customFormat="false" ht="15" hidden="false" customHeight="true" outlineLevel="0" collapsed="false">
      <c r="A483" s="21"/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N483" s="21"/>
      <c r="O483" s="21"/>
      <c r="Q483" s="21"/>
      <c r="R483" s="21"/>
      <c r="S483" s="21"/>
      <c r="T483" s="21"/>
    </row>
    <row r="484" customFormat="false" ht="15" hidden="false" customHeight="true" outlineLevel="0" collapsed="false">
      <c r="A484" s="21"/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N484" s="21"/>
      <c r="O484" s="21"/>
      <c r="Q484" s="21"/>
      <c r="R484" s="21"/>
      <c r="S484" s="21"/>
      <c r="T484" s="21"/>
    </row>
    <row r="485" customFormat="false" ht="15" hidden="false" customHeight="true" outlineLevel="0" collapsed="false">
      <c r="A485" s="21"/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N485" s="21"/>
      <c r="O485" s="21"/>
      <c r="Q485" s="21"/>
      <c r="R485" s="21"/>
      <c r="S485" s="21"/>
      <c r="T485" s="21"/>
    </row>
    <row r="486" customFormat="false" ht="15" hidden="false" customHeight="true" outlineLevel="0" collapsed="false">
      <c r="A486" s="21"/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N486" s="21"/>
      <c r="O486" s="21"/>
      <c r="Q486" s="21"/>
      <c r="R486" s="21"/>
      <c r="S486" s="21"/>
      <c r="T486" s="21"/>
    </row>
    <row r="487" customFormat="false" ht="15" hidden="false" customHeight="true" outlineLevel="0" collapsed="false">
      <c r="A487" s="21"/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N487" s="21"/>
      <c r="O487" s="21"/>
      <c r="Q487" s="21"/>
      <c r="R487" s="21"/>
      <c r="S487" s="21"/>
      <c r="T487" s="21"/>
    </row>
    <row r="488" customFormat="false" ht="15" hidden="false" customHeight="true" outlineLevel="0" collapsed="false">
      <c r="A488" s="21"/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N488" s="21"/>
      <c r="O488" s="21"/>
      <c r="Q488" s="21"/>
      <c r="R488" s="21"/>
      <c r="S488" s="21"/>
      <c r="T488" s="21"/>
    </row>
    <row r="489" customFormat="false" ht="15" hidden="false" customHeight="true" outlineLevel="0" collapsed="false">
      <c r="A489" s="21"/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N489" s="21"/>
      <c r="O489" s="21"/>
      <c r="Q489" s="21"/>
      <c r="R489" s="21"/>
      <c r="S489" s="21"/>
      <c r="T489" s="21"/>
    </row>
    <row r="490" customFormat="false" ht="15" hidden="false" customHeight="true" outlineLevel="0" collapsed="false">
      <c r="A490" s="21"/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N490" s="21"/>
      <c r="O490" s="21"/>
      <c r="Q490" s="21"/>
      <c r="R490" s="21"/>
      <c r="S490" s="21"/>
      <c r="T490" s="21"/>
    </row>
    <row r="491" customFormat="false" ht="15" hidden="false" customHeight="true" outlineLevel="0" collapsed="false">
      <c r="A491" s="21"/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N491" s="21"/>
      <c r="O491" s="21"/>
      <c r="Q491" s="21"/>
      <c r="R491" s="21"/>
      <c r="S491" s="21"/>
      <c r="T491" s="21"/>
    </row>
    <row r="492" customFormat="false" ht="15" hidden="false" customHeight="true" outlineLevel="0" collapsed="false">
      <c r="A492" s="21"/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N492" s="21"/>
      <c r="O492" s="21"/>
      <c r="Q492" s="21"/>
      <c r="R492" s="21"/>
      <c r="S492" s="21"/>
      <c r="T492" s="21"/>
    </row>
    <row r="493" customFormat="false" ht="15" hidden="false" customHeight="true" outlineLevel="0" collapsed="false">
      <c r="A493" s="21"/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N493" s="21"/>
      <c r="O493" s="21"/>
      <c r="Q493" s="21"/>
      <c r="R493" s="21"/>
      <c r="S493" s="21"/>
      <c r="T493" s="21"/>
    </row>
    <row r="494" customFormat="false" ht="15" hidden="false" customHeight="true" outlineLevel="0" collapsed="false">
      <c r="A494" s="21"/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N494" s="21"/>
      <c r="O494" s="21"/>
      <c r="Q494" s="21"/>
      <c r="R494" s="21"/>
      <c r="S494" s="21"/>
      <c r="T494" s="21"/>
    </row>
    <row r="495" customFormat="false" ht="15" hidden="false" customHeight="true" outlineLevel="0" collapsed="false">
      <c r="A495" s="21"/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N495" s="21"/>
      <c r="O495" s="21"/>
      <c r="Q495" s="21"/>
      <c r="R495" s="21"/>
      <c r="S495" s="21"/>
      <c r="T495" s="21"/>
    </row>
    <row r="496" customFormat="false" ht="15" hidden="false" customHeight="true" outlineLevel="0" collapsed="false">
      <c r="A496" s="21"/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N496" s="21"/>
      <c r="O496" s="21"/>
      <c r="Q496" s="21"/>
      <c r="R496" s="21"/>
      <c r="S496" s="21"/>
      <c r="T496" s="21"/>
    </row>
    <row r="497" customFormat="false" ht="15" hidden="false" customHeight="true" outlineLevel="0" collapsed="false">
      <c r="A497" s="21"/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N497" s="21"/>
      <c r="O497" s="21"/>
      <c r="Q497" s="21"/>
      <c r="R497" s="21"/>
      <c r="S497" s="21"/>
      <c r="T497" s="21"/>
    </row>
    <row r="498" customFormat="false" ht="15" hidden="false" customHeight="true" outlineLevel="0" collapsed="false">
      <c r="A498" s="21"/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N498" s="21"/>
      <c r="O498" s="21"/>
      <c r="Q498" s="21"/>
      <c r="R498" s="21"/>
      <c r="S498" s="21"/>
      <c r="T498" s="21"/>
    </row>
    <row r="499" customFormat="false" ht="15" hidden="false" customHeight="true" outlineLevel="0" collapsed="false">
      <c r="A499" s="21"/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N499" s="21"/>
      <c r="O499" s="21"/>
      <c r="Q499" s="21"/>
      <c r="R499" s="21"/>
      <c r="S499" s="21"/>
      <c r="T499" s="21"/>
    </row>
    <row r="500" customFormat="false" ht="15" hidden="false" customHeight="true" outlineLevel="0" collapsed="false">
      <c r="A500" s="21"/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N500" s="21"/>
      <c r="O500" s="21"/>
      <c r="Q500" s="21"/>
      <c r="R500" s="21"/>
      <c r="S500" s="21"/>
      <c r="T500" s="21"/>
    </row>
    <row r="501" customFormat="false" ht="15" hidden="false" customHeight="true" outlineLevel="0" collapsed="false">
      <c r="A501" s="21"/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N501" s="21"/>
      <c r="O501" s="21"/>
      <c r="Q501" s="21"/>
      <c r="R501" s="21"/>
      <c r="S501" s="21"/>
      <c r="T501" s="21"/>
    </row>
    <row r="502" customFormat="false" ht="15" hidden="false" customHeight="true" outlineLevel="0" collapsed="false">
      <c r="A502" s="21"/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N502" s="21"/>
      <c r="O502" s="21"/>
      <c r="Q502" s="21"/>
      <c r="R502" s="21"/>
      <c r="S502" s="21"/>
      <c r="T502" s="21"/>
    </row>
    <row r="503" customFormat="false" ht="15" hidden="false" customHeight="true" outlineLevel="0" collapsed="false">
      <c r="A503" s="21"/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N503" s="21"/>
      <c r="O503" s="21"/>
      <c r="Q503" s="21"/>
      <c r="R503" s="21"/>
      <c r="S503" s="21"/>
      <c r="T503" s="21"/>
    </row>
    <row r="504" customFormat="false" ht="15" hidden="false" customHeight="true" outlineLevel="0" collapsed="false">
      <c r="A504" s="21"/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N504" s="21"/>
      <c r="O504" s="21"/>
      <c r="Q504" s="21"/>
      <c r="R504" s="21"/>
      <c r="S504" s="21"/>
      <c r="T504" s="21"/>
    </row>
    <row r="505" customFormat="false" ht="15" hidden="false" customHeight="true" outlineLevel="0" collapsed="false">
      <c r="A505" s="21"/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N505" s="21"/>
      <c r="O505" s="21"/>
      <c r="Q505" s="21"/>
      <c r="R505" s="21"/>
      <c r="S505" s="21"/>
      <c r="T505" s="21"/>
    </row>
    <row r="506" customFormat="false" ht="15" hidden="false" customHeight="true" outlineLevel="0" collapsed="false">
      <c r="A506" s="21"/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N506" s="21"/>
      <c r="O506" s="21"/>
      <c r="Q506" s="21"/>
      <c r="R506" s="21"/>
      <c r="S506" s="21"/>
      <c r="T506" s="21"/>
    </row>
    <row r="507" customFormat="false" ht="15" hidden="false" customHeight="true" outlineLevel="0" collapsed="false">
      <c r="A507" s="21"/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N507" s="21"/>
      <c r="O507" s="21"/>
      <c r="Q507" s="21"/>
      <c r="R507" s="21"/>
      <c r="S507" s="21"/>
      <c r="T507" s="21"/>
    </row>
    <row r="508" customFormat="false" ht="15" hidden="false" customHeight="true" outlineLevel="0" collapsed="false">
      <c r="A508" s="21"/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N508" s="21"/>
      <c r="O508" s="21"/>
      <c r="Q508" s="21"/>
      <c r="R508" s="21"/>
      <c r="S508" s="21"/>
      <c r="T508" s="21"/>
    </row>
    <row r="509" customFormat="false" ht="15" hidden="false" customHeight="true" outlineLevel="0" collapsed="false">
      <c r="A509" s="21"/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N509" s="21"/>
      <c r="O509" s="21"/>
      <c r="Q509" s="21"/>
      <c r="R509" s="21"/>
      <c r="S509" s="21"/>
      <c r="T509" s="21"/>
    </row>
    <row r="510" customFormat="false" ht="15" hidden="false" customHeight="true" outlineLevel="0" collapsed="false">
      <c r="A510" s="21"/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N510" s="21"/>
      <c r="O510" s="21"/>
      <c r="Q510" s="21"/>
      <c r="R510" s="21"/>
      <c r="S510" s="21"/>
      <c r="T510" s="21"/>
    </row>
    <row r="511" customFormat="false" ht="15" hidden="false" customHeight="true" outlineLevel="0" collapsed="false">
      <c r="A511" s="21"/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N511" s="21"/>
      <c r="O511" s="21"/>
      <c r="Q511" s="21"/>
      <c r="R511" s="21"/>
      <c r="S511" s="21"/>
      <c r="T511" s="21"/>
    </row>
    <row r="512" customFormat="false" ht="15" hidden="false" customHeight="true" outlineLevel="0" collapsed="false">
      <c r="A512" s="21"/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N512" s="21"/>
      <c r="O512" s="21"/>
      <c r="Q512" s="21"/>
      <c r="R512" s="21"/>
      <c r="S512" s="21"/>
      <c r="T512" s="21"/>
    </row>
    <row r="513" customFormat="false" ht="15" hidden="false" customHeight="true" outlineLevel="0" collapsed="false">
      <c r="A513" s="21"/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N513" s="21"/>
      <c r="O513" s="21"/>
      <c r="Q513" s="21"/>
      <c r="R513" s="21"/>
      <c r="S513" s="21"/>
      <c r="T513" s="21"/>
    </row>
    <row r="514" customFormat="false" ht="15" hidden="false" customHeight="true" outlineLevel="0" collapsed="false">
      <c r="A514" s="21"/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N514" s="21"/>
      <c r="O514" s="21"/>
      <c r="Q514" s="21"/>
      <c r="R514" s="21"/>
      <c r="S514" s="21"/>
      <c r="T514" s="21"/>
    </row>
    <row r="515" customFormat="false" ht="15" hidden="false" customHeight="true" outlineLevel="0" collapsed="false">
      <c r="A515" s="21"/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N515" s="21"/>
      <c r="O515" s="21"/>
      <c r="Q515" s="21"/>
      <c r="R515" s="21"/>
      <c r="S515" s="21"/>
      <c r="T515" s="21"/>
    </row>
    <row r="516" customFormat="false" ht="15" hidden="false" customHeight="true" outlineLevel="0" collapsed="false">
      <c r="A516" s="21"/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N516" s="21"/>
      <c r="O516" s="21"/>
      <c r="Q516" s="21"/>
      <c r="R516" s="21"/>
      <c r="S516" s="21"/>
      <c r="T516" s="21"/>
    </row>
    <row r="517" customFormat="false" ht="15" hidden="false" customHeight="true" outlineLevel="0" collapsed="false">
      <c r="A517" s="21"/>
      <c r="B517" s="21"/>
      <c r="C517" s="21"/>
      <c r="D517" s="21"/>
      <c r="E517" s="21"/>
      <c r="F517" s="21"/>
      <c r="G517" s="21"/>
      <c r="I517" s="21"/>
      <c r="J517" s="21"/>
      <c r="K517" s="21"/>
      <c r="L517" s="21"/>
      <c r="M517" s="21"/>
      <c r="N517" s="21"/>
      <c r="O517" s="21"/>
      <c r="Q517" s="21"/>
      <c r="R517" s="21"/>
      <c r="S517" s="21"/>
      <c r="T517" s="21"/>
    </row>
    <row r="518" customFormat="false" ht="15" hidden="false" customHeight="true" outlineLevel="0" collapsed="false">
      <c r="A518" s="21"/>
      <c r="B518" s="21"/>
      <c r="C518" s="21"/>
      <c r="D518" s="21"/>
      <c r="E518" s="21"/>
      <c r="F518" s="21"/>
      <c r="G518" s="21"/>
      <c r="I518" s="21"/>
      <c r="J518" s="21"/>
      <c r="K518" s="21"/>
      <c r="L518" s="21"/>
      <c r="M518" s="21"/>
      <c r="N518" s="21"/>
      <c r="O518" s="21"/>
      <c r="Q518" s="21"/>
      <c r="R518" s="21"/>
      <c r="S518" s="21"/>
      <c r="T518" s="21"/>
    </row>
    <row r="519" customFormat="false" ht="15" hidden="false" customHeight="true" outlineLevel="0" collapsed="false">
      <c r="A519" s="21"/>
      <c r="B519" s="21"/>
      <c r="C519" s="21"/>
      <c r="D519" s="21"/>
      <c r="E519" s="21"/>
      <c r="F519" s="21"/>
      <c r="G519" s="21"/>
      <c r="I519" s="21"/>
      <c r="J519" s="21"/>
      <c r="K519" s="21"/>
      <c r="L519" s="21"/>
      <c r="M519" s="21"/>
      <c r="N519" s="21"/>
      <c r="O519" s="21"/>
      <c r="Q519" s="21"/>
      <c r="R519" s="21"/>
      <c r="S519" s="21"/>
      <c r="T519" s="21"/>
    </row>
    <row r="520" customFormat="false" ht="15" hidden="false" customHeight="true" outlineLevel="0" collapsed="false">
      <c r="A520" s="21"/>
      <c r="B520" s="21"/>
      <c r="C520" s="21"/>
      <c r="D520" s="21"/>
      <c r="E520" s="21"/>
      <c r="F520" s="21"/>
      <c r="G520" s="21"/>
      <c r="I520" s="21"/>
      <c r="J520" s="21"/>
      <c r="K520" s="21"/>
      <c r="L520" s="21"/>
      <c r="M520" s="21"/>
      <c r="N520" s="21"/>
      <c r="O520" s="21"/>
      <c r="Q520" s="21"/>
      <c r="R520" s="21"/>
      <c r="S520" s="21"/>
      <c r="T520" s="21"/>
    </row>
    <row r="521" customFormat="false" ht="15" hidden="false" customHeight="true" outlineLevel="0" collapsed="false">
      <c r="A521" s="21"/>
      <c r="B521" s="21"/>
      <c r="C521" s="21"/>
      <c r="D521" s="21"/>
      <c r="E521" s="21"/>
      <c r="F521" s="21"/>
      <c r="G521" s="21"/>
      <c r="I521" s="21"/>
      <c r="J521" s="21"/>
      <c r="K521" s="21"/>
      <c r="L521" s="21"/>
      <c r="M521" s="21"/>
      <c r="N521" s="21"/>
      <c r="O521" s="21"/>
      <c r="Q521" s="21"/>
      <c r="R521" s="21"/>
      <c r="S521" s="21"/>
      <c r="T521" s="21"/>
    </row>
    <row r="522" customFormat="false" ht="15" hidden="false" customHeight="true" outlineLevel="0" collapsed="false">
      <c r="A522" s="21"/>
      <c r="B522" s="21"/>
      <c r="C522" s="21"/>
      <c r="D522" s="21"/>
      <c r="E522" s="21"/>
      <c r="F522" s="21"/>
      <c r="G522" s="21"/>
      <c r="I522" s="21"/>
      <c r="J522" s="21"/>
      <c r="K522" s="21"/>
      <c r="L522" s="21"/>
      <c r="M522" s="21"/>
      <c r="N522" s="21"/>
      <c r="O522" s="21"/>
      <c r="Q522" s="21"/>
      <c r="R522" s="21"/>
      <c r="S522" s="21"/>
      <c r="T522" s="21"/>
    </row>
    <row r="523" customFormat="false" ht="15" hidden="false" customHeight="true" outlineLevel="0" collapsed="false">
      <c r="A523" s="21"/>
      <c r="B523" s="21"/>
      <c r="C523" s="21"/>
      <c r="D523" s="21"/>
      <c r="E523" s="21"/>
      <c r="F523" s="21"/>
      <c r="G523" s="21"/>
      <c r="I523" s="21"/>
      <c r="J523" s="21"/>
      <c r="K523" s="21"/>
      <c r="L523" s="21"/>
      <c r="M523" s="21"/>
      <c r="N523" s="21"/>
      <c r="O523" s="21"/>
      <c r="Q523" s="21"/>
      <c r="R523" s="21"/>
      <c r="S523" s="21"/>
      <c r="T523" s="21"/>
    </row>
    <row r="524" customFormat="false" ht="15" hidden="false" customHeight="true" outlineLevel="0" collapsed="false">
      <c r="A524" s="21"/>
      <c r="B524" s="21"/>
      <c r="C524" s="21"/>
      <c r="D524" s="21"/>
      <c r="E524" s="21"/>
      <c r="F524" s="21"/>
      <c r="G524" s="21"/>
      <c r="I524" s="21"/>
      <c r="J524" s="21"/>
      <c r="K524" s="21"/>
      <c r="L524" s="21"/>
      <c r="M524" s="21"/>
      <c r="N524" s="21"/>
      <c r="O524" s="21"/>
      <c r="Q524" s="21"/>
      <c r="R524" s="21"/>
      <c r="S524" s="21"/>
      <c r="T524" s="21"/>
    </row>
    <row r="525" customFormat="false" ht="15" hidden="false" customHeight="true" outlineLevel="0" collapsed="false">
      <c r="A525" s="21"/>
      <c r="B525" s="21"/>
      <c r="C525" s="21"/>
      <c r="D525" s="21"/>
      <c r="E525" s="21"/>
      <c r="F525" s="21"/>
      <c r="G525" s="21"/>
      <c r="I525" s="21"/>
      <c r="J525" s="21"/>
      <c r="K525" s="21"/>
      <c r="L525" s="21"/>
      <c r="M525" s="21"/>
      <c r="N525" s="21"/>
      <c r="O525" s="21"/>
      <c r="Q525" s="21"/>
      <c r="R525" s="21"/>
      <c r="S525" s="21"/>
      <c r="T525" s="21"/>
    </row>
    <row r="526" customFormat="false" ht="15" hidden="false" customHeight="true" outlineLevel="0" collapsed="false">
      <c r="A526" s="21"/>
      <c r="B526" s="21"/>
      <c r="C526" s="21"/>
      <c r="D526" s="21"/>
      <c r="E526" s="21"/>
      <c r="F526" s="21"/>
      <c r="G526" s="21"/>
      <c r="I526" s="21"/>
      <c r="J526" s="21"/>
      <c r="K526" s="21"/>
      <c r="L526" s="21"/>
      <c r="M526" s="21"/>
      <c r="N526" s="21"/>
      <c r="O526" s="21"/>
      <c r="Q526" s="21"/>
      <c r="R526" s="21"/>
      <c r="S526" s="21"/>
      <c r="T526" s="21"/>
    </row>
    <row r="527" customFormat="false" ht="15" hidden="false" customHeight="true" outlineLevel="0" collapsed="false">
      <c r="A527" s="21"/>
      <c r="B527" s="21"/>
      <c r="C527" s="21"/>
      <c r="D527" s="21"/>
      <c r="E527" s="21"/>
      <c r="F527" s="21"/>
      <c r="G527" s="21"/>
      <c r="I527" s="21"/>
      <c r="J527" s="21"/>
      <c r="K527" s="21"/>
      <c r="L527" s="21"/>
      <c r="M527" s="21"/>
      <c r="N527" s="21"/>
      <c r="O527" s="21"/>
      <c r="Q527" s="21"/>
      <c r="R527" s="21"/>
      <c r="S527" s="21"/>
      <c r="T527" s="21"/>
    </row>
    <row r="528" customFormat="false" ht="15" hidden="false" customHeight="true" outlineLevel="0" collapsed="false">
      <c r="A528" s="21"/>
      <c r="B528" s="21"/>
      <c r="C528" s="21"/>
      <c r="D528" s="21"/>
      <c r="E528" s="21"/>
      <c r="F528" s="21"/>
      <c r="G528" s="21"/>
      <c r="I528" s="21"/>
      <c r="J528" s="21"/>
      <c r="K528" s="21"/>
      <c r="L528" s="21"/>
      <c r="M528" s="21"/>
      <c r="N528" s="21"/>
      <c r="O528" s="21"/>
      <c r="Q528" s="21"/>
      <c r="R528" s="21"/>
      <c r="S528" s="21"/>
      <c r="T528" s="21"/>
    </row>
    <row r="529" customFormat="false" ht="15" hidden="false" customHeight="true" outlineLevel="0" collapsed="false">
      <c r="A529" s="21"/>
      <c r="B529" s="21"/>
      <c r="C529" s="21"/>
      <c r="D529" s="21"/>
      <c r="E529" s="21"/>
      <c r="F529" s="21"/>
      <c r="G529" s="21"/>
      <c r="I529" s="21"/>
      <c r="J529" s="21"/>
      <c r="K529" s="21"/>
      <c r="L529" s="21"/>
      <c r="M529" s="21"/>
      <c r="N529" s="21"/>
      <c r="O529" s="21"/>
      <c r="Q529" s="21"/>
      <c r="R529" s="21"/>
      <c r="S529" s="21"/>
      <c r="T529" s="21"/>
    </row>
    <row r="530" customFormat="false" ht="15" hidden="false" customHeight="true" outlineLevel="0" collapsed="false">
      <c r="A530" s="21"/>
      <c r="B530" s="21"/>
      <c r="C530" s="21"/>
      <c r="D530" s="21"/>
      <c r="E530" s="21"/>
      <c r="F530" s="21"/>
      <c r="G530" s="21"/>
      <c r="I530" s="21"/>
      <c r="J530" s="21"/>
      <c r="K530" s="21"/>
      <c r="L530" s="21"/>
      <c r="M530" s="21"/>
      <c r="N530" s="21"/>
      <c r="O530" s="21"/>
      <c r="Q530" s="21"/>
      <c r="R530" s="21"/>
      <c r="S530" s="21"/>
      <c r="T530" s="21"/>
    </row>
    <row r="531" customFormat="false" ht="15" hidden="false" customHeight="true" outlineLevel="0" collapsed="false">
      <c r="A531" s="21"/>
      <c r="B531" s="21"/>
      <c r="C531" s="21"/>
      <c r="D531" s="21"/>
      <c r="E531" s="21"/>
      <c r="F531" s="21"/>
      <c r="G531" s="21"/>
      <c r="I531" s="21"/>
      <c r="J531" s="21"/>
      <c r="K531" s="21"/>
      <c r="L531" s="21"/>
      <c r="M531" s="21"/>
      <c r="N531" s="21"/>
      <c r="O531" s="21"/>
      <c r="Q531" s="21"/>
      <c r="R531" s="21"/>
      <c r="S531" s="21"/>
      <c r="T531" s="21"/>
    </row>
    <row r="532" customFormat="false" ht="15" hidden="false" customHeight="true" outlineLevel="0" collapsed="false">
      <c r="A532" s="21"/>
      <c r="B532" s="21"/>
      <c r="C532" s="21"/>
      <c r="D532" s="21"/>
      <c r="E532" s="21"/>
      <c r="F532" s="21"/>
      <c r="G532" s="21"/>
      <c r="I532" s="21"/>
      <c r="J532" s="21"/>
      <c r="K532" s="21"/>
      <c r="L532" s="21"/>
      <c r="M532" s="21"/>
      <c r="N532" s="21"/>
      <c r="O532" s="21"/>
      <c r="Q532" s="21"/>
      <c r="R532" s="21"/>
      <c r="S532" s="21"/>
      <c r="T532" s="21"/>
    </row>
    <row r="533" customFormat="false" ht="15" hidden="false" customHeight="true" outlineLevel="0" collapsed="false">
      <c r="A533" s="21"/>
      <c r="B533" s="21"/>
      <c r="C533" s="21"/>
      <c r="D533" s="21"/>
      <c r="E533" s="21"/>
      <c r="F533" s="21"/>
      <c r="G533" s="21"/>
      <c r="I533" s="21"/>
      <c r="J533" s="21"/>
      <c r="K533" s="21"/>
      <c r="L533" s="21"/>
      <c r="M533" s="21"/>
      <c r="N533" s="21"/>
      <c r="O533" s="21"/>
      <c r="Q533" s="21"/>
      <c r="R533" s="21"/>
      <c r="S533" s="21"/>
      <c r="T533" s="21"/>
    </row>
    <row r="534" customFormat="false" ht="15" hidden="false" customHeight="true" outlineLevel="0" collapsed="false">
      <c r="A534" s="21"/>
      <c r="B534" s="21"/>
      <c r="C534" s="21"/>
      <c r="D534" s="21"/>
      <c r="E534" s="21"/>
      <c r="F534" s="21"/>
      <c r="G534" s="21"/>
      <c r="I534" s="21"/>
      <c r="J534" s="21"/>
      <c r="K534" s="21"/>
      <c r="L534" s="21"/>
      <c r="M534" s="21"/>
      <c r="N534" s="21"/>
      <c r="O534" s="21"/>
      <c r="Q534" s="21"/>
      <c r="R534" s="21"/>
      <c r="S534" s="21"/>
      <c r="T534" s="21"/>
    </row>
    <row r="535" customFormat="false" ht="15" hidden="false" customHeight="true" outlineLevel="0" collapsed="false">
      <c r="A535" s="21"/>
      <c r="B535" s="21"/>
      <c r="C535" s="21"/>
      <c r="D535" s="21"/>
      <c r="E535" s="21"/>
      <c r="F535" s="21"/>
      <c r="G535" s="21"/>
      <c r="I535" s="21"/>
      <c r="J535" s="21"/>
      <c r="K535" s="21"/>
      <c r="L535" s="21"/>
      <c r="M535" s="21"/>
      <c r="N535" s="21"/>
      <c r="O535" s="21"/>
      <c r="Q535" s="21"/>
      <c r="R535" s="21"/>
      <c r="S535" s="21"/>
      <c r="T535" s="21"/>
    </row>
    <row r="536" customFormat="false" ht="15" hidden="false" customHeight="true" outlineLevel="0" collapsed="false">
      <c r="A536" s="21"/>
      <c r="B536" s="21"/>
      <c r="C536" s="21"/>
      <c r="D536" s="21"/>
      <c r="E536" s="21"/>
      <c r="F536" s="21"/>
      <c r="G536" s="21"/>
      <c r="I536" s="21"/>
      <c r="J536" s="21"/>
      <c r="K536" s="21"/>
      <c r="L536" s="21"/>
      <c r="M536" s="21"/>
      <c r="N536" s="21"/>
      <c r="O536" s="21"/>
      <c r="Q536" s="21"/>
      <c r="R536" s="21"/>
      <c r="S536" s="21"/>
      <c r="T536" s="21"/>
    </row>
    <row r="537" customFormat="false" ht="15" hidden="false" customHeight="true" outlineLevel="0" collapsed="false">
      <c r="A537" s="21"/>
      <c r="B537" s="21"/>
      <c r="C537" s="21"/>
      <c r="D537" s="21"/>
      <c r="E537" s="21"/>
      <c r="F537" s="21"/>
      <c r="G537" s="21"/>
      <c r="I537" s="21"/>
      <c r="J537" s="21"/>
      <c r="K537" s="21"/>
      <c r="L537" s="21"/>
      <c r="M537" s="21"/>
      <c r="N537" s="21"/>
      <c r="O537" s="21"/>
      <c r="Q537" s="21"/>
      <c r="R537" s="21"/>
      <c r="S537" s="21"/>
      <c r="T537" s="21"/>
    </row>
    <row r="538" customFormat="false" ht="15" hidden="false" customHeight="true" outlineLevel="0" collapsed="false">
      <c r="A538" s="21"/>
      <c r="B538" s="21"/>
      <c r="C538" s="21"/>
      <c r="D538" s="21"/>
      <c r="E538" s="21"/>
      <c r="F538" s="21"/>
      <c r="G538" s="21"/>
      <c r="I538" s="21"/>
      <c r="J538" s="21"/>
      <c r="K538" s="21"/>
      <c r="L538" s="21"/>
      <c r="M538" s="21"/>
      <c r="N538" s="21"/>
      <c r="O538" s="21"/>
      <c r="Q538" s="21"/>
      <c r="R538" s="21"/>
      <c r="S538" s="21"/>
      <c r="T538" s="21"/>
    </row>
    <row r="539" customFormat="false" ht="15" hidden="false" customHeight="true" outlineLevel="0" collapsed="false">
      <c r="A539" s="21"/>
      <c r="B539" s="21"/>
      <c r="C539" s="21"/>
      <c r="D539" s="21"/>
      <c r="E539" s="21"/>
      <c r="F539" s="21"/>
      <c r="G539" s="21"/>
      <c r="I539" s="21"/>
      <c r="J539" s="21"/>
      <c r="K539" s="21"/>
      <c r="L539" s="21"/>
      <c r="M539" s="21"/>
      <c r="N539" s="21"/>
      <c r="O539" s="21"/>
      <c r="Q539" s="21"/>
      <c r="R539" s="21"/>
      <c r="S539" s="21"/>
      <c r="T539" s="21"/>
    </row>
    <row r="540" customFormat="false" ht="15" hidden="false" customHeight="true" outlineLevel="0" collapsed="false">
      <c r="A540" s="21"/>
      <c r="B540" s="21"/>
      <c r="C540" s="21"/>
      <c r="D540" s="21"/>
      <c r="E540" s="21"/>
      <c r="F540" s="21"/>
      <c r="G540" s="21"/>
      <c r="I540" s="21"/>
      <c r="J540" s="21"/>
      <c r="K540" s="21"/>
      <c r="L540" s="21"/>
      <c r="M540" s="21"/>
      <c r="N540" s="21"/>
      <c r="O540" s="21"/>
      <c r="Q540" s="21"/>
      <c r="R540" s="21"/>
      <c r="S540" s="21"/>
      <c r="T540" s="21"/>
    </row>
    <row r="541" customFormat="false" ht="15" hidden="false" customHeight="true" outlineLevel="0" collapsed="false">
      <c r="A541" s="21"/>
      <c r="B541" s="21"/>
      <c r="C541" s="21"/>
      <c r="D541" s="21"/>
      <c r="E541" s="21"/>
      <c r="F541" s="21"/>
      <c r="G541" s="21"/>
      <c r="I541" s="21"/>
      <c r="J541" s="21"/>
      <c r="K541" s="21"/>
      <c r="L541" s="21"/>
      <c r="M541" s="21"/>
      <c r="N541" s="21"/>
      <c r="O541" s="21"/>
      <c r="Q541" s="21"/>
      <c r="R541" s="21"/>
      <c r="S541" s="21"/>
      <c r="T541" s="21"/>
    </row>
    <row r="542" customFormat="false" ht="15" hidden="false" customHeight="true" outlineLevel="0" collapsed="false">
      <c r="A542" s="21"/>
      <c r="B542" s="21"/>
      <c r="C542" s="21"/>
      <c r="D542" s="21"/>
      <c r="E542" s="21"/>
      <c r="F542" s="21"/>
      <c r="G542" s="21"/>
      <c r="I542" s="21"/>
      <c r="J542" s="21"/>
      <c r="K542" s="21"/>
      <c r="L542" s="21"/>
      <c r="M542" s="21"/>
      <c r="N542" s="21"/>
      <c r="O542" s="21"/>
      <c r="Q542" s="21"/>
      <c r="R542" s="21"/>
      <c r="S542" s="21"/>
      <c r="T542" s="21"/>
    </row>
    <row r="543" customFormat="false" ht="15" hidden="false" customHeight="true" outlineLevel="0" collapsed="false">
      <c r="A543" s="21"/>
      <c r="B543" s="21"/>
      <c r="C543" s="21"/>
      <c r="D543" s="21"/>
      <c r="E543" s="21"/>
      <c r="F543" s="21"/>
      <c r="G543" s="21"/>
      <c r="I543" s="21"/>
      <c r="J543" s="21"/>
      <c r="K543" s="21"/>
      <c r="L543" s="21"/>
      <c r="M543" s="21"/>
      <c r="N543" s="21"/>
      <c r="O543" s="21"/>
      <c r="Q543" s="21"/>
      <c r="R543" s="21"/>
      <c r="S543" s="21"/>
      <c r="T543" s="21"/>
    </row>
    <row r="544" customFormat="false" ht="15" hidden="false" customHeight="true" outlineLevel="0" collapsed="false">
      <c r="A544" s="21"/>
      <c r="B544" s="21"/>
      <c r="C544" s="21"/>
      <c r="D544" s="21"/>
      <c r="E544" s="21"/>
      <c r="F544" s="21"/>
      <c r="G544" s="21"/>
      <c r="I544" s="21"/>
      <c r="J544" s="21"/>
      <c r="K544" s="21"/>
      <c r="L544" s="21"/>
      <c r="M544" s="21"/>
      <c r="N544" s="21"/>
      <c r="O544" s="21"/>
      <c r="Q544" s="21"/>
      <c r="R544" s="21"/>
      <c r="S544" s="21"/>
      <c r="T544" s="21"/>
    </row>
    <row r="545" customFormat="false" ht="15" hidden="false" customHeight="true" outlineLevel="0" collapsed="false">
      <c r="A545" s="21"/>
      <c r="B545" s="21"/>
      <c r="C545" s="21"/>
      <c r="D545" s="21"/>
      <c r="E545" s="21"/>
      <c r="F545" s="21"/>
      <c r="G545" s="21"/>
      <c r="I545" s="21"/>
      <c r="J545" s="21"/>
      <c r="K545" s="21"/>
      <c r="L545" s="21"/>
      <c r="M545" s="21"/>
      <c r="N545" s="21"/>
      <c r="O545" s="21"/>
      <c r="Q545" s="21"/>
      <c r="R545" s="21"/>
      <c r="S545" s="21"/>
      <c r="T545" s="21"/>
    </row>
    <row r="546" customFormat="false" ht="15" hidden="false" customHeight="true" outlineLevel="0" collapsed="false">
      <c r="A546" s="21"/>
      <c r="B546" s="21"/>
      <c r="C546" s="21"/>
      <c r="D546" s="21"/>
      <c r="E546" s="21"/>
      <c r="F546" s="21"/>
      <c r="G546" s="21"/>
      <c r="I546" s="21"/>
      <c r="J546" s="21"/>
      <c r="K546" s="21"/>
      <c r="L546" s="21"/>
      <c r="M546" s="21"/>
      <c r="N546" s="21"/>
      <c r="O546" s="21"/>
      <c r="Q546" s="21"/>
      <c r="R546" s="21"/>
      <c r="S546" s="21"/>
      <c r="T546" s="21"/>
    </row>
    <row r="547" customFormat="false" ht="15" hidden="false" customHeight="true" outlineLevel="0" collapsed="false">
      <c r="A547" s="21"/>
      <c r="B547" s="21"/>
      <c r="C547" s="21"/>
      <c r="D547" s="21"/>
      <c r="E547" s="21"/>
      <c r="F547" s="21"/>
      <c r="G547" s="21"/>
      <c r="I547" s="21"/>
      <c r="J547" s="21"/>
      <c r="K547" s="21"/>
      <c r="L547" s="21"/>
      <c r="M547" s="21"/>
      <c r="N547" s="21"/>
      <c r="O547" s="21"/>
      <c r="Q547" s="21"/>
      <c r="R547" s="21"/>
      <c r="S547" s="21"/>
      <c r="T547" s="21"/>
    </row>
    <row r="548" customFormat="false" ht="15" hidden="false" customHeight="true" outlineLevel="0" collapsed="false">
      <c r="A548" s="21"/>
      <c r="B548" s="21"/>
      <c r="C548" s="21"/>
      <c r="D548" s="21"/>
      <c r="E548" s="21"/>
      <c r="F548" s="21"/>
      <c r="G548" s="21"/>
      <c r="I548" s="21"/>
      <c r="J548" s="21"/>
      <c r="K548" s="21"/>
      <c r="L548" s="21"/>
      <c r="M548" s="21"/>
      <c r="N548" s="21"/>
      <c r="O548" s="21"/>
      <c r="Q548" s="21"/>
      <c r="R548" s="21"/>
      <c r="S548" s="21"/>
      <c r="T548" s="21"/>
    </row>
    <row r="549" customFormat="false" ht="15" hidden="false" customHeight="true" outlineLevel="0" collapsed="false">
      <c r="A549" s="21"/>
      <c r="B549" s="21"/>
      <c r="C549" s="21"/>
      <c r="D549" s="21"/>
      <c r="E549" s="21"/>
      <c r="F549" s="21"/>
      <c r="G549" s="21"/>
      <c r="I549" s="21"/>
      <c r="J549" s="21"/>
      <c r="K549" s="21"/>
      <c r="L549" s="21"/>
      <c r="M549" s="21"/>
      <c r="N549" s="21"/>
      <c r="O549" s="21"/>
      <c r="Q549" s="21"/>
      <c r="R549" s="21"/>
      <c r="S549" s="21"/>
      <c r="T549" s="21"/>
    </row>
    <row r="550" customFormat="false" ht="15" hidden="false" customHeight="true" outlineLevel="0" collapsed="false">
      <c r="A550" s="21"/>
      <c r="B550" s="21"/>
      <c r="C550" s="21"/>
      <c r="D550" s="21"/>
      <c r="E550" s="21"/>
      <c r="F550" s="21"/>
      <c r="G550" s="21"/>
      <c r="I550" s="21"/>
      <c r="J550" s="21"/>
      <c r="K550" s="21"/>
      <c r="L550" s="21"/>
      <c r="M550" s="21"/>
      <c r="N550" s="21"/>
      <c r="O550" s="21"/>
      <c r="Q550" s="21"/>
      <c r="R550" s="21"/>
      <c r="S550" s="21"/>
      <c r="T550" s="21"/>
    </row>
    <row r="551" customFormat="false" ht="15" hidden="false" customHeight="true" outlineLevel="0" collapsed="false">
      <c r="A551" s="21"/>
      <c r="B551" s="21"/>
      <c r="C551" s="21"/>
      <c r="D551" s="21"/>
      <c r="E551" s="21"/>
      <c r="F551" s="21"/>
      <c r="G551" s="21"/>
      <c r="I551" s="21"/>
      <c r="J551" s="21"/>
      <c r="K551" s="21"/>
      <c r="L551" s="21"/>
      <c r="M551" s="21"/>
      <c r="N551" s="21"/>
      <c r="O551" s="21"/>
      <c r="Q551" s="21"/>
      <c r="R551" s="21"/>
      <c r="S551" s="21"/>
      <c r="T551" s="21"/>
    </row>
    <row r="552" customFormat="false" ht="15" hidden="false" customHeight="true" outlineLevel="0" collapsed="false">
      <c r="A552" s="21"/>
      <c r="B552" s="21"/>
      <c r="C552" s="21"/>
      <c r="D552" s="21"/>
      <c r="E552" s="21"/>
      <c r="F552" s="21"/>
      <c r="G552" s="21"/>
      <c r="I552" s="21"/>
      <c r="J552" s="21"/>
      <c r="K552" s="21"/>
      <c r="L552" s="21"/>
      <c r="M552" s="21"/>
      <c r="N552" s="21"/>
      <c r="O552" s="21"/>
      <c r="Q552" s="21"/>
      <c r="R552" s="21"/>
      <c r="S552" s="21"/>
      <c r="T552" s="21"/>
    </row>
    <row r="553" customFormat="false" ht="15" hidden="false" customHeight="true" outlineLevel="0" collapsed="false">
      <c r="A553" s="21"/>
      <c r="B553" s="21"/>
      <c r="C553" s="21"/>
      <c r="D553" s="21"/>
      <c r="E553" s="21"/>
      <c r="F553" s="21"/>
      <c r="G553" s="21"/>
      <c r="I553" s="21"/>
      <c r="J553" s="21"/>
      <c r="K553" s="21"/>
      <c r="L553" s="21"/>
      <c r="M553" s="21"/>
      <c r="N553" s="21"/>
      <c r="O553" s="21"/>
      <c r="Q553" s="21"/>
      <c r="R553" s="21"/>
      <c r="S553" s="21"/>
      <c r="T553" s="21"/>
    </row>
    <row r="554" customFormat="false" ht="15" hidden="false" customHeight="true" outlineLevel="0" collapsed="false">
      <c r="A554" s="21"/>
      <c r="B554" s="21"/>
      <c r="C554" s="21"/>
      <c r="D554" s="21"/>
      <c r="E554" s="21"/>
      <c r="F554" s="21"/>
      <c r="G554" s="21"/>
      <c r="I554" s="21"/>
      <c r="J554" s="21"/>
      <c r="K554" s="21"/>
      <c r="L554" s="21"/>
      <c r="M554" s="21"/>
      <c r="N554" s="21"/>
      <c r="O554" s="21"/>
      <c r="Q554" s="21"/>
      <c r="R554" s="21"/>
      <c r="S554" s="21"/>
      <c r="T554" s="21"/>
    </row>
    <row r="555" customFormat="false" ht="15" hidden="false" customHeight="true" outlineLevel="0" collapsed="false">
      <c r="A555" s="21"/>
      <c r="B555" s="21"/>
      <c r="C555" s="21"/>
      <c r="D555" s="21"/>
      <c r="E555" s="21"/>
      <c r="F555" s="21"/>
      <c r="G555" s="21"/>
      <c r="I555" s="21"/>
      <c r="J555" s="21"/>
      <c r="K555" s="21"/>
      <c r="L555" s="21"/>
      <c r="M555" s="21"/>
      <c r="N555" s="21"/>
      <c r="O555" s="21"/>
      <c r="Q555" s="21"/>
      <c r="R555" s="21"/>
      <c r="S555" s="21"/>
      <c r="T555" s="21"/>
    </row>
    <row r="556" customFormat="false" ht="15" hidden="false" customHeight="true" outlineLevel="0" collapsed="false">
      <c r="A556" s="21"/>
      <c r="B556" s="21"/>
      <c r="C556" s="21"/>
      <c r="D556" s="21"/>
      <c r="E556" s="21"/>
      <c r="F556" s="21"/>
      <c r="G556" s="21"/>
      <c r="I556" s="21"/>
      <c r="J556" s="21"/>
      <c r="K556" s="21"/>
      <c r="L556" s="21"/>
      <c r="M556" s="21"/>
      <c r="N556" s="21"/>
      <c r="O556" s="21"/>
      <c r="Q556" s="21"/>
      <c r="R556" s="21"/>
      <c r="S556" s="21"/>
      <c r="T556" s="21"/>
    </row>
    <row r="557" customFormat="false" ht="15" hidden="false" customHeight="true" outlineLevel="0" collapsed="false">
      <c r="A557" s="21"/>
      <c r="B557" s="21"/>
      <c r="C557" s="21"/>
      <c r="D557" s="21"/>
      <c r="E557" s="21"/>
      <c r="F557" s="21"/>
      <c r="G557" s="21"/>
      <c r="I557" s="21"/>
      <c r="J557" s="21"/>
      <c r="K557" s="21"/>
      <c r="L557" s="21"/>
      <c r="M557" s="21"/>
      <c r="N557" s="21"/>
      <c r="O557" s="21"/>
      <c r="Q557" s="21"/>
      <c r="R557" s="21"/>
      <c r="S557" s="21"/>
      <c r="T557" s="21"/>
    </row>
    <row r="558" customFormat="false" ht="15" hidden="false" customHeight="true" outlineLevel="0" collapsed="false">
      <c r="A558" s="21"/>
      <c r="B558" s="21"/>
      <c r="C558" s="21"/>
      <c r="D558" s="21"/>
      <c r="E558" s="21"/>
      <c r="F558" s="21"/>
      <c r="G558" s="21"/>
      <c r="I558" s="21"/>
      <c r="J558" s="21"/>
      <c r="K558" s="21"/>
      <c r="L558" s="21"/>
      <c r="M558" s="21"/>
      <c r="N558" s="21"/>
      <c r="O558" s="21"/>
      <c r="Q558" s="21"/>
      <c r="R558" s="21"/>
      <c r="S558" s="21"/>
      <c r="T558" s="21"/>
    </row>
    <row r="559" customFormat="false" ht="15" hidden="false" customHeight="true" outlineLevel="0" collapsed="false">
      <c r="A559" s="21"/>
      <c r="B559" s="21"/>
      <c r="C559" s="21"/>
      <c r="D559" s="21"/>
      <c r="E559" s="21"/>
      <c r="F559" s="21"/>
      <c r="G559" s="21"/>
      <c r="I559" s="21"/>
      <c r="J559" s="21"/>
      <c r="K559" s="21"/>
      <c r="L559" s="21"/>
      <c r="M559" s="21"/>
      <c r="N559" s="21"/>
      <c r="O559" s="21"/>
      <c r="Q559" s="21"/>
      <c r="R559" s="21"/>
      <c r="S559" s="21"/>
      <c r="T559" s="21"/>
    </row>
    <row r="560" customFormat="false" ht="15" hidden="false" customHeight="true" outlineLevel="0" collapsed="false">
      <c r="A560" s="21"/>
      <c r="B560" s="21"/>
      <c r="C560" s="21"/>
      <c r="D560" s="21"/>
      <c r="E560" s="21"/>
      <c r="F560" s="21"/>
      <c r="G560" s="21"/>
      <c r="I560" s="21"/>
      <c r="J560" s="21"/>
      <c r="K560" s="21"/>
      <c r="L560" s="21"/>
      <c r="M560" s="21"/>
      <c r="N560" s="21"/>
      <c r="O560" s="21"/>
      <c r="Q560" s="21"/>
      <c r="R560" s="21"/>
      <c r="S560" s="21"/>
      <c r="T560" s="21"/>
    </row>
    <row r="561" customFormat="false" ht="15" hidden="false" customHeight="true" outlineLevel="0" collapsed="false">
      <c r="A561" s="21"/>
      <c r="B561" s="21"/>
      <c r="C561" s="21"/>
      <c r="D561" s="21"/>
      <c r="E561" s="21"/>
      <c r="F561" s="21"/>
      <c r="G561" s="21"/>
      <c r="I561" s="21"/>
      <c r="J561" s="21"/>
      <c r="K561" s="21"/>
      <c r="L561" s="21"/>
      <c r="M561" s="21"/>
      <c r="N561" s="21"/>
      <c r="O561" s="21"/>
      <c r="Q561" s="21"/>
      <c r="R561" s="21"/>
      <c r="S561" s="21"/>
      <c r="T561" s="21"/>
    </row>
    <row r="562" customFormat="false" ht="15" hidden="false" customHeight="true" outlineLevel="0" collapsed="false">
      <c r="A562" s="21"/>
      <c r="B562" s="21"/>
      <c r="C562" s="21"/>
      <c r="D562" s="21"/>
      <c r="E562" s="21"/>
      <c r="F562" s="21"/>
      <c r="G562" s="21"/>
      <c r="I562" s="21"/>
      <c r="J562" s="21"/>
      <c r="K562" s="21"/>
      <c r="L562" s="21"/>
      <c r="M562" s="21"/>
      <c r="N562" s="21"/>
      <c r="O562" s="21"/>
      <c r="Q562" s="21"/>
      <c r="R562" s="21"/>
      <c r="S562" s="21"/>
      <c r="T562" s="21"/>
    </row>
    <row r="563" customFormat="false" ht="15" hidden="false" customHeight="true" outlineLevel="0" collapsed="false">
      <c r="A563" s="21"/>
      <c r="B563" s="21"/>
      <c r="C563" s="21"/>
      <c r="D563" s="21"/>
      <c r="E563" s="21"/>
      <c r="F563" s="21"/>
      <c r="G563" s="21"/>
      <c r="I563" s="21"/>
      <c r="J563" s="21"/>
      <c r="K563" s="21"/>
      <c r="L563" s="21"/>
      <c r="M563" s="21"/>
      <c r="N563" s="21"/>
      <c r="O563" s="21"/>
      <c r="Q563" s="21"/>
      <c r="R563" s="21"/>
      <c r="S563" s="21"/>
      <c r="T563" s="21"/>
    </row>
    <row r="564" customFormat="false" ht="15" hidden="false" customHeight="true" outlineLevel="0" collapsed="false">
      <c r="A564" s="21"/>
      <c r="B564" s="21"/>
      <c r="C564" s="21"/>
      <c r="D564" s="21"/>
      <c r="E564" s="21"/>
      <c r="F564" s="21"/>
      <c r="G564" s="21"/>
      <c r="I564" s="21"/>
      <c r="J564" s="21"/>
      <c r="K564" s="21"/>
      <c r="L564" s="21"/>
      <c r="M564" s="21"/>
      <c r="N564" s="21"/>
      <c r="O564" s="21"/>
      <c r="Q564" s="21"/>
      <c r="R564" s="21"/>
      <c r="S564" s="21"/>
      <c r="T564" s="21"/>
    </row>
    <row r="565" customFormat="false" ht="15" hidden="false" customHeight="true" outlineLevel="0" collapsed="false">
      <c r="A565" s="21"/>
      <c r="B565" s="21"/>
      <c r="C565" s="21"/>
      <c r="D565" s="21"/>
      <c r="E565" s="21"/>
      <c r="F565" s="21"/>
      <c r="G565" s="21"/>
      <c r="I565" s="21"/>
      <c r="J565" s="21"/>
      <c r="K565" s="21"/>
      <c r="L565" s="21"/>
      <c r="M565" s="21"/>
      <c r="N565" s="21"/>
      <c r="O565" s="21"/>
      <c r="Q565" s="21"/>
      <c r="R565" s="21"/>
      <c r="S565" s="21"/>
      <c r="T565" s="21"/>
    </row>
    <row r="566" customFormat="false" ht="15" hidden="false" customHeight="true" outlineLevel="0" collapsed="false">
      <c r="A566" s="21"/>
      <c r="B566" s="21"/>
      <c r="C566" s="21"/>
      <c r="D566" s="21"/>
      <c r="E566" s="21"/>
      <c r="F566" s="21"/>
      <c r="G566" s="21"/>
      <c r="I566" s="21"/>
      <c r="J566" s="21"/>
      <c r="K566" s="21"/>
      <c r="L566" s="21"/>
      <c r="M566" s="21"/>
      <c r="N566" s="21"/>
      <c r="O566" s="21"/>
      <c r="Q566" s="21"/>
      <c r="R566" s="21"/>
      <c r="S566" s="21"/>
      <c r="T566" s="21"/>
    </row>
    <row r="567" customFormat="false" ht="15" hidden="false" customHeight="true" outlineLevel="0" collapsed="false">
      <c r="A567" s="21"/>
      <c r="B567" s="21"/>
      <c r="C567" s="21"/>
      <c r="D567" s="21"/>
      <c r="E567" s="21"/>
      <c r="F567" s="21"/>
      <c r="G567" s="21"/>
      <c r="I567" s="21"/>
      <c r="J567" s="21"/>
      <c r="K567" s="21"/>
      <c r="L567" s="21"/>
      <c r="M567" s="21"/>
      <c r="N567" s="21"/>
      <c r="O567" s="21"/>
      <c r="Q567" s="21"/>
      <c r="R567" s="21"/>
      <c r="S567" s="21"/>
      <c r="T567" s="21"/>
    </row>
    <row r="568" customFormat="false" ht="15" hidden="false" customHeight="true" outlineLevel="0" collapsed="false">
      <c r="A568" s="21"/>
      <c r="B568" s="21"/>
      <c r="C568" s="21"/>
      <c r="D568" s="21"/>
      <c r="E568" s="21"/>
      <c r="F568" s="21"/>
      <c r="G568" s="21"/>
      <c r="I568" s="21"/>
      <c r="J568" s="21"/>
      <c r="K568" s="21"/>
      <c r="L568" s="21"/>
      <c r="M568" s="21"/>
      <c r="N568" s="21"/>
      <c r="O568" s="21"/>
      <c r="Q568" s="21"/>
      <c r="R568" s="21"/>
      <c r="S568" s="21"/>
      <c r="T568" s="21"/>
    </row>
    <row r="569" customFormat="false" ht="15" hidden="false" customHeight="true" outlineLevel="0" collapsed="false">
      <c r="A569" s="21"/>
      <c r="B569" s="21"/>
      <c r="C569" s="21"/>
      <c r="D569" s="21"/>
      <c r="E569" s="21"/>
      <c r="F569" s="21"/>
      <c r="G569" s="21"/>
      <c r="I569" s="21"/>
      <c r="J569" s="21"/>
      <c r="K569" s="21"/>
      <c r="L569" s="21"/>
      <c r="M569" s="21"/>
      <c r="N569" s="21"/>
      <c r="O569" s="21"/>
      <c r="Q569" s="21"/>
      <c r="R569" s="21"/>
      <c r="S569" s="21"/>
      <c r="T569" s="21"/>
    </row>
    <row r="570" customFormat="false" ht="15" hidden="false" customHeight="true" outlineLevel="0" collapsed="false">
      <c r="A570" s="21"/>
      <c r="B570" s="21"/>
      <c r="C570" s="21"/>
      <c r="D570" s="21"/>
      <c r="E570" s="21"/>
      <c r="F570" s="21"/>
      <c r="G570" s="21"/>
      <c r="I570" s="21"/>
      <c r="J570" s="21"/>
      <c r="K570" s="21"/>
      <c r="L570" s="21"/>
      <c r="M570" s="21"/>
      <c r="N570" s="21"/>
      <c r="O570" s="21"/>
      <c r="Q570" s="21"/>
      <c r="R570" s="21"/>
      <c r="S570" s="21"/>
      <c r="T570" s="21"/>
    </row>
    <row r="571" customFormat="false" ht="15" hidden="false" customHeight="true" outlineLevel="0" collapsed="false">
      <c r="A571" s="21"/>
      <c r="B571" s="21"/>
      <c r="C571" s="21"/>
      <c r="D571" s="21"/>
      <c r="E571" s="21"/>
      <c r="F571" s="21"/>
      <c r="G571" s="21"/>
      <c r="I571" s="21"/>
      <c r="J571" s="21"/>
      <c r="K571" s="21"/>
      <c r="L571" s="21"/>
      <c r="M571" s="21"/>
      <c r="N571" s="21"/>
      <c r="O571" s="21"/>
      <c r="Q571" s="21"/>
      <c r="R571" s="21"/>
      <c r="S571" s="21"/>
      <c r="T571" s="21"/>
    </row>
    <row r="572" customFormat="false" ht="15" hidden="false" customHeight="true" outlineLevel="0" collapsed="false">
      <c r="A572" s="21"/>
      <c r="B572" s="21"/>
      <c r="C572" s="21"/>
      <c r="D572" s="21"/>
      <c r="E572" s="21"/>
      <c r="F572" s="21"/>
      <c r="G572" s="21"/>
      <c r="I572" s="21"/>
      <c r="J572" s="21"/>
      <c r="K572" s="21"/>
      <c r="L572" s="21"/>
      <c r="M572" s="21"/>
      <c r="N572" s="21"/>
      <c r="O572" s="21"/>
      <c r="Q572" s="21"/>
      <c r="R572" s="21"/>
      <c r="S572" s="21"/>
      <c r="T572" s="21"/>
    </row>
    <row r="573" customFormat="false" ht="15" hidden="false" customHeight="true" outlineLevel="0" collapsed="false">
      <c r="A573" s="21"/>
      <c r="B573" s="21"/>
      <c r="C573" s="21"/>
      <c r="D573" s="21"/>
      <c r="E573" s="21"/>
      <c r="F573" s="21"/>
      <c r="G573" s="21"/>
      <c r="I573" s="21"/>
      <c r="J573" s="21"/>
      <c r="K573" s="21"/>
      <c r="L573" s="21"/>
      <c r="M573" s="21"/>
      <c r="N573" s="21"/>
      <c r="O573" s="21"/>
      <c r="Q573" s="21"/>
      <c r="R573" s="21"/>
      <c r="S573" s="21"/>
      <c r="T573" s="21"/>
    </row>
    <row r="574" customFormat="false" ht="15" hidden="false" customHeight="true" outlineLevel="0" collapsed="false">
      <c r="A574" s="21"/>
      <c r="B574" s="21"/>
      <c r="C574" s="21"/>
      <c r="D574" s="21"/>
      <c r="E574" s="21"/>
      <c r="F574" s="21"/>
      <c r="G574" s="21"/>
      <c r="I574" s="21"/>
      <c r="J574" s="21"/>
      <c r="K574" s="21"/>
      <c r="L574" s="21"/>
      <c r="M574" s="21"/>
      <c r="N574" s="21"/>
      <c r="O574" s="21"/>
      <c r="Q574" s="21"/>
      <c r="R574" s="21"/>
      <c r="S574" s="21"/>
      <c r="T574" s="21"/>
    </row>
    <row r="575" customFormat="false" ht="15" hidden="false" customHeight="true" outlineLevel="0" collapsed="false">
      <c r="A575" s="21"/>
      <c r="B575" s="21"/>
      <c r="C575" s="21"/>
      <c r="D575" s="21"/>
      <c r="E575" s="21"/>
      <c r="F575" s="21"/>
      <c r="G575" s="21"/>
      <c r="I575" s="21"/>
      <c r="J575" s="21"/>
      <c r="K575" s="21"/>
      <c r="L575" s="21"/>
      <c r="M575" s="21"/>
      <c r="N575" s="21"/>
      <c r="O575" s="21"/>
      <c r="Q575" s="21"/>
      <c r="R575" s="21"/>
      <c r="S575" s="21"/>
      <c r="T575" s="21"/>
    </row>
    <row r="576" customFormat="false" ht="15" hidden="false" customHeight="true" outlineLevel="0" collapsed="false">
      <c r="A576" s="21"/>
      <c r="B576" s="21"/>
      <c r="C576" s="21"/>
      <c r="D576" s="21"/>
      <c r="E576" s="21"/>
      <c r="F576" s="21"/>
      <c r="G576" s="21"/>
      <c r="I576" s="21"/>
      <c r="J576" s="21"/>
      <c r="K576" s="21"/>
      <c r="L576" s="21"/>
      <c r="M576" s="21"/>
      <c r="N576" s="21"/>
      <c r="O576" s="21"/>
      <c r="Q576" s="21"/>
      <c r="R576" s="21"/>
      <c r="S576" s="21"/>
      <c r="T576" s="21"/>
    </row>
    <row r="577" customFormat="false" ht="15" hidden="false" customHeight="true" outlineLevel="0" collapsed="false">
      <c r="A577" s="21"/>
      <c r="B577" s="21"/>
      <c r="C577" s="21"/>
      <c r="D577" s="21"/>
      <c r="E577" s="21"/>
      <c r="F577" s="21"/>
      <c r="G577" s="21"/>
      <c r="I577" s="21"/>
      <c r="J577" s="21"/>
      <c r="K577" s="21"/>
      <c r="L577" s="21"/>
      <c r="M577" s="21"/>
      <c r="N577" s="21"/>
      <c r="O577" s="21"/>
      <c r="Q577" s="21"/>
      <c r="R577" s="21"/>
      <c r="S577" s="21"/>
      <c r="T577" s="21"/>
    </row>
    <row r="578" customFormat="false" ht="15" hidden="false" customHeight="true" outlineLevel="0" collapsed="false">
      <c r="A578" s="21"/>
      <c r="B578" s="21"/>
      <c r="C578" s="21"/>
      <c r="D578" s="21"/>
      <c r="E578" s="21"/>
      <c r="F578" s="21"/>
      <c r="G578" s="21"/>
      <c r="I578" s="21"/>
      <c r="J578" s="21"/>
      <c r="K578" s="21"/>
      <c r="L578" s="21"/>
      <c r="M578" s="21"/>
      <c r="N578" s="21"/>
      <c r="O578" s="21"/>
      <c r="Q578" s="21"/>
      <c r="R578" s="21"/>
      <c r="S578" s="21"/>
      <c r="T578" s="21"/>
    </row>
    <row r="579" customFormat="false" ht="15" hidden="false" customHeight="true" outlineLevel="0" collapsed="false">
      <c r="A579" s="21"/>
      <c r="B579" s="21"/>
      <c r="C579" s="21"/>
      <c r="D579" s="21"/>
      <c r="E579" s="21"/>
      <c r="F579" s="21"/>
      <c r="G579" s="21"/>
      <c r="I579" s="21"/>
      <c r="J579" s="21"/>
      <c r="K579" s="21"/>
      <c r="L579" s="21"/>
      <c r="M579" s="21"/>
      <c r="N579" s="21"/>
      <c r="O579" s="21"/>
      <c r="Q579" s="21"/>
      <c r="R579" s="21"/>
      <c r="S579" s="21"/>
      <c r="T579" s="21"/>
    </row>
    <row r="580" customFormat="false" ht="15" hidden="false" customHeight="true" outlineLevel="0" collapsed="false">
      <c r="A580" s="21"/>
      <c r="B580" s="21"/>
      <c r="C580" s="21"/>
      <c r="D580" s="21"/>
      <c r="E580" s="21"/>
      <c r="F580" s="21"/>
      <c r="G580" s="21"/>
      <c r="I580" s="21"/>
      <c r="J580" s="21"/>
      <c r="K580" s="21"/>
      <c r="L580" s="21"/>
      <c r="M580" s="21"/>
      <c r="N580" s="21"/>
      <c r="O580" s="21"/>
      <c r="Q580" s="21"/>
      <c r="R580" s="21"/>
      <c r="S580" s="21"/>
      <c r="T580" s="21"/>
    </row>
    <row r="581" customFormat="false" ht="15" hidden="false" customHeight="true" outlineLevel="0" collapsed="false">
      <c r="A581" s="21"/>
      <c r="B581" s="21"/>
      <c r="C581" s="21"/>
      <c r="D581" s="21"/>
      <c r="E581" s="21"/>
      <c r="F581" s="21"/>
      <c r="G581" s="21"/>
      <c r="I581" s="21"/>
      <c r="J581" s="21"/>
      <c r="K581" s="21"/>
      <c r="L581" s="21"/>
      <c r="M581" s="21"/>
      <c r="N581" s="21"/>
      <c r="O581" s="21"/>
      <c r="Q581" s="21"/>
      <c r="R581" s="21"/>
      <c r="S581" s="21"/>
      <c r="T581" s="21"/>
    </row>
    <row r="582" customFormat="false" ht="15" hidden="false" customHeight="true" outlineLevel="0" collapsed="false">
      <c r="A582" s="21"/>
      <c r="B582" s="21"/>
      <c r="C582" s="21"/>
      <c r="D582" s="21"/>
      <c r="E582" s="21"/>
      <c r="F582" s="21"/>
      <c r="G582" s="21"/>
      <c r="I582" s="21"/>
      <c r="J582" s="21"/>
      <c r="K582" s="21"/>
      <c r="L582" s="21"/>
      <c r="M582" s="21"/>
      <c r="N582" s="21"/>
      <c r="O582" s="21"/>
      <c r="Q582" s="21"/>
      <c r="R582" s="21"/>
      <c r="S582" s="21"/>
      <c r="T582" s="21"/>
    </row>
    <row r="583" customFormat="false" ht="15" hidden="false" customHeight="true" outlineLevel="0" collapsed="false">
      <c r="A583" s="21"/>
      <c r="B583" s="21"/>
      <c r="C583" s="21"/>
      <c r="D583" s="21"/>
      <c r="E583" s="21"/>
      <c r="F583" s="21"/>
      <c r="G583" s="21"/>
      <c r="I583" s="21"/>
      <c r="J583" s="21"/>
      <c r="K583" s="21"/>
      <c r="L583" s="21"/>
      <c r="M583" s="21"/>
      <c r="N583" s="21"/>
      <c r="O583" s="21"/>
      <c r="Q583" s="21"/>
      <c r="R583" s="21"/>
      <c r="S583" s="21"/>
      <c r="T583" s="21"/>
    </row>
    <row r="584" customFormat="false" ht="15" hidden="false" customHeight="true" outlineLevel="0" collapsed="false">
      <c r="A584" s="21"/>
      <c r="B584" s="21"/>
      <c r="C584" s="21"/>
      <c r="D584" s="21"/>
      <c r="E584" s="21"/>
      <c r="F584" s="21"/>
      <c r="G584" s="21"/>
      <c r="I584" s="21"/>
      <c r="J584" s="21"/>
      <c r="K584" s="21"/>
      <c r="L584" s="21"/>
      <c r="M584" s="21"/>
      <c r="N584" s="21"/>
      <c r="O584" s="21"/>
      <c r="Q584" s="21"/>
      <c r="R584" s="21"/>
      <c r="S584" s="21"/>
      <c r="T584" s="21"/>
    </row>
    <row r="585" customFormat="false" ht="15" hidden="false" customHeight="true" outlineLevel="0" collapsed="false">
      <c r="A585" s="21"/>
      <c r="B585" s="21"/>
      <c r="C585" s="21"/>
      <c r="D585" s="21"/>
      <c r="E585" s="21"/>
      <c r="F585" s="21"/>
      <c r="G585" s="21"/>
      <c r="I585" s="21"/>
      <c r="J585" s="21"/>
      <c r="K585" s="21"/>
      <c r="L585" s="21"/>
      <c r="M585" s="21"/>
      <c r="N585" s="21"/>
      <c r="O585" s="21"/>
      <c r="Q585" s="21"/>
      <c r="R585" s="21"/>
      <c r="S585" s="21"/>
      <c r="T585" s="21"/>
    </row>
    <row r="586" customFormat="false" ht="15" hidden="false" customHeight="true" outlineLevel="0" collapsed="false">
      <c r="A586" s="21"/>
      <c r="B586" s="21"/>
      <c r="C586" s="21"/>
      <c r="D586" s="21"/>
      <c r="E586" s="21"/>
      <c r="F586" s="21"/>
      <c r="G586" s="21"/>
      <c r="I586" s="21"/>
      <c r="J586" s="21"/>
      <c r="K586" s="21"/>
      <c r="L586" s="21"/>
      <c r="M586" s="21"/>
      <c r="N586" s="21"/>
      <c r="O586" s="21"/>
      <c r="Q586" s="21"/>
      <c r="R586" s="21"/>
      <c r="S586" s="21"/>
      <c r="T586" s="21"/>
    </row>
    <row r="587" customFormat="false" ht="15" hidden="false" customHeight="true" outlineLevel="0" collapsed="false">
      <c r="A587" s="21"/>
      <c r="B587" s="21"/>
      <c r="C587" s="21"/>
      <c r="D587" s="21"/>
      <c r="E587" s="21"/>
      <c r="F587" s="21"/>
      <c r="G587" s="21"/>
      <c r="I587" s="21"/>
      <c r="J587" s="21"/>
      <c r="K587" s="21"/>
      <c r="L587" s="21"/>
      <c r="M587" s="21"/>
      <c r="N587" s="21"/>
      <c r="O587" s="21"/>
      <c r="Q587" s="21"/>
      <c r="R587" s="21"/>
      <c r="S587" s="21"/>
      <c r="T587" s="21"/>
    </row>
    <row r="588" customFormat="false" ht="15" hidden="false" customHeight="true" outlineLevel="0" collapsed="false">
      <c r="A588" s="21"/>
      <c r="B588" s="21"/>
      <c r="C588" s="21"/>
      <c r="D588" s="21"/>
      <c r="E588" s="21"/>
      <c r="F588" s="21"/>
      <c r="G588" s="21"/>
      <c r="I588" s="21"/>
      <c r="J588" s="21"/>
      <c r="K588" s="21"/>
      <c r="L588" s="21"/>
      <c r="M588" s="21"/>
      <c r="N588" s="21"/>
      <c r="O588" s="21"/>
      <c r="Q588" s="21"/>
      <c r="R588" s="21"/>
      <c r="S588" s="21"/>
      <c r="T588" s="21"/>
    </row>
    <row r="589" customFormat="false" ht="15" hidden="false" customHeight="true" outlineLevel="0" collapsed="false">
      <c r="A589" s="21"/>
      <c r="B589" s="21"/>
      <c r="C589" s="21"/>
      <c r="D589" s="21"/>
      <c r="E589" s="21"/>
      <c r="F589" s="21"/>
      <c r="G589" s="21"/>
      <c r="I589" s="21"/>
      <c r="J589" s="21"/>
      <c r="K589" s="21"/>
      <c r="L589" s="21"/>
      <c r="M589" s="21"/>
      <c r="N589" s="21"/>
      <c r="O589" s="21"/>
      <c r="Q589" s="21"/>
      <c r="R589" s="21"/>
      <c r="S589" s="21"/>
      <c r="T589" s="21"/>
    </row>
    <row r="590" customFormat="false" ht="15" hidden="false" customHeight="true" outlineLevel="0" collapsed="false">
      <c r="A590" s="21"/>
      <c r="B590" s="21"/>
      <c r="C590" s="21"/>
      <c r="D590" s="21"/>
      <c r="E590" s="21"/>
      <c r="F590" s="21"/>
      <c r="G590" s="21"/>
      <c r="I590" s="21"/>
      <c r="J590" s="21"/>
      <c r="K590" s="21"/>
      <c r="L590" s="21"/>
      <c r="M590" s="21"/>
      <c r="N590" s="21"/>
      <c r="O590" s="21"/>
      <c r="Q590" s="21"/>
      <c r="R590" s="21"/>
      <c r="S590" s="21"/>
      <c r="T590" s="21"/>
    </row>
    <row r="591" customFormat="false" ht="15" hidden="false" customHeight="true" outlineLevel="0" collapsed="false">
      <c r="A591" s="21"/>
      <c r="B591" s="21"/>
      <c r="C591" s="21"/>
      <c r="D591" s="21"/>
      <c r="E591" s="21"/>
      <c r="F591" s="21"/>
      <c r="G591" s="21"/>
      <c r="I591" s="21"/>
      <c r="J591" s="21"/>
      <c r="K591" s="21"/>
      <c r="L591" s="21"/>
      <c r="M591" s="21"/>
      <c r="N591" s="21"/>
      <c r="O591" s="21"/>
      <c r="Q591" s="21"/>
      <c r="R591" s="21"/>
      <c r="S591" s="21"/>
      <c r="T591" s="21"/>
    </row>
    <row r="592" customFormat="false" ht="15" hidden="false" customHeight="true" outlineLevel="0" collapsed="false">
      <c r="A592" s="21"/>
      <c r="B592" s="21"/>
      <c r="C592" s="21"/>
      <c r="D592" s="21"/>
      <c r="E592" s="21"/>
      <c r="F592" s="21"/>
      <c r="G592" s="21"/>
      <c r="I592" s="21"/>
      <c r="J592" s="21"/>
      <c r="K592" s="21"/>
      <c r="L592" s="21"/>
      <c r="M592" s="21"/>
      <c r="N592" s="21"/>
      <c r="O592" s="21"/>
      <c r="Q592" s="21"/>
      <c r="R592" s="21"/>
      <c r="S592" s="21"/>
      <c r="T592" s="21"/>
    </row>
    <row r="593" customFormat="false" ht="15" hidden="false" customHeight="true" outlineLevel="0" collapsed="false">
      <c r="A593" s="21"/>
      <c r="B593" s="21"/>
      <c r="C593" s="21"/>
      <c r="D593" s="21"/>
      <c r="E593" s="21"/>
      <c r="F593" s="21"/>
      <c r="G593" s="21"/>
      <c r="I593" s="21"/>
      <c r="J593" s="21"/>
      <c r="K593" s="21"/>
      <c r="L593" s="21"/>
      <c r="M593" s="21"/>
      <c r="N593" s="21"/>
      <c r="O593" s="21"/>
      <c r="Q593" s="21"/>
      <c r="R593" s="21"/>
      <c r="S593" s="21"/>
      <c r="T593" s="21"/>
    </row>
    <row r="594" customFormat="false" ht="15" hidden="false" customHeight="true" outlineLevel="0" collapsed="false">
      <c r="A594" s="21"/>
      <c r="B594" s="21"/>
      <c r="C594" s="21"/>
      <c r="D594" s="21"/>
      <c r="E594" s="21"/>
      <c r="F594" s="21"/>
      <c r="G594" s="21"/>
      <c r="I594" s="21"/>
      <c r="J594" s="21"/>
      <c r="K594" s="21"/>
      <c r="L594" s="21"/>
      <c r="M594" s="21"/>
      <c r="N594" s="21"/>
      <c r="O594" s="21"/>
      <c r="Q594" s="21"/>
      <c r="R594" s="21"/>
      <c r="S594" s="21"/>
      <c r="T594" s="21"/>
    </row>
    <row r="595" customFormat="false" ht="15" hidden="false" customHeight="true" outlineLevel="0" collapsed="false">
      <c r="A595" s="21"/>
      <c r="B595" s="21"/>
      <c r="C595" s="21"/>
      <c r="D595" s="21"/>
      <c r="E595" s="21"/>
      <c r="F595" s="21"/>
      <c r="G595" s="21"/>
      <c r="I595" s="21"/>
      <c r="J595" s="21"/>
      <c r="K595" s="21"/>
      <c r="L595" s="21"/>
      <c r="M595" s="21"/>
      <c r="N595" s="21"/>
      <c r="O595" s="21"/>
      <c r="Q595" s="21"/>
      <c r="R595" s="21"/>
      <c r="S595" s="21"/>
      <c r="T595" s="21"/>
    </row>
    <row r="596" customFormat="false" ht="15" hidden="false" customHeight="true" outlineLevel="0" collapsed="false">
      <c r="A596" s="21"/>
      <c r="B596" s="21"/>
      <c r="C596" s="21"/>
      <c r="D596" s="21"/>
      <c r="E596" s="21"/>
      <c r="F596" s="21"/>
      <c r="G596" s="21"/>
      <c r="I596" s="21"/>
      <c r="J596" s="21"/>
      <c r="K596" s="21"/>
      <c r="L596" s="21"/>
      <c r="M596" s="21"/>
      <c r="N596" s="21"/>
      <c r="O596" s="21"/>
      <c r="Q596" s="21"/>
      <c r="R596" s="21"/>
      <c r="S596" s="21"/>
      <c r="T596" s="21"/>
    </row>
    <row r="597" customFormat="false" ht="15" hidden="false" customHeight="true" outlineLevel="0" collapsed="false">
      <c r="A597" s="21"/>
      <c r="B597" s="21"/>
      <c r="C597" s="21"/>
      <c r="D597" s="21"/>
      <c r="E597" s="21"/>
      <c r="F597" s="21"/>
      <c r="G597" s="21"/>
      <c r="I597" s="21"/>
      <c r="J597" s="21"/>
      <c r="K597" s="21"/>
      <c r="L597" s="21"/>
      <c r="M597" s="21"/>
      <c r="N597" s="21"/>
      <c r="O597" s="21"/>
      <c r="Q597" s="21"/>
      <c r="R597" s="21"/>
      <c r="S597" s="21"/>
      <c r="T597" s="21"/>
    </row>
    <row r="598" customFormat="false" ht="15" hidden="false" customHeight="true" outlineLevel="0" collapsed="false">
      <c r="A598" s="21"/>
      <c r="B598" s="21"/>
      <c r="C598" s="21"/>
      <c r="D598" s="21"/>
      <c r="E598" s="21"/>
      <c r="F598" s="21"/>
      <c r="G598" s="21"/>
      <c r="I598" s="21"/>
      <c r="J598" s="21"/>
      <c r="K598" s="21"/>
      <c r="L598" s="21"/>
      <c r="M598" s="21"/>
      <c r="N598" s="21"/>
      <c r="O598" s="21"/>
      <c r="Q598" s="21"/>
      <c r="R598" s="21"/>
      <c r="S598" s="21"/>
      <c r="T598" s="21"/>
    </row>
    <row r="599" customFormat="false" ht="15" hidden="false" customHeight="true" outlineLevel="0" collapsed="false">
      <c r="A599" s="21"/>
      <c r="B599" s="21"/>
      <c r="C599" s="21"/>
      <c r="D599" s="21"/>
      <c r="E599" s="21"/>
      <c r="F599" s="21"/>
      <c r="G599" s="21"/>
      <c r="I599" s="21"/>
      <c r="J599" s="21"/>
      <c r="K599" s="21"/>
      <c r="L599" s="21"/>
      <c r="M599" s="21"/>
      <c r="N599" s="21"/>
      <c r="O599" s="21"/>
      <c r="Q599" s="21"/>
      <c r="R599" s="21"/>
      <c r="S599" s="21"/>
      <c r="T599" s="21"/>
    </row>
    <row r="600" customFormat="false" ht="15" hidden="false" customHeight="true" outlineLevel="0" collapsed="false">
      <c r="A600" s="21"/>
      <c r="B600" s="21"/>
      <c r="C600" s="21"/>
      <c r="D600" s="21"/>
      <c r="E600" s="21"/>
      <c r="F600" s="21"/>
      <c r="G600" s="21"/>
      <c r="I600" s="21"/>
      <c r="J600" s="21"/>
      <c r="K600" s="21"/>
      <c r="L600" s="21"/>
      <c r="M600" s="21"/>
      <c r="N600" s="21"/>
      <c r="O600" s="21"/>
      <c r="Q600" s="21"/>
      <c r="R600" s="21"/>
      <c r="S600" s="21"/>
      <c r="T600" s="21"/>
    </row>
    <row r="601" customFormat="false" ht="15" hidden="false" customHeight="true" outlineLevel="0" collapsed="false">
      <c r="A601" s="21"/>
      <c r="B601" s="21"/>
      <c r="C601" s="21"/>
      <c r="D601" s="21"/>
      <c r="E601" s="21"/>
      <c r="F601" s="21"/>
      <c r="G601" s="21"/>
      <c r="I601" s="21"/>
      <c r="J601" s="21"/>
      <c r="K601" s="21"/>
      <c r="L601" s="21"/>
      <c r="M601" s="21"/>
      <c r="N601" s="21"/>
      <c r="O601" s="21"/>
      <c r="Q601" s="21"/>
      <c r="R601" s="21"/>
      <c r="S601" s="21"/>
      <c r="T601" s="21"/>
    </row>
    <row r="602" customFormat="false" ht="15" hidden="false" customHeight="true" outlineLevel="0" collapsed="false">
      <c r="A602" s="21"/>
      <c r="B602" s="21"/>
      <c r="C602" s="21"/>
      <c r="D602" s="21"/>
      <c r="E602" s="21"/>
      <c r="F602" s="21"/>
      <c r="G602" s="21"/>
      <c r="I602" s="21"/>
      <c r="J602" s="21"/>
      <c r="K602" s="21"/>
      <c r="L602" s="21"/>
      <c r="M602" s="21"/>
      <c r="N602" s="21"/>
      <c r="O602" s="21"/>
      <c r="Q602" s="21"/>
      <c r="R602" s="21"/>
      <c r="S602" s="21"/>
      <c r="T602" s="21"/>
    </row>
    <row r="603" customFormat="false" ht="15" hidden="false" customHeight="true" outlineLevel="0" collapsed="false">
      <c r="A603" s="21"/>
      <c r="B603" s="21"/>
      <c r="C603" s="21"/>
      <c r="D603" s="21"/>
      <c r="E603" s="21"/>
      <c r="F603" s="21"/>
      <c r="G603" s="21"/>
      <c r="I603" s="21"/>
      <c r="J603" s="21"/>
      <c r="K603" s="21"/>
      <c r="L603" s="21"/>
      <c r="M603" s="21"/>
      <c r="N603" s="21"/>
      <c r="O603" s="21"/>
      <c r="Q603" s="21"/>
      <c r="R603" s="21"/>
      <c r="S603" s="21"/>
      <c r="T603" s="21"/>
    </row>
    <row r="604" customFormat="false" ht="15" hidden="false" customHeight="true" outlineLevel="0" collapsed="false">
      <c r="A604" s="21"/>
      <c r="B604" s="21"/>
      <c r="C604" s="21"/>
      <c r="D604" s="21"/>
      <c r="E604" s="21"/>
      <c r="F604" s="21"/>
      <c r="G604" s="21"/>
      <c r="I604" s="21"/>
      <c r="J604" s="21"/>
      <c r="K604" s="21"/>
      <c r="L604" s="21"/>
      <c r="M604" s="21"/>
      <c r="N604" s="21"/>
      <c r="O604" s="21"/>
      <c r="Q604" s="21"/>
      <c r="R604" s="21"/>
      <c r="S604" s="21"/>
      <c r="T604" s="21"/>
    </row>
    <row r="605" customFormat="false" ht="15" hidden="false" customHeight="true" outlineLevel="0" collapsed="false">
      <c r="A605" s="21"/>
      <c r="B605" s="21"/>
      <c r="C605" s="21"/>
      <c r="D605" s="21"/>
      <c r="E605" s="21"/>
      <c r="F605" s="21"/>
      <c r="G605" s="21"/>
      <c r="I605" s="21"/>
      <c r="J605" s="21"/>
      <c r="K605" s="21"/>
      <c r="L605" s="21"/>
      <c r="M605" s="21"/>
      <c r="N605" s="21"/>
      <c r="O605" s="21"/>
      <c r="Q605" s="21"/>
      <c r="R605" s="21"/>
      <c r="S605" s="21"/>
      <c r="T605" s="21"/>
    </row>
    <row r="606" customFormat="false" ht="15" hidden="false" customHeight="true" outlineLevel="0" collapsed="false">
      <c r="A606" s="21"/>
      <c r="B606" s="21"/>
      <c r="C606" s="21"/>
      <c r="D606" s="21"/>
      <c r="E606" s="21"/>
      <c r="F606" s="21"/>
      <c r="G606" s="21"/>
      <c r="I606" s="21"/>
      <c r="J606" s="21"/>
      <c r="K606" s="21"/>
      <c r="L606" s="21"/>
      <c r="M606" s="21"/>
      <c r="N606" s="21"/>
      <c r="O606" s="21"/>
      <c r="Q606" s="21"/>
      <c r="R606" s="21"/>
      <c r="S606" s="21"/>
      <c r="T606" s="21"/>
    </row>
    <row r="607" customFormat="false" ht="15" hidden="false" customHeight="true" outlineLevel="0" collapsed="false">
      <c r="A607" s="21"/>
      <c r="B607" s="21"/>
      <c r="C607" s="21"/>
      <c r="D607" s="21"/>
      <c r="E607" s="21"/>
      <c r="F607" s="21"/>
      <c r="G607" s="21"/>
      <c r="I607" s="21"/>
      <c r="J607" s="21"/>
      <c r="K607" s="21"/>
      <c r="L607" s="21"/>
      <c r="M607" s="21"/>
      <c r="N607" s="21"/>
      <c r="O607" s="21"/>
      <c r="Q607" s="21"/>
      <c r="R607" s="21"/>
      <c r="S607" s="21"/>
      <c r="T607" s="21"/>
    </row>
    <row r="608" customFormat="false" ht="15" hidden="false" customHeight="true" outlineLevel="0" collapsed="false">
      <c r="A608" s="21"/>
      <c r="B608" s="21"/>
      <c r="C608" s="21"/>
      <c r="D608" s="21"/>
      <c r="E608" s="21"/>
      <c r="F608" s="21"/>
      <c r="G608" s="21"/>
      <c r="I608" s="21"/>
      <c r="J608" s="21"/>
      <c r="K608" s="21"/>
      <c r="L608" s="21"/>
      <c r="M608" s="21"/>
      <c r="N608" s="21"/>
      <c r="O608" s="21"/>
      <c r="Q608" s="21"/>
      <c r="R608" s="21"/>
      <c r="S608" s="21"/>
      <c r="T608" s="21"/>
    </row>
    <row r="609" customFormat="false" ht="15" hidden="false" customHeight="true" outlineLevel="0" collapsed="false">
      <c r="A609" s="21"/>
      <c r="B609" s="21"/>
      <c r="C609" s="21"/>
      <c r="D609" s="21"/>
      <c r="E609" s="21"/>
      <c r="F609" s="21"/>
      <c r="G609" s="21"/>
      <c r="I609" s="21"/>
      <c r="J609" s="21"/>
      <c r="K609" s="21"/>
      <c r="L609" s="21"/>
      <c r="M609" s="21"/>
      <c r="N609" s="21"/>
      <c r="O609" s="21"/>
      <c r="Q609" s="21"/>
      <c r="R609" s="21"/>
      <c r="S609" s="21"/>
      <c r="T609" s="21"/>
    </row>
    <row r="610" customFormat="false" ht="15" hidden="false" customHeight="true" outlineLevel="0" collapsed="false">
      <c r="A610" s="21"/>
      <c r="B610" s="21"/>
      <c r="C610" s="21"/>
      <c r="D610" s="21"/>
      <c r="E610" s="21"/>
      <c r="F610" s="21"/>
      <c r="G610" s="21"/>
      <c r="I610" s="21"/>
      <c r="J610" s="21"/>
      <c r="K610" s="21"/>
      <c r="L610" s="21"/>
      <c r="M610" s="21"/>
      <c r="N610" s="21"/>
      <c r="O610" s="21"/>
      <c r="Q610" s="21"/>
      <c r="R610" s="21"/>
      <c r="S610" s="21"/>
      <c r="T610" s="21"/>
    </row>
    <row r="611" customFormat="false" ht="15" hidden="false" customHeight="true" outlineLevel="0" collapsed="false">
      <c r="A611" s="21"/>
      <c r="B611" s="21"/>
      <c r="C611" s="21"/>
      <c r="D611" s="21"/>
      <c r="E611" s="21"/>
      <c r="F611" s="21"/>
      <c r="G611" s="21"/>
      <c r="I611" s="21"/>
      <c r="J611" s="21"/>
      <c r="K611" s="21"/>
      <c r="L611" s="21"/>
      <c r="M611" s="21"/>
      <c r="N611" s="21"/>
      <c r="O611" s="21"/>
      <c r="Q611" s="21"/>
      <c r="R611" s="21"/>
      <c r="S611" s="21"/>
      <c r="T611" s="21"/>
    </row>
    <row r="612" customFormat="false" ht="15" hidden="false" customHeight="true" outlineLevel="0" collapsed="false">
      <c r="A612" s="21"/>
      <c r="B612" s="21"/>
      <c r="C612" s="21"/>
      <c r="D612" s="21"/>
      <c r="E612" s="21"/>
      <c r="F612" s="21"/>
      <c r="G612" s="21"/>
      <c r="I612" s="21"/>
      <c r="J612" s="21"/>
      <c r="K612" s="21"/>
      <c r="L612" s="21"/>
      <c r="M612" s="21"/>
      <c r="N612" s="21"/>
      <c r="O612" s="21"/>
      <c r="Q612" s="21"/>
      <c r="R612" s="21"/>
      <c r="S612" s="21"/>
      <c r="T612" s="21"/>
    </row>
    <row r="613" customFormat="false" ht="15" hidden="false" customHeight="true" outlineLevel="0" collapsed="false">
      <c r="A613" s="21"/>
      <c r="B613" s="21"/>
      <c r="C613" s="21"/>
      <c r="D613" s="21"/>
      <c r="E613" s="21"/>
      <c r="F613" s="21"/>
      <c r="G613" s="21"/>
      <c r="I613" s="21"/>
      <c r="J613" s="21"/>
      <c r="K613" s="21"/>
      <c r="L613" s="21"/>
      <c r="M613" s="21"/>
      <c r="N613" s="21"/>
      <c r="O613" s="21"/>
      <c r="Q613" s="21"/>
      <c r="R613" s="21"/>
      <c r="S613" s="21"/>
      <c r="T613" s="21"/>
    </row>
    <row r="614" customFormat="false" ht="15" hidden="false" customHeight="true" outlineLevel="0" collapsed="false">
      <c r="A614" s="21"/>
      <c r="B614" s="21"/>
      <c r="C614" s="21"/>
      <c r="D614" s="21"/>
      <c r="E614" s="21"/>
      <c r="F614" s="21"/>
      <c r="G614" s="21"/>
      <c r="I614" s="21"/>
      <c r="J614" s="21"/>
      <c r="K614" s="21"/>
      <c r="L614" s="21"/>
      <c r="M614" s="21"/>
      <c r="N614" s="21"/>
      <c r="O614" s="21"/>
      <c r="Q614" s="21"/>
      <c r="R614" s="21"/>
      <c r="S614" s="21"/>
      <c r="T614" s="21"/>
    </row>
    <row r="615" customFormat="false" ht="15" hidden="false" customHeight="true" outlineLevel="0" collapsed="false">
      <c r="A615" s="21"/>
      <c r="B615" s="21"/>
      <c r="C615" s="21"/>
      <c r="D615" s="21"/>
      <c r="E615" s="21"/>
      <c r="F615" s="21"/>
      <c r="G615" s="21"/>
      <c r="I615" s="21"/>
      <c r="J615" s="21"/>
      <c r="K615" s="21"/>
      <c r="L615" s="21"/>
      <c r="M615" s="21"/>
      <c r="N615" s="21"/>
      <c r="O615" s="21"/>
      <c r="Q615" s="21"/>
      <c r="R615" s="21"/>
      <c r="S615" s="21"/>
      <c r="T615" s="21"/>
    </row>
    <row r="616" customFormat="false" ht="15" hidden="false" customHeight="true" outlineLevel="0" collapsed="false">
      <c r="A616" s="21"/>
      <c r="B616" s="21"/>
      <c r="C616" s="21"/>
      <c r="D616" s="21"/>
      <c r="E616" s="21"/>
      <c r="F616" s="21"/>
      <c r="G616" s="21"/>
      <c r="I616" s="21"/>
      <c r="J616" s="21"/>
      <c r="K616" s="21"/>
      <c r="L616" s="21"/>
      <c r="M616" s="21"/>
      <c r="N616" s="21"/>
      <c r="O616" s="21"/>
      <c r="Q616" s="21"/>
      <c r="R616" s="21"/>
      <c r="S616" s="21"/>
      <c r="T616" s="21"/>
    </row>
    <row r="617" customFormat="false" ht="15" hidden="false" customHeight="true" outlineLevel="0" collapsed="false">
      <c r="A617" s="21"/>
      <c r="B617" s="21"/>
      <c r="C617" s="21"/>
      <c r="D617" s="21"/>
      <c r="E617" s="21"/>
      <c r="F617" s="21"/>
      <c r="G617" s="21"/>
      <c r="I617" s="21"/>
      <c r="J617" s="21"/>
      <c r="K617" s="21"/>
      <c r="L617" s="21"/>
      <c r="M617" s="21"/>
      <c r="N617" s="21"/>
      <c r="O617" s="21"/>
      <c r="Q617" s="21"/>
      <c r="R617" s="21"/>
      <c r="S617" s="21"/>
      <c r="T617" s="21"/>
    </row>
    <row r="618" customFormat="false" ht="15" hidden="false" customHeight="true" outlineLevel="0" collapsed="false">
      <c r="A618" s="21"/>
      <c r="B618" s="21"/>
      <c r="C618" s="21"/>
      <c r="D618" s="21"/>
      <c r="E618" s="21"/>
      <c r="F618" s="21"/>
      <c r="G618" s="21"/>
      <c r="I618" s="21"/>
      <c r="J618" s="21"/>
      <c r="K618" s="21"/>
      <c r="L618" s="21"/>
      <c r="M618" s="21"/>
      <c r="N618" s="21"/>
      <c r="O618" s="21"/>
      <c r="Q618" s="21"/>
      <c r="R618" s="21"/>
      <c r="S618" s="21"/>
      <c r="T618" s="21"/>
    </row>
    <row r="619" customFormat="false" ht="15" hidden="false" customHeight="true" outlineLevel="0" collapsed="false">
      <c r="A619" s="21"/>
      <c r="B619" s="21"/>
      <c r="C619" s="21"/>
      <c r="D619" s="21"/>
      <c r="E619" s="21"/>
      <c r="F619" s="21"/>
      <c r="G619" s="21"/>
      <c r="I619" s="21"/>
      <c r="J619" s="21"/>
      <c r="K619" s="21"/>
      <c r="L619" s="21"/>
      <c r="M619" s="21"/>
      <c r="N619" s="21"/>
      <c r="O619" s="21"/>
      <c r="Q619" s="21"/>
      <c r="R619" s="21"/>
      <c r="S619" s="21"/>
      <c r="T619" s="21"/>
    </row>
    <row r="620" customFormat="false" ht="15" hidden="false" customHeight="true" outlineLevel="0" collapsed="false">
      <c r="A620" s="21"/>
      <c r="B620" s="21"/>
      <c r="C620" s="21"/>
      <c r="D620" s="21"/>
      <c r="E620" s="21"/>
      <c r="F620" s="21"/>
      <c r="G620" s="21"/>
      <c r="I620" s="21"/>
      <c r="J620" s="21"/>
      <c r="K620" s="21"/>
      <c r="L620" s="21"/>
      <c r="M620" s="21"/>
      <c r="N620" s="21"/>
      <c r="O620" s="21"/>
      <c r="Q620" s="21"/>
      <c r="R620" s="21"/>
      <c r="S620" s="21"/>
      <c r="T620" s="21"/>
    </row>
    <row r="621" customFormat="false" ht="15" hidden="false" customHeight="true" outlineLevel="0" collapsed="false">
      <c r="A621" s="21"/>
      <c r="B621" s="21"/>
      <c r="C621" s="21"/>
      <c r="D621" s="21"/>
      <c r="E621" s="21"/>
      <c r="F621" s="21"/>
      <c r="G621" s="21"/>
      <c r="I621" s="21"/>
      <c r="J621" s="21"/>
      <c r="K621" s="21"/>
      <c r="L621" s="21"/>
      <c r="M621" s="21"/>
      <c r="N621" s="21"/>
      <c r="O621" s="21"/>
      <c r="Q621" s="21"/>
      <c r="R621" s="21"/>
      <c r="S621" s="21"/>
      <c r="T621" s="21"/>
    </row>
    <row r="622" customFormat="false" ht="15" hidden="false" customHeight="true" outlineLevel="0" collapsed="false">
      <c r="A622" s="21"/>
      <c r="B622" s="21"/>
      <c r="C622" s="21"/>
      <c r="D622" s="21"/>
      <c r="E622" s="21"/>
      <c r="F622" s="21"/>
      <c r="G622" s="21"/>
      <c r="I622" s="21"/>
      <c r="J622" s="21"/>
      <c r="K622" s="21"/>
      <c r="L622" s="21"/>
      <c r="M622" s="21"/>
      <c r="N622" s="21"/>
      <c r="O622" s="21"/>
      <c r="Q622" s="21"/>
      <c r="R622" s="21"/>
      <c r="S622" s="21"/>
      <c r="T622" s="21"/>
    </row>
    <row r="623" customFormat="false" ht="15" hidden="false" customHeight="true" outlineLevel="0" collapsed="false">
      <c r="A623" s="21"/>
      <c r="B623" s="21"/>
      <c r="C623" s="21"/>
      <c r="D623" s="21"/>
      <c r="E623" s="21"/>
      <c r="F623" s="21"/>
      <c r="G623" s="21"/>
      <c r="I623" s="21"/>
      <c r="J623" s="21"/>
      <c r="K623" s="21"/>
      <c r="L623" s="21"/>
      <c r="M623" s="21"/>
      <c r="N623" s="21"/>
      <c r="O623" s="21"/>
      <c r="Q623" s="21"/>
      <c r="R623" s="21"/>
      <c r="S623" s="21"/>
      <c r="T623" s="21"/>
    </row>
    <row r="624" customFormat="false" ht="15" hidden="false" customHeight="true" outlineLevel="0" collapsed="false">
      <c r="A624" s="21"/>
      <c r="B624" s="21"/>
      <c r="C624" s="21"/>
      <c r="D624" s="21"/>
      <c r="E624" s="21"/>
      <c r="F624" s="21"/>
      <c r="G624" s="21"/>
      <c r="I624" s="21"/>
      <c r="J624" s="21"/>
      <c r="K624" s="21"/>
      <c r="L624" s="21"/>
      <c r="M624" s="21"/>
      <c r="N624" s="21"/>
      <c r="O624" s="21"/>
      <c r="Q624" s="21"/>
      <c r="R624" s="21"/>
      <c r="S624" s="21"/>
      <c r="T624" s="21"/>
    </row>
    <row r="625" customFormat="false" ht="15" hidden="false" customHeight="true" outlineLevel="0" collapsed="false">
      <c r="A625" s="21"/>
      <c r="B625" s="21"/>
      <c r="C625" s="21"/>
      <c r="D625" s="21"/>
      <c r="E625" s="21"/>
      <c r="F625" s="21"/>
      <c r="G625" s="21"/>
      <c r="I625" s="21"/>
      <c r="J625" s="21"/>
      <c r="K625" s="21"/>
      <c r="L625" s="21"/>
      <c r="M625" s="21"/>
      <c r="N625" s="21"/>
      <c r="O625" s="21"/>
      <c r="Q625" s="21"/>
      <c r="R625" s="21"/>
      <c r="S625" s="21"/>
      <c r="T625" s="21"/>
    </row>
    <row r="626" customFormat="false" ht="15" hidden="false" customHeight="true" outlineLevel="0" collapsed="false">
      <c r="A626" s="21"/>
      <c r="B626" s="21"/>
      <c r="C626" s="21"/>
      <c r="D626" s="21"/>
      <c r="E626" s="21"/>
      <c r="F626" s="21"/>
      <c r="G626" s="21"/>
      <c r="I626" s="21"/>
      <c r="J626" s="21"/>
      <c r="K626" s="21"/>
      <c r="L626" s="21"/>
      <c r="M626" s="21"/>
      <c r="N626" s="21"/>
      <c r="O626" s="21"/>
      <c r="Q626" s="21"/>
      <c r="R626" s="21"/>
      <c r="S626" s="21"/>
      <c r="T626" s="21"/>
    </row>
    <row r="627" customFormat="false" ht="15" hidden="false" customHeight="true" outlineLevel="0" collapsed="false">
      <c r="A627" s="21"/>
      <c r="B627" s="21"/>
      <c r="C627" s="21"/>
      <c r="D627" s="21"/>
      <c r="E627" s="21"/>
      <c r="F627" s="21"/>
      <c r="G627" s="21"/>
      <c r="I627" s="21"/>
      <c r="J627" s="21"/>
      <c r="K627" s="21"/>
      <c r="L627" s="21"/>
      <c r="M627" s="21"/>
      <c r="N627" s="21"/>
      <c r="O627" s="21"/>
      <c r="Q627" s="21"/>
      <c r="R627" s="21"/>
      <c r="S627" s="21"/>
      <c r="T627" s="21"/>
    </row>
    <row r="628" customFormat="false" ht="15" hidden="false" customHeight="true" outlineLevel="0" collapsed="false">
      <c r="A628" s="21"/>
      <c r="B628" s="21"/>
      <c r="C628" s="21"/>
      <c r="D628" s="21"/>
      <c r="E628" s="21"/>
      <c r="F628" s="21"/>
      <c r="G628" s="21"/>
      <c r="I628" s="21"/>
      <c r="J628" s="21"/>
      <c r="K628" s="21"/>
      <c r="L628" s="21"/>
      <c r="M628" s="21"/>
      <c r="N628" s="21"/>
      <c r="O628" s="21"/>
      <c r="Q628" s="21"/>
      <c r="R628" s="21"/>
      <c r="S628" s="21"/>
      <c r="T628" s="21"/>
    </row>
    <row r="629" customFormat="false" ht="15" hidden="false" customHeight="true" outlineLevel="0" collapsed="false">
      <c r="A629" s="21"/>
      <c r="B629" s="21"/>
      <c r="C629" s="21"/>
      <c r="D629" s="21"/>
      <c r="E629" s="21"/>
      <c r="F629" s="21"/>
      <c r="G629" s="21"/>
      <c r="I629" s="21"/>
      <c r="J629" s="21"/>
      <c r="K629" s="21"/>
      <c r="L629" s="21"/>
      <c r="M629" s="21"/>
      <c r="N629" s="21"/>
      <c r="O629" s="21"/>
      <c r="Q629" s="21"/>
      <c r="R629" s="21"/>
      <c r="S629" s="21"/>
      <c r="T629" s="21"/>
    </row>
    <row r="630" customFormat="false" ht="15" hidden="false" customHeight="true" outlineLevel="0" collapsed="false">
      <c r="A630" s="21"/>
      <c r="B630" s="21"/>
      <c r="C630" s="21"/>
      <c r="D630" s="21"/>
      <c r="E630" s="21"/>
      <c r="F630" s="21"/>
      <c r="G630" s="21"/>
      <c r="I630" s="21"/>
      <c r="J630" s="21"/>
      <c r="K630" s="21"/>
      <c r="L630" s="21"/>
      <c r="M630" s="21"/>
      <c r="N630" s="21"/>
      <c r="O630" s="21"/>
      <c r="Q630" s="21"/>
      <c r="R630" s="21"/>
      <c r="S630" s="21"/>
      <c r="T630" s="21"/>
    </row>
    <row r="631" customFormat="false" ht="15" hidden="false" customHeight="true" outlineLevel="0" collapsed="false">
      <c r="A631" s="21"/>
      <c r="B631" s="21"/>
      <c r="C631" s="21"/>
      <c r="D631" s="21"/>
      <c r="E631" s="21"/>
      <c r="F631" s="21"/>
      <c r="G631" s="21"/>
      <c r="I631" s="21"/>
      <c r="J631" s="21"/>
      <c r="K631" s="21"/>
      <c r="L631" s="21"/>
      <c r="M631" s="21"/>
      <c r="N631" s="21"/>
      <c r="O631" s="21"/>
      <c r="Q631" s="21"/>
      <c r="R631" s="21"/>
      <c r="S631" s="21"/>
      <c r="T631" s="21"/>
    </row>
    <row r="632" customFormat="false" ht="15" hidden="false" customHeight="true" outlineLevel="0" collapsed="false">
      <c r="A632" s="21"/>
      <c r="B632" s="21"/>
      <c r="C632" s="21"/>
      <c r="D632" s="21"/>
      <c r="E632" s="21"/>
      <c r="F632" s="21"/>
      <c r="G632" s="21"/>
      <c r="I632" s="21"/>
      <c r="J632" s="21"/>
      <c r="K632" s="21"/>
      <c r="L632" s="21"/>
      <c r="M632" s="21"/>
      <c r="N632" s="21"/>
      <c r="O632" s="21"/>
      <c r="Q632" s="21"/>
      <c r="R632" s="21"/>
      <c r="S632" s="21"/>
      <c r="T632" s="21"/>
    </row>
    <row r="633" customFormat="false" ht="15" hidden="false" customHeight="true" outlineLevel="0" collapsed="false">
      <c r="A633" s="21"/>
      <c r="B633" s="21"/>
      <c r="C633" s="21"/>
      <c r="D633" s="21"/>
      <c r="E633" s="21"/>
      <c r="F633" s="21"/>
      <c r="G633" s="21"/>
      <c r="I633" s="21"/>
      <c r="J633" s="21"/>
      <c r="K633" s="21"/>
      <c r="L633" s="21"/>
      <c r="M633" s="21"/>
      <c r="N633" s="21"/>
      <c r="O633" s="21"/>
      <c r="Q633" s="21"/>
      <c r="R633" s="21"/>
      <c r="S633" s="21"/>
      <c r="T633" s="21"/>
    </row>
    <row r="634" customFormat="false" ht="15" hidden="false" customHeight="true" outlineLevel="0" collapsed="false">
      <c r="A634" s="21"/>
      <c r="B634" s="21"/>
      <c r="C634" s="21"/>
      <c r="D634" s="21"/>
      <c r="E634" s="21"/>
      <c r="F634" s="21"/>
      <c r="G634" s="21"/>
      <c r="I634" s="21"/>
      <c r="J634" s="21"/>
      <c r="K634" s="21"/>
      <c r="L634" s="21"/>
      <c r="M634" s="21"/>
      <c r="N634" s="21"/>
      <c r="O634" s="21"/>
      <c r="Q634" s="21"/>
      <c r="R634" s="21"/>
      <c r="S634" s="21"/>
      <c r="T634" s="21"/>
    </row>
    <row r="635" customFormat="false" ht="15" hidden="false" customHeight="true" outlineLevel="0" collapsed="false">
      <c r="A635" s="21"/>
      <c r="B635" s="21"/>
      <c r="C635" s="21"/>
      <c r="D635" s="21"/>
      <c r="E635" s="21"/>
      <c r="F635" s="21"/>
      <c r="G635" s="21"/>
      <c r="I635" s="21"/>
      <c r="J635" s="21"/>
      <c r="K635" s="21"/>
      <c r="L635" s="21"/>
      <c r="M635" s="21"/>
      <c r="N635" s="21"/>
      <c r="O635" s="21"/>
      <c r="Q635" s="21"/>
      <c r="R635" s="21"/>
      <c r="S635" s="21"/>
      <c r="T635" s="21"/>
    </row>
    <row r="636" customFormat="false" ht="15" hidden="false" customHeight="true" outlineLevel="0" collapsed="false">
      <c r="A636" s="21"/>
      <c r="B636" s="21"/>
      <c r="C636" s="21"/>
      <c r="D636" s="21"/>
      <c r="E636" s="21"/>
      <c r="F636" s="21"/>
      <c r="G636" s="21"/>
      <c r="I636" s="21"/>
      <c r="J636" s="21"/>
      <c r="K636" s="21"/>
      <c r="L636" s="21"/>
      <c r="M636" s="21"/>
      <c r="N636" s="21"/>
      <c r="O636" s="21"/>
      <c r="Q636" s="21"/>
      <c r="R636" s="21"/>
      <c r="S636" s="21"/>
      <c r="T636" s="21"/>
    </row>
    <row r="637" customFormat="false" ht="15" hidden="false" customHeight="true" outlineLevel="0" collapsed="false">
      <c r="A637" s="21"/>
      <c r="B637" s="21"/>
      <c r="C637" s="21"/>
      <c r="D637" s="21"/>
      <c r="E637" s="21"/>
      <c r="F637" s="21"/>
      <c r="G637" s="21"/>
      <c r="I637" s="21"/>
      <c r="J637" s="21"/>
      <c r="K637" s="21"/>
      <c r="L637" s="21"/>
      <c r="M637" s="21"/>
      <c r="N637" s="21"/>
      <c r="O637" s="21"/>
      <c r="Q637" s="21"/>
      <c r="R637" s="21"/>
      <c r="S637" s="21"/>
      <c r="T637" s="21"/>
    </row>
    <row r="638" customFormat="false" ht="15" hidden="false" customHeight="true" outlineLevel="0" collapsed="false">
      <c r="A638" s="21"/>
      <c r="B638" s="21"/>
      <c r="C638" s="21"/>
      <c r="D638" s="21"/>
      <c r="E638" s="21"/>
      <c r="F638" s="21"/>
      <c r="G638" s="21"/>
      <c r="I638" s="21"/>
      <c r="J638" s="21"/>
      <c r="K638" s="21"/>
      <c r="L638" s="21"/>
      <c r="M638" s="21"/>
      <c r="N638" s="21"/>
      <c r="O638" s="21"/>
      <c r="Q638" s="21"/>
      <c r="R638" s="21"/>
      <c r="S638" s="21"/>
      <c r="T638" s="21"/>
    </row>
    <row r="639" customFormat="false" ht="15" hidden="false" customHeight="true" outlineLevel="0" collapsed="false">
      <c r="A639" s="21"/>
      <c r="B639" s="21"/>
      <c r="C639" s="21"/>
      <c r="D639" s="21"/>
      <c r="E639" s="21"/>
      <c r="F639" s="21"/>
      <c r="G639" s="21"/>
      <c r="I639" s="21"/>
      <c r="J639" s="21"/>
      <c r="K639" s="21"/>
      <c r="L639" s="21"/>
      <c r="M639" s="21"/>
      <c r="N639" s="21"/>
      <c r="O639" s="21"/>
      <c r="Q639" s="21"/>
      <c r="R639" s="21"/>
      <c r="S639" s="21"/>
      <c r="T639" s="21"/>
    </row>
    <row r="640" customFormat="false" ht="15" hidden="false" customHeight="true" outlineLevel="0" collapsed="false">
      <c r="A640" s="21"/>
      <c r="B640" s="21"/>
      <c r="C640" s="21"/>
      <c r="D640" s="21"/>
      <c r="E640" s="21"/>
      <c r="F640" s="21"/>
      <c r="G640" s="21"/>
      <c r="I640" s="21"/>
      <c r="J640" s="21"/>
      <c r="K640" s="21"/>
      <c r="L640" s="21"/>
      <c r="M640" s="21"/>
      <c r="N640" s="21"/>
      <c r="O640" s="21"/>
      <c r="Q640" s="21"/>
      <c r="R640" s="21"/>
      <c r="S640" s="21"/>
      <c r="T640" s="21"/>
    </row>
    <row r="641" customFormat="false" ht="15" hidden="false" customHeight="true" outlineLevel="0" collapsed="false">
      <c r="A641" s="21"/>
      <c r="B641" s="21"/>
      <c r="C641" s="21"/>
      <c r="D641" s="21"/>
      <c r="E641" s="21"/>
      <c r="F641" s="21"/>
      <c r="G641" s="21"/>
      <c r="I641" s="21"/>
      <c r="J641" s="21"/>
      <c r="K641" s="21"/>
      <c r="L641" s="21"/>
      <c r="M641" s="21"/>
      <c r="N641" s="21"/>
      <c r="O641" s="21"/>
      <c r="Q641" s="21"/>
      <c r="R641" s="21"/>
      <c r="S641" s="21"/>
      <c r="T641" s="21"/>
    </row>
    <row r="642" customFormat="false" ht="15" hidden="false" customHeight="true" outlineLevel="0" collapsed="false">
      <c r="A642" s="21"/>
      <c r="B642" s="21"/>
      <c r="C642" s="21"/>
      <c r="D642" s="21"/>
      <c r="E642" s="21"/>
      <c r="F642" s="21"/>
      <c r="G642" s="21"/>
      <c r="I642" s="21"/>
      <c r="J642" s="21"/>
      <c r="K642" s="21"/>
      <c r="L642" s="21"/>
      <c r="M642" s="21"/>
      <c r="N642" s="21"/>
      <c r="O642" s="21"/>
      <c r="Q642" s="21"/>
      <c r="R642" s="21"/>
      <c r="S642" s="21"/>
      <c r="T642" s="21"/>
    </row>
    <row r="643" customFormat="false" ht="15" hidden="false" customHeight="true" outlineLevel="0" collapsed="false">
      <c r="A643" s="21"/>
      <c r="B643" s="21"/>
      <c r="C643" s="21"/>
      <c r="D643" s="21"/>
      <c r="E643" s="21"/>
      <c r="F643" s="21"/>
      <c r="G643" s="21"/>
      <c r="I643" s="21"/>
      <c r="J643" s="21"/>
      <c r="K643" s="21"/>
      <c r="L643" s="21"/>
      <c r="M643" s="21"/>
      <c r="N643" s="21"/>
      <c r="O643" s="21"/>
      <c r="Q643" s="21"/>
      <c r="R643" s="21"/>
      <c r="S643" s="21"/>
      <c r="T643" s="21"/>
    </row>
    <row r="644" customFormat="false" ht="15" hidden="false" customHeight="true" outlineLevel="0" collapsed="false">
      <c r="A644" s="21"/>
      <c r="B644" s="21"/>
      <c r="C644" s="21"/>
      <c r="D644" s="21"/>
      <c r="E644" s="21"/>
      <c r="F644" s="21"/>
      <c r="G644" s="21"/>
      <c r="I644" s="21"/>
      <c r="J644" s="21"/>
      <c r="K644" s="21"/>
      <c r="L644" s="21"/>
      <c r="M644" s="21"/>
      <c r="N644" s="21"/>
      <c r="O644" s="21"/>
      <c r="Q644" s="21"/>
      <c r="R644" s="21"/>
      <c r="S644" s="21"/>
      <c r="T644" s="21"/>
    </row>
    <row r="645" customFormat="false" ht="15" hidden="false" customHeight="true" outlineLevel="0" collapsed="false">
      <c r="A645" s="21"/>
      <c r="B645" s="21"/>
      <c r="C645" s="21"/>
      <c r="D645" s="21"/>
      <c r="E645" s="21"/>
      <c r="F645" s="21"/>
      <c r="G645" s="21"/>
      <c r="I645" s="21"/>
      <c r="J645" s="21"/>
      <c r="K645" s="21"/>
      <c r="L645" s="21"/>
      <c r="M645" s="21"/>
      <c r="N645" s="21"/>
      <c r="O645" s="21"/>
      <c r="Q645" s="21"/>
      <c r="R645" s="21"/>
      <c r="S645" s="21"/>
      <c r="T645" s="21"/>
    </row>
    <row r="646" customFormat="false" ht="15" hidden="false" customHeight="true" outlineLevel="0" collapsed="false">
      <c r="A646" s="21"/>
      <c r="B646" s="21"/>
      <c r="C646" s="21"/>
      <c r="D646" s="21"/>
      <c r="E646" s="21"/>
      <c r="F646" s="21"/>
      <c r="G646" s="21"/>
      <c r="I646" s="21"/>
      <c r="J646" s="21"/>
      <c r="K646" s="21"/>
      <c r="L646" s="21"/>
      <c r="M646" s="21"/>
      <c r="N646" s="21"/>
      <c r="O646" s="21"/>
      <c r="Q646" s="21"/>
      <c r="R646" s="21"/>
      <c r="S646" s="21"/>
      <c r="T646" s="21"/>
    </row>
    <row r="647" customFormat="false" ht="15" hidden="false" customHeight="true" outlineLevel="0" collapsed="false">
      <c r="A647" s="21"/>
      <c r="B647" s="21"/>
      <c r="C647" s="21"/>
      <c r="D647" s="21"/>
      <c r="E647" s="21"/>
      <c r="F647" s="21"/>
      <c r="G647" s="21"/>
      <c r="I647" s="21"/>
      <c r="J647" s="21"/>
      <c r="K647" s="21"/>
      <c r="L647" s="21"/>
      <c r="M647" s="21"/>
      <c r="N647" s="21"/>
      <c r="O647" s="21"/>
      <c r="Q647" s="21"/>
      <c r="R647" s="21"/>
      <c r="S647" s="21"/>
      <c r="T647" s="21"/>
    </row>
    <row r="648" customFormat="false" ht="15" hidden="false" customHeight="true" outlineLevel="0" collapsed="false">
      <c r="A648" s="21"/>
      <c r="B648" s="21"/>
      <c r="C648" s="21"/>
      <c r="D648" s="21"/>
      <c r="E648" s="21"/>
      <c r="F648" s="21"/>
      <c r="G648" s="21"/>
      <c r="I648" s="21"/>
      <c r="J648" s="21"/>
      <c r="K648" s="21"/>
      <c r="L648" s="21"/>
      <c r="M648" s="21"/>
      <c r="N648" s="21"/>
      <c r="O648" s="21"/>
      <c r="Q648" s="21"/>
      <c r="R648" s="21"/>
      <c r="S648" s="21"/>
      <c r="T648" s="21"/>
    </row>
    <row r="649" customFormat="false" ht="15" hidden="false" customHeight="true" outlineLevel="0" collapsed="false">
      <c r="A649" s="21"/>
      <c r="B649" s="21"/>
      <c r="C649" s="21"/>
      <c r="D649" s="21"/>
      <c r="E649" s="21"/>
      <c r="F649" s="21"/>
      <c r="G649" s="21"/>
      <c r="I649" s="21"/>
      <c r="J649" s="21"/>
      <c r="K649" s="21"/>
      <c r="L649" s="21"/>
      <c r="M649" s="21"/>
      <c r="N649" s="21"/>
      <c r="O649" s="21"/>
      <c r="Q649" s="21"/>
      <c r="R649" s="21"/>
      <c r="S649" s="21"/>
      <c r="T649" s="21"/>
    </row>
    <row r="650" customFormat="false" ht="15" hidden="false" customHeight="true" outlineLevel="0" collapsed="false">
      <c r="A650" s="21"/>
      <c r="B650" s="21"/>
      <c r="C650" s="21"/>
      <c r="D650" s="21"/>
      <c r="E650" s="21"/>
      <c r="F650" s="21"/>
      <c r="G650" s="21"/>
      <c r="I650" s="21"/>
      <c r="J650" s="21"/>
      <c r="K650" s="21"/>
      <c r="L650" s="21"/>
      <c r="M650" s="21"/>
      <c r="N650" s="21"/>
      <c r="O650" s="21"/>
      <c r="Q650" s="21"/>
      <c r="R650" s="21"/>
      <c r="S650" s="21"/>
      <c r="T650" s="21"/>
    </row>
    <row r="651" customFormat="false" ht="15" hidden="false" customHeight="true" outlineLevel="0" collapsed="false">
      <c r="A651" s="21"/>
      <c r="B651" s="21"/>
      <c r="C651" s="21"/>
      <c r="D651" s="21"/>
      <c r="E651" s="21"/>
      <c r="F651" s="21"/>
      <c r="G651" s="21"/>
      <c r="I651" s="21"/>
      <c r="J651" s="21"/>
      <c r="K651" s="21"/>
      <c r="L651" s="21"/>
      <c r="M651" s="21"/>
      <c r="N651" s="21"/>
      <c r="O651" s="21"/>
      <c r="Q651" s="21"/>
      <c r="R651" s="21"/>
      <c r="S651" s="21"/>
      <c r="T651" s="21"/>
    </row>
    <row r="652" customFormat="false" ht="15" hidden="false" customHeight="true" outlineLevel="0" collapsed="false">
      <c r="A652" s="21"/>
      <c r="B652" s="21"/>
      <c r="C652" s="21"/>
      <c r="D652" s="21"/>
      <c r="E652" s="21"/>
      <c r="F652" s="21"/>
      <c r="G652" s="21"/>
      <c r="I652" s="21"/>
      <c r="J652" s="21"/>
      <c r="K652" s="21"/>
      <c r="L652" s="21"/>
      <c r="M652" s="21"/>
      <c r="N652" s="21"/>
      <c r="O652" s="21"/>
      <c r="Q652" s="21"/>
      <c r="R652" s="21"/>
      <c r="S652" s="21"/>
      <c r="T652" s="21"/>
    </row>
    <row r="653" customFormat="false" ht="15" hidden="false" customHeight="true" outlineLevel="0" collapsed="false">
      <c r="A653" s="21"/>
      <c r="B653" s="21"/>
      <c r="C653" s="21"/>
      <c r="D653" s="21"/>
      <c r="E653" s="21"/>
      <c r="F653" s="21"/>
      <c r="G653" s="21"/>
      <c r="I653" s="21"/>
      <c r="J653" s="21"/>
      <c r="K653" s="21"/>
      <c r="L653" s="21"/>
      <c r="M653" s="21"/>
      <c r="N653" s="21"/>
      <c r="O653" s="21"/>
      <c r="Q653" s="21"/>
      <c r="R653" s="21"/>
      <c r="S653" s="21"/>
      <c r="T653" s="21"/>
    </row>
    <row r="654" customFormat="false" ht="15" hidden="false" customHeight="true" outlineLevel="0" collapsed="false">
      <c r="A654" s="21"/>
      <c r="B654" s="21"/>
      <c r="C654" s="21"/>
      <c r="D654" s="21"/>
      <c r="E654" s="21"/>
      <c r="F654" s="21"/>
      <c r="G654" s="21"/>
      <c r="I654" s="21"/>
      <c r="J654" s="21"/>
      <c r="K654" s="21"/>
      <c r="L654" s="21"/>
      <c r="M654" s="21"/>
      <c r="N654" s="21"/>
      <c r="O654" s="21"/>
      <c r="Q654" s="21"/>
      <c r="R654" s="21"/>
      <c r="S654" s="21"/>
      <c r="T654" s="21"/>
    </row>
    <row r="655" customFormat="false" ht="15" hidden="false" customHeight="true" outlineLevel="0" collapsed="false">
      <c r="A655" s="21"/>
      <c r="B655" s="21"/>
      <c r="C655" s="21"/>
      <c r="D655" s="21"/>
      <c r="E655" s="21"/>
      <c r="F655" s="21"/>
      <c r="G655" s="21"/>
      <c r="I655" s="21"/>
      <c r="J655" s="21"/>
      <c r="K655" s="21"/>
      <c r="L655" s="21"/>
      <c r="M655" s="21"/>
      <c r="N655" s="21"/>
      <c r="O655" s="21"/>
      <c r="Q655" s="21"/>
      <c r="R655" s="21"/>
      <c r="S655" s="21"/>
      <c r="T655" s="21"/>
    </row>
    <row r="656" customFormat="false" ht="15" hidden="false" customHeight="true" outlineLevel="0" collapsed="false">
      <c r="A656" s="21"/>
      <c r="B656" s="21"/>
      <c r="C656" s="21"/>
      <c r="D656" s="21"/>
      <c r="E656" s="21"/>
      <c r="F656" s="21"/>
      <c r="G656" s="21"/>
      <c r="I656" s="21"/>
      <c r="J656" s="21"/>
      <c r="K656" s="21"/>
      <c r="L656" s="21"/>
      <c r="M656" s="21"/>
      <c r="N656" s="21"/>
      <c r="O656" s="21"/>
      <c r="Q656" s="21"/>
      <c r="R656" s="21"/>
      <c r="S656" s="21"/>
      <c r="T656" s="21"/>
    </row>
    <row r="657" customFormat="false" ht="15" hidden="false" customHeight="true" outlineLevel="0" collapsed="false">
      <c r="A657" s="21"/>
      <c r="B657" s="21"/>
      <c r="C657" s="21"/>
      <c r="D657" s="21"/>
      <c r="E657" s="21"/>
      <c r="F657" s="21"/>
      <c r="G657" s="21"/>
      <c r="I657" s="21"/>
      <c r="J657" s="21"/>
      <c r="K657" s="21"/>
      <c r="L657" s="21"/>
      <c r="M657" s="21"/>
      <c r="N657" s="21"/>
      <c r="O657" s="21"/>
      <c r="Q657" s="21"/>
      <c r="R657" s="21"/>
      <c r="S657" s="21"/>
      <c r="T657" s="21"/>
    </row>
    <row r="658" customFormat="false" ht="15" hidden="false" customHeight="true" outlineLevel="0" collapsed="false">
      <c r="A658" s="21"/>
      <c r="B658" s="21"/>
      <c r="C658" s="21"/>
      <c r="D658" s="21"/>
      <c r="E658" s="21"/>
      <c r="F658" s="21"/>
      <c r="G658" s="21"/>
      <c r="I658" s="21"/>
      <c r="J658" s="21"/>
      <c r="K658" s="21"/>
      <c r="L658" s="21"/>
      <c r="M658" s="21"/>
      <c r="N658" s="21"/>
      <c r="O658" s="21"/>
      <c r="Q658" s="21"/>
      <c r="R658" s="21"/>
      <c r="S658" s="21"/>
      <c r="T658" s="21"/>
    </row>
    <row r="659" customFormat="false" ht="15" hidden="false" customHeight="true" outlineLevel="0" collapsed="false">
      <c r="A659" s="21"/>
      <c r="B659" s="21"/>
      <c r="C659" s="21"/>
      <c r="D659" s="21"/>
      <c r="E659" s="21"/>
      <c r="F659" s="21"/>
      <c r="G659" s="21"/>
      <c r="I659" s="21"/>
      <c r="J659" s="21"/>
      <c r="K659" s="21"/>
      <c r="L659" s="21"/>
      <c r="M659" s="21"/>
      <c r="N659" s="21"/>
      <c r="O659" s="21"/>
      <c r="Q659" s="21"/>
      <c r="R659" s="21"/>
      <c r="S659" s="21"/>
      <c r="T659" s="21"/>
    </row>
    <row r="660" customFormat="false" ht="15" hidden="false" customHeight="true" outlineLevel="0" collapsed="false">
      <c r="A660" s="21"/>
      <c r="B660" s="21"/>
      <c r="C660" s="21"/>
      <c r="D660" s="21"/>
      <c r="E660" s="21"/>
      <c r="F660" s="21"/>
      <c r="G660" s="21"/>
      <c r="I660" s="21"/>
      <c r="J660" s="21"/>
      <c r="K660" s="21"/>
      <c r="L660" s="21"/>
      <c r="M660" s="21"/>
      <c r="N660" s="21"/>
      <c r="O660" s="21"/>
      <c r="Q660" s="21"/>
      <c r="R660" s="21"/>
      <c r="S660" s="21"/>
      <c r="T660" s="21"/>
    </row>
    <row r="661" customFormat="false" ht="15" hidden="false" customHeight="true" outlineLevel="0" collapsed="false">
      <c r="A661" s="21"/>
      <c r="B661" s="21"/>
      <c r="C661" s="21"/>
      <c r="D661" s="21"/>
      <c r="E661" s="21"/>
      <c r="F661" s="21"/>
      <c r="G661" s="21"/>
      <c r="I661" s="21"/>
      <c r="J661" s="21"/>
      <c r="K661" s="21"/>
      <c r="L661" s="21"/>
      <c r="M661" s="21"/>
      <c r="N661" s="21"/>
      <c r="O661" s="21"/>
      <c r="Q661" s="21"/>
      <c r="R661" s="21"/>
      <c r="S661" s="21"/>
      <c r="T661" s="21"/>
    </row>
    <row r="662" customFormat="false" ht="15" hidden="false" customHeight="true" outlineLevel="0" collapsed="false">
      <c r="A662" s="21"/>
      <c r="B662" s="21"/>
      <c r="C662" s="21"/>
      <c r="D662" s="21"/>
      <c r="E662" s="21"/>
      <c r="F662" s="21"/>
      <c r="G662" s="21"/>
      <c r="I662" s="21"/>
      <c r="J662" s="21"/>
      <c r="K662" s="21"/>
      <c r="L662" s="21"/>
      <c r="M662" s="21"/>
      <c r="N662" s="21"/>
      <c r="O662" s="21"/>
      <c r="Q662" s="21"/>
      <c r="R662" s="21"/>
      <c r="S662" s="21"/>
      <c r="T662" s="21"/>
    </row>
    <row r="663" customFormat="false" ht="15" hidden="false" customHeight="true" outlineLevel="0" collapsed="false">
      <c r="A663" s="21"/>
      <c r="B663" s="21"/>
      <c r="C663" s="21"/>
      <c r="D663" s="21"/>
      <c r="E663" s="21"/>
      <c r="F663" s="21"/>
      <c r="G663" s="21"/>
      <c r="I663" s="21"/>
      <c r="J663" s="21"/>
      <c r="K663" s="21"/>
      <c r="L663" s="21"/>
      <c r="M663" s="21"/>
      <c r="N663" s="21"/>
      <c r="O663" s="21"/>
      <c r="Q663" s="21"/>
      <c r="R663" s="21"/>
      <c r="S663" s="21"/>
      <c r="T663" s="21"/>
    </row>
    <row r="664" customFormat="false" ht="15" hidden="false" customHeight="true" outlineLevel="0" collapsed="false">
      <c r="A664" s="21"/>
      <c r="B664" s="21"/>
      <c r="C664" s="21"/>
      <c r="D664" s="21"/>
      <c r="E664" s="21"/>
      <c r="F664" s="21"/>
      <c r="G664" s="21"/>
      <c r="I664" s="21"/>
      <c r="J664" s="21"/>
      <c r="K664" s="21"/>
      <c r="L664" s="21"/>
      <c r="M664" s="21"/>
      <c r="N664" s="21"/>
      <c r="O664" s="21"/>
      <c r="Q664" s="21"/>
      <c r="R664" s="21"/>
      <c r="S664" s="21"/>
      <c r="T664" s="21"/>
    </row>
    <row r="665" customFormat="false" ht="15" hidden="false" customHeight="true" outlineLevel="0" collapsed="false">
      <c r="A665" s="21"/>
      <c r="B665" s="21"/>
      <c r="C665" s="21"/>
      <c r="D665" s="21"/>
      <c r="E665" s="21"/>
      <c r="F665" s="21"/>
      <c r="G665" s="21"/>
      <c r="I665" s="21"/>
      <c r="J665" s="21"/>
      <c r="K665" s="21"/>
      <c r="L665" s="21"/>
      <c r="M665" s="21"/>
      <c r="N665" s="21"/>
      <c r="O665" s="21"/>
      <c r="Q665" s="21"/>
      <c r="R665" s="21"/>
      <c r="S665" s="21"/>
      <c r="T665" s="21"/>
    </row>
    <row r="666" customFormat="false" ht="15" hidden="false" customHeight="true" outlineLevel="0" collapsed="false">
      <c r="A666" s="21"/>
      <c r="B666" s="21"/>
      <c r="C666" s="21"/>
      <c r="D666" s="21"/>
      <c r="E666" s="21"/>
      <c r="F666" s="21"/>
      <c r="G666" s="21"/>
      <c r="I666" s="21"/>
      <c r="J666" s="21"/>
      <c r="K666" s="21"/>
      <c r="L666" s="21"/>
      <c r="M666" s="21"/>
      <c r="N666" s="21"/>
      <c r="O666" s="21"/>
      <c r="Q666" s="21"/>
      <c r="R666" s="21"/>
      <c r="S666" s="21"/>
      <c r="T666" s="21"/>
    </row>
    <row r="667" customFormat="false" ht="15" hidden="false" customHeight="true" outlineLevel="0" collapsed="false">
      <c r="A667" s="21"/>
      <c r="B667" s="21"/>
      <c r="C667" s="21"/>
      <c r="D667" s="21"/>
      <c r="E667" s="21"/>
      <c r="F667" s="21"/>
      <c r="G667" s="21"/>
      <c r="I667" s="21"/>
      <c r="J667" s="21"/>
      <c r="K667" s="21"/>
      <c r="L667" s="21"/>
      <c r="M667" s="21"/>
      <c r="N667" s="21"/>
      <c r="O667" s="21"/>
      <c r="Q667" s="21"/>
      <c r="R667" s="21"/>
      <c r="S667" s="21"/>
      <c r="T667" s="21"/>
    </row>
    <row r="668" customFormat="false" ht="15" hidden="false" customHeight="true" outlineLevel="0" collapsed="false">
      <c r="A668" s="21"/>
      <c r="B668" s="21"/>
      <c r="C668" s="21"/>
      <c r="D668" s="21"/>
      <c r="E668" s="21"/>
      <c r="F668" s="21"/>
      <c r="G668" s="21"/>
      <c r="I668" s="21"/>
      <c r="J668" s="21"/>
      <c r="K668" s="21"/>
      <c r="L668" s="21"/>
      <c r="M668" s="21"/>
      <c r="N668" s="21"/>
      <c r="O668" s="21"/>
      <c r="Q668" s="21"/>
      <c r="R668" s="21"/>
      <c r="S668" s="21"/>
      <c r="T668" s="21"/>
    </row>
    <row r="669" customFormat="false" ht="15" hidden="false" customHeight="true" outlineLevel="0" collapsed="false">
      <c r="A669" s="21"/>
      <c r="B669" s="21"/>
      <c r="C669" s="21"/>
      <c r="D669" s="21"/>
      <c r="E669" s="21"/>
      <c r="F669" s="21"/>
      <c r="G669" s="21"/>
      <c r="I669" s="21"/>
      <c r="J669" s="21"/>
      <c r="K669" s="21"/>
      <c r="L669" s="21"/>
      <c r="M669" s="21"/>
      <c r="N669" s="21"/>
      <c r="O669" s="21"/>
      <c r="Q669" s="21"/>
      <c r="R669" s="21"/>
      <c r="S669" s="21"/>
      <c r="T669" s="21"/>
    </row>
    <row r="670" customFormat="false" ht="15" hidden="false" customHeight="true" outlineLevel="0" collapsed="false">
      <c r="A670" s="21"/>
      <c r="B670" s="21"/>
      <c r="C670" s="21"/>
      <c r="D670" s="21"/>
      <c r="E670" s="21"/>
      <c r="F670" s="21"/>
      <c r="G670" s="21"/>
      <c r="I670" s="21"/>
      <c r="J670" s="21"/>
      <c r="K670" s="21"/>
      <c r="L670" s="21"/>
      <c r="M670" s="21"/>
      <c r="N670" s="21"/>
      <c r="O670" s="21"/>
      <c r="Q670" s="21"/>
      <c r="R670" s="21"/>
      <c r="S670" s="21"/>
      <c r="T670" s="21"/>
    </row>
    <row r="671" customFormat="false" ht="15" hidden="false" customHeight="true" outlineLevel="0" collapsed="false">
      <c r="A671" s="21"/>
      <c r="B671" s="21"/>
      <c r="C671" s="21"/>
      <c r="D671" s="21"/>
      <c r="E671" s="21"/>
      <c r="F671" s="21"/>
      <c r="G671" s="21"/>
      <c r="I671" s="21"/>
      <c r="J671" s="21"/>
      <c r="K671" s="21"/>
      <c r="L671" s="21"/>
      <c r="M671" s="21"/>
      <c r="N671" s="21"/>
      <c r="O671" s="21"/>
      <c r="Q671" s="21"/>
      <c r="R671" s="21"/>
      <c r="S671" s="21"/>
      <c r="T671" s="21"/>
    </row>
    <row r="672" customFormat="false" ht="15" hidden="false" customHeight="true" outlineLevel="0" collapsed="false">
      <c r="A672" s="21"/>
      <c r="B672" s="21"/>
      <c r="C672" s="21"/>
      <c r="D672" s="21"/>
      <c r="E672" s="21"/>
      <c r="F672" s="21"/>
      <c r="G672" s="21"/>
      <c r="I672" s="21"/>
      <c r="J672" s="21"/>
      <c r="K672" s="21"/>
      <c r="L672" s="21"/>
      <c r="M672" s="21"/>
      <c r="N672" s="21"/>
      <c r="O672" s="21"/>
      <c r="Q672" s="21"/>
      <c r="R672" s="21"/>
      <c r="S672" s="21"/>
      <c r="T672" s="21"/>
    </row>
    <row r="673" customFormat="false" ht="15" hidden="false" customHeight="true" outlineLevel="0" collapsed="false">
      <c r="A673" s="21"/>
      <c r="B673" s="21"/>
      <c r="C673" s="21"/>
      <c r="D673" s="21"/>
      <c r="E673" s="21"/>
      <c r="F673" s="21"/>
      <c r="G673" s="21"/>
      <c r="I673" s="21"/>
      <c r="J673" s="21"/>
      <c r="K673" s="21"/>
      <c r="L673" s="21"/>
      <c r="M673" s="21"/>
      <c r="N673" s="21"/>
      <c r="O673" s="21"/>
      <c r="Q673" s="21"/>
      <c r="R673" s="21"/>
      <c r="S673" s="21"/>
      <c r="T673" s="21"/>
    </row>
    <row r="674" customFormat="false" ht="15" hidden="false" customHeight="true" outlineLevel="0" collapsed="false">
      <c r="A674" s="21"/>
      <c r="B674" s="21"/>
      <c r="C674" s="21"/>
      <c r="D674" s="21"/>
      <c r="E674" s="21"/>
      <c r="F674" s="21"/>
      <c r="G674" s="21"/>
      <c r="I674" s="21"/>
      <c r="J674" s="21"/>
      <c r="K674" s="21"/>
      <c r="L674" s="21"/>
      <c r="M674" s="21"/>
      <c r="N674" s="21"/>
      <c r="O674" s="21"/>
      <c r="Q674" s="21"/>
      <c r="R674" s="21"/>
      <c r="S674" s="21"/>
      <c r="T674" s="21"/>
    </row>
    <row r="675" customFormat="false" ht="15" hidden="false" customHeight="true" outlineLevel="0" collapsed="false">
      <c r="A675" s="21"/>
      <c r="B675" s="21"/>
      <c r="C675" s="21"/>
      <c r="D675" s="21"/>
      <c r="E675" s="21"/>
      <c r="F675" s="21"/>
      <c r="G675" s="21"/>
      <c r="I675" s="21"/>
      <c r="J675" s="21"/>
      <c r="K675" s="21"/>
      <c r="L675" s="21"/>
      <c r="M675" s="21"/>
      <c r="N675" s="21"/>
      <c r="O675" s="21"/>
      <c r="Q675" s="21"/>
      <c r="R675" s="21"/>
      <c r="S675" s="21"/>
      <c r="T675" s="21"/>
    </row>
    <row r="676" customFormat="false" ht="15" hidden="false" customHeight="true" outlineLevel="0" collapsed="false">
      <c r="A676" s="21"/>
      <c r="B676" s="21"/>
      <c r="C676" s="21"/>
      <c r="D676" s="21"/>
      <c r="E676" s="21"/>
      <c r="F676" s="21"/>
      <c r="G676" s="21"/>
      <c r="I676" s="21"/>
      <c r="J676" s="21"/>
      <c r="K676" s="21"/>
      <c r="L676" s="21"/>
      <c r="M676" s="21"/>
      <c r="N676" s="21"/>
      <c r="O676" s="21"/>
      <c r="Q676" s="21"/>
      <c r="R676" s="21"/>
      <c r="S676" s="21"/>
      <c r="T676" s="21"/>
    </row>
    <row r="677" customFormat="false" ht="15" hidden="false" customHeight="true" outlineLevel="0" collapsed="false">
      <c r="A677" s="21"/>
      <c r="B677" s="21"/>
      <c r="C677" s="21"/>
      <c r="D677" s="21"/>
      <c r="E677" s="21"/>
      <c r="F677" s="21"/>
      <c r="G677" s="21"/>
      <c r="I677" s="21"/>
      <c r="J677" s="21"/>
      <c r="K677" s="21"/>
      <c r="L677" s="21"/>
      <c r="M677" s="21"/>
      <c r="N677" s="21"/>
      <c r="O677" s="21"/>
      <c r="Q677" s="21"/>
      <c r="R677" s="21"/>
      <c r="S677" s="21"/>
      <c r="T677" s="21"/>
    </row>
    <row r="678" customFormat="false" ht="15" hidden="false" customHeight="true" outlineLevel="0" collapsed="false">
      <c r="A678" s="21"/>
      <c r="B678" s="21"/>
      <c r="C678" s="21"/>
      <c r="D678" s="21"/>
      <c r="E678" s="21"/>
      <c r="F678" s="21"/>
      <c r="G678" s="21"/>
      <c r="I678" s="21"/>
      <c r="J678" s="21"/>
      <c r="K678" s="21"/>
      <c r="L678" s="21"/>
      <c r="M678" s="21"/>
      <c r="N678" s="21"/>
      <c r="O678" s="21"/>
      <c r="Q678" s="21"/>
      <c r="R678" s="21"/>
      <c r="S678" s="21"/>
      <c r="T678" s="21"/>
    </row>
    <row r="679" customFormat="false" ht="15" hidden="false" customHeight="true" outlineLevel="0" collapsed="false">
      <c r="A679" s="21"/>
      <c r="B679" s="21"/>
      <c r="C679" s="21"/>
      <c r="D679" s="21"/>
      <c r="E679" s="21"/>
      <c r="F679" s="21"/>
      <c r="G679" s="21"/>
      <c r="I679" s="21"/>
      <c r="J679" s="21"/>
      <c r="K679" s="21"/>
      <c r="L679" s="21"/>
      <c r="M679" s="21"/>
      <c r="N679" s="21"/>
      <c r="O679" s="21"/>
      <c r="Q679" s="21"/>
      <c r="R679" s="21"/>
      <c r="S679" s="21"/>
      <c r="T679" s="21"/>
    </row>
    <row r="680" customFormat="false" ht="15" hidden="false" customHeight="true" outlineLevel="0" collapsed="false">
      <c r="A680" s="21"/>
      <c r="B680" s="21"/>
      <c r="C680" s="21"/>
      <c r="D680" s="21"/>
      <c r="E680" s="21"/>
      <c r="F680" s="21"/>
      <c r="G680" s="21"/>
      <c r="I680" s="21"/>
      <c r="J680" s="21"/>
      <c r="K680" s="21"/>
      <c r="L680" s="21"/>
      <c r="M680" s="21"/>
      <c r="N680" s="21"/>
      <c r="O680" s="21"/>
      <c r="Q680" s="21"/>
      <c r="R680" s="21"/>
      <c r="S680" s="21"/>
      <c r="T680" s="21"/>
    </row>
    <row r="681" customFormat="false" ht="15" hidden="false" customHeight="true" outlineLevel="0" collapsed="false">
      <c r="A681" s="21"/>
      <c r="B681" s="21"/>
      <c r="C681" s="21"/>
      <c r="D681" s="21"/>
      <c r="E681" s="21"/>
      <c r="F681" s="21"/>
      <c r="G681" s="21"/>
      <c r="I681" s="21"/>
      <c r="J681" s="21"/>
      <c r="K681" s="21"/>
      <c r="L681" s="21"/>
      <c r="M681" s="21"/>
      <c r="N681" s="21"/>
      <c r="O681" s="21"/>
      <c r="Q681" s="21"/>
      <c r="R681" s="21"/>
      <c r="S681" s="21"/>
      <c r="T681" s="21"/>
    </row>
    <row r="682" customFormat="false" ht="15" hidden="false" customHeight="true" outlineLevel="0" collapsed="false">
      <c r="A682" s="21"/>
      <c r="B682" s="21"/>
      <c r="C682" s="21"/>
      <c r="D682" s="21"/>
      <c r="E682" s="21"/>
      <c r="F682" s="21"/>
      <c r="G682" s="21"/>
      <c r="I682" s="21"/>
      <c r="J682" s="21"/>
      <c r="K682" s="21"/>
      <c r="L682" s="21"/>
      <c r="M682" s="21"/>
      <c r="N682" s="21"/>
      <c r="O682" s="21"/>
      <c r="Q682" s="21"/>
      <c r="R682" s="21"/>
      <c r="S682" s="21"/>
      <c r="T682" s="21"/>
    </row>
    <row r="683" customFormat="false" ht="15" hidden="false" customHeight="true" outlineLevel="0" collapsed="false">
      <c r="A683" s="21"/>
      <c r="B683" s="21"/>
      <c r="C683" s="21"/>
      <c r="D683" s="21"/>
      <c r="E683" s="21"/>
      <c r="F683" s="21"/>
      <c r="G683" s="21"/>
      <c r="I683" s="21"/>
      <c r="J683" s="21"/>
      <c r="K683" s="21"/>
      <c r="L683" s="21"/>
      <c r="M683" s="21"/>
      <c r="N683" s="21"/>
      <c r="O683" s="21"/>
      <c r="Q683" s="21"/>
      <c r="R683" s="21"/>
      <c r="S683" s="21"/>
      <c r="T683" s="21"/>
    </row>
    <row r="684" customFormat="false" ht="15" hidden="false" customHeight="true" outlineLevel="0" collapsed="false">
      <c r="A684" s="21"/>
      <c r="B684" s="21"/>
      <c r="C684" s="21"/>
      <c r="D684" s="21"/>
      <c r="E684" s="21"/>
      <c r="F684" s="21"/>
      <c r="G684" s="21"/>
      <c r="I684" s="21"/>
      <c r="J684" s="21"/>
      <c r="K684" s="21"/>
      <c r="L684" s="21"/>
      <c r="M684" s="21"/>
      <c r="N684" s="21"/>
      <c r="O684" s="21"/>
      <c r="Q684" s="21"/>
      <c r="R684" s="21"/>
      <c r="S684" s="21"/>
      <c r="T684" s="21"/>
    </row>
    <row r="685" customFormat="false" ht="15" hidden="false" customHeight="true" outlineLevel="0" collapsed="false">
      <c r="A685" s="21"/>
      <c r="B685" s="21"/>
      <c r="C685" s="21"/>
      <c r="D685" s="21"/>
      <c r="E685" s="21"/>
      <c r="F685" s="21"/>
      <c r="G685" s="21"/>
      <c r="I685" s="21"/>
      <c r="J685" s="21"/>
      <c r="K685" s="21"/>
      <c r="L685" s="21"/>
      <c r="M685" s="21"/>
      <c r="N685" s="21"/>
      <c r="O685" s="21"/>
      <c r="Q685" s="21"/>
      <c r="R685" s="21"/>
      <c r="S685" s="21"/>
      <c r="T685" s="21"/>
    </row>
    <row r="686" customFormat="false" ht="15" hidden="false" customHeight="true" outlineLevel="0" collapsed="false">
      <c r="A686" s="21"/>
      <c r="B686" s="21"/>
      <c r="C686" s="21"/>
      <c r="D686" s="21"/>
      <c r="E686" s="21"/>
      <c r="F686" s="21"/>
      <c r="G686" s="21"/>
      <c r="I686" s="21"/>
      <c r="J686" s="21"/>
      <c r="K686" s="21"/>
      <c r="L686" s="21"/>
      <c r="M686" s="21"/>
      <c r="N686" s="21"/>
      <c r="O686" s="21"/>
      <c r="Q686" s="21"/>
      <c r="R686" s="21"/>
      <c r="S686" s="21"/>
      <c r="T686" s="21"/>
    </row>
    <row r="687" customFormat="false" ht="15" hidden="false" customHeight="true" outlineLevel="0" collapsed="false">
      <c r="A687" s="21"/>
      <c r="B687" s="21"/>
      <c r="C687" s="21"/>
      <c r="D687" s="21"/>
      <c r="E687" s="21"/>
      <c r="F687" s="21"/>
      <c r="G687" s="21"/>
      <c r="I687" s="21"/>
      <c r="J687" s="21"/>
      <c r="K687" s="21"/>
      <c r="L687" s="21"/>
      <c r="M687" s="21"/>
      <c r="N687" s="21"/>
      <c r="O687" s="21"/>
      <c r="Q687" s="21"/>
      <c r="R687" s="21"/>
      <c r="S687" s="21"/>
      <c r="T687" s="21"/>
    </row>
    <row r="688" customFormat="false" ht="15" hidden="false" customHeight="true" outlineLevel="0" collapsed="false">
      <c r="A688" s="21"/>
      <c r="B688" s="21"/>
      <c r="C688" s="21"/>
      <c r="D688" s="21"/>
      <c r="E688" s="21"/>
      <c r="F688" s="21"/>
      <c r="G688" s="21"/>
      <c r="I688" s="21"/>
      <c r="J688" s="21"/>
      <c r="K688" s="21"/>
      <c r="L688" s="21"/>
      <c r="M688" s="21"/>
      <c r="N688" s="21"/>
      <c r="O688" s="21"/>
      <c r="Q688" s="21"/>
      <c r="R688" s="21"/>
      <c r="S688" s="21"/>
      <c r="T688" s="21"/>
    </row>
    <row r="689" customFormat="false" ht="15" hidden="false" customHeight="true" outlineLevel="0" collapsed="false">
      <c r="A689" s="21"/>
      <c r="B689" s="21"/>
      <c r="C689" s="21"/>
      <c r="D689" s="21"/>
      <c r="E689" s="21"/>
      <c r="F689" s="21"/>
      <c r="G689" s="21"/>
      <c r="I689" s="21"/>
      <c r="J689" s="21"/>
      <c r="K689" s="21"/>
      <c r="L689" s="21"/>
      <c r="M689" s="21"/>
      <c r="N689" s="21"/>
      <c r="O689" s="21"/>
      <c r="Q689" s="21"/>
      <c r="R689" s="21"/>
      <c r="S689" s="21"/>
      <c r="T689" s="21"/>
    </row>
    <row r="690" customFormat="false" ht="15" hidden="false" customHeight="true" outlineLevel="0" collapsed="false">
      <c r="A690" s="21"/>
      <c r="B690" s="21"/>
      <c r="C690" s="21"/>
      <c r="D690" s="21"/>
      <c r="E690" s="21"/>
      <c r="F690" s="21"/>
      <c r="G690" s="21"/>
      <c r="I690" s="21"/>
      <c r="J690" s="21"/>
      <c r="K690" s="21"/>
      <c r="L690" s="21"/>
      <c r="M690" s="21"/>
      <c r="N690" s="21"/>
      <c r="O690" s="21"/>
      <c r="Q690" s="21"/>
      <c r="R690" s="21"/>
      <c r="S690" s="21"/>
      <c r="T690" s="21"/>
    </row>
    <row r="691" customFormat="false" ht="15" hidden="false" customHeight="true" outlineLevel="0" collapsed="false">
      <c r="A691" s="21"/>
      <c r="B691" s="21"/>
      <c r="C691" s="21"/>
      <c r="D691" s="21"/>
      <c r="E691" s="21"/>
      <c r="F691" s="21"/>
      <c r="G691" s="21"/>
      <c r="I691" s="21"/>
      <c r="J691" s="21"/>
      <c r="K691" s="21"/>
      <c r="L691" s="21"/>
      <c r="M691" s="21"/>
      <c r="N691" s="21"/>
      <c r="O691" s="21"/>
      <c r="Q691" s="21"/>
      <c r="R691" s="21"/>
      <c r="S691" s="21"/>
      <c r="T691" s="21"/>
    </row>
    <row r="692" customFormat="false" ht="15" hidden="false" customHeight="true" outlineLevel="0" collapsed="false">
      <c r="A692" s="21"/>
      <c r="B692" s="21"/>
      <c r="C692" s="21"/>
      <c r="D692" s="21"/>
      <c r="E692" s="21"/>
      <c r="F692" s="21"/>
      <c r="G692" s="21"/>
      <c r="I692" s="21"/>
      <c r="J692" s="21"/>
      <c r="K692" s="21"/>
      <c r="L692" s="21"/>
      <c r="M692" s="21"/>
      <c r="N692" s="21"/>
      <c r="O692" s="21"/>
      <c r="Q692" s="21"/>
      <c r="R692" s="21"/>
      <c r="S692" s="21"/>
      <c r="T692" s="21"/>
    </row>
    <row r="693" customFormat="false" ht="15" hidden="false" customHeight="true" outlineLevel="0" collapsed="false">
      <c r="A693" s="21"/>
      <c r="B693" s="21"/>
      <c r="C693" s="21"/>
      <c r="D693" s="21"/>
      <c r="E693" s="21"/>
      <c r="F693" s="21"/>
      <c r="G693" s="21"/>
      <c r="I693" s="21"/>
      <c r="J693" s="21"/>
      <c r="K693" s="21"/>
      <c r="L693" s="21"/>
      <c r="M693" s="21"/>
      <c r="N693" s="21"/>
      <c r="O693" s="21"/>
      <c r="Q693" s="21"/>
      <c r="R693" s="21"/>
      <c r="S693" s="21"/>
      <c r="T693" s="21"/>
    </row>
    <row r="694" customFormat="false" ht="15" hidden="false" customHeight="true" outlineLevel="0" collapsed="false">
      <c r="A694" s="21"/>
      <c r="B694" s="21"/>
      <c r="C694" s="21"/>
      <c r="D694" s="21"/>
      <c r="E694" s="21"/>
      <c r="F694" s="21"/>
      <c r="G694" s="21"/>
      <c r="I694" s="21"/>
      <c r="J694" s="21"/>
      <c r="K694" s="21"/>
      <c r="L694" s="21"/>
      <c r="M694" s="21"/>
      <c r="N694" s="21"/>
      <c r="O694" s="21"/>
      <c r="Q694" s="21"/>
      <c r="R694" s="21"/>
      <c r="S694" s="21"/>
      <c r="T694" s="21"/>
    </row>
    <row r="695" customFormat="false" ht="15" hidden="false" customHeight="true" outlineLevel="0" collapsed="false">
      <c r="A695" s="21"/>
      <c r="B695" s="21"/>
      <c r="C695" s="21"/>
      <c r="D695" s="21"/>
      <c r="E695" s="21"/>
      <c r="F695" s="21"/>
      <c r="G695" s="21"/>
      <c r="I695" s="21"/>
      <c r="J695" s="21"/>
      <c r="K695" s="21"/>
      <c r="L695" s="21"/>
      <c r="M695" s="21"/>
      <c r="N695" s="21"/>
      <c r="O695" s="21"/>
      <c r="Q695" s="21"/>
      <c r="R695" s="21"/>
      <c r="S695" s="21"/>
      <c r="T695" s="21"/>
    </row>
    <row r="696" customFormat="false" ht="15" hidden="false" customHeight="true" outlineLevel="0" collapsed="false">
      <c r="A696" s="21"/>
      <c r="B696" s="21"/>
      <c r="C696" s="21"/>
      <c r="D696" s="21"/>
      <c r="E696" s="21"/>
      <c r="F696" s="21"/>
      <c r="G696" s="21"/>
      <c r="I696" s="21"/>
      <c r="J696" s="21"/>
      <c r="K696" s="21"/>
      <c r="L696" s="21"/>
      <c r="M696" s="21"/>
      <c r="N696" s="21"/>
      <c r="O696" s="21"/>
      <c r="Q696" s="21"/>
      <c r="R696" s="21"/>
      <c r="S696" s="21"/>
      <c r="T696" s="21"/>
    </row>
    <row r="697" customFormat="false" ht="15" hidden="false" customHeight="true" outlineLevel="0" collapsed="false">
      <c r="A697" s="21"/>
      <c r="B697" s="21"/>
      <c r="C697" s="21"/>
      <c r="D697" s="21"/>
      <c r="E697" s="21"/>
      <c r="F697" s="21"/>
      <c r="G697" s="21"/>
      <c r="I697" s="21"/>
      <c r="J697" s="21"/>
      <c r="K697" s="21"/>
      <c r="L697" s="21"/>
      <c r="M697" s="21"/>
      <c r="N697" s="21"/>
      <c r="O697" s="21"/>
      <c r="Q697" s="21"/>
      <c r="R697" s="21"/>
      <c r="S697" s="21"/>
      <c r="T697" s="21"/>
    </row>
    <row r="698" customFormat="false" ht="15" hidden="false" customHeight="true" outlineLevel="0" collapsed="false">
      <c r="A698" s="21"/>
      <c r="B698" s="21"/>
      <c r="C698" s="21"/>
      <c r="D698" s="21"/>
      <c r="E698" s="21"/>
      <c r="F698" s="21"/>
      <c r="G698" s="21"/>
      <c r="I698" s="21"/>
      <c r="J698" s="21"/>
      <c r="K698" s="21"/>
      <c r="L698" s="21"/>
      <c r="M698" s="21"/>
      <c r="N698" s="21"/>
      <c r="O698" s="21"/>
      <c r="Q698" s="21"/>
      <c r="R698" s="21"/>
      <c r="S698" s="21"/>
      <c r="T698" s="21"/>
    </row>
    <row r="699" customFormat="false" ht="15" hidden="false" customHeight="true" outlineLevel="0" collapsed="false">
      <c r="A699" s="21"/>
      <c r="B699" s="21"/>
      <c r="C699" s="21"/>
      <c r="D699" s="21"/>
      <c r="E699" s="21"/>
      <c r="F699" s="21"/>
      <c r="G699" s="21"/>
      <c r="I699" s="21"/>
      <c r="J699" s="21"/>
      <c r="K699" s="21"/>
      <c r="L699" s="21"/>
      <c r="M699" s="21"/>
      <c r="N699" s="21"/>
      <c r="O699" s="21"/>
      <c r="Q699" s="21"/>
      <c r="R699" s="21"/>
      <c r="S699" s="21"/>
      <c r="T699" s="21"/>
    </row>
    <row r="700" customFormat="false" ht="15" hidden="false" customHeight="true" outlineLevel="0" collapsed="false">
      <c r="A700" s="21"/>
      <c r="B700" s="21"/>
      <c r="C700" s="21"/>
      <c r="D700" s="21"/>
      <c r="E700" s="21"/>
      <c r="F700" s="21"/>
      <c r="G700" s="21"/>
      <c r="I700" s="21"/>
      <c r="J700" s="21"/>
      <c r="K700" s="21"/>
      <c r="L700" s="21"/>
      <c r="M700" s="21"/>
      <c r="N700" s="21"/>
      <c r="O700" s="21"/>
      <c r="Q700" s="21"/>
      <c r="R700" s="21"/>
      <c r="S700" s="21"/>
      <c r="T700" s="21"/>
    </row>
    <row r="701" customFormat="false" ht="15" hidden="false" customHeight="true" outlineLevel="0" collapsed="false">
      <c r="A701" s="21"/>
      <c r="B701" s="21"/>
      <c r="C701" s="21"/>
      <c r="D701" s="21"/>
      <c r="E701" s="21"/>
      <c r="F701" s="21"/>
      <c r="G701" s="21"/>
      <c r="I701" s="21"/>
      <c r="J701" s="21"/>
      <c r="K701" s="21"/>
      <c r="L701" s="21"/>
      <c r="M701" s="21"/>
      <c r="N701" s="21"/>
      <c r="O701" s="21"/>
      <c r="Q701" s="21"/>
      <c r="R701" s="21"/>
      <c r="S701" s="21"/>
      <c r="T701" s="21"/>
    </row>
    <row r="702" customFormat="false" ht="15" hidden="false" customHeight="true" outlineLevel="0" collapsed="false">
      <c r="A702" s="21"/>
      <c r="B702" s="21"/>
      <c r="C702" s="21"/>
      <c r="D702" s="21"/>
      <c r="E702" s="21"/>
      <c r="F702" s="21"/>
      <c r="G702" s="21"/>
      <c r="I702" s="21"/>
      <c r="J702" s="21"/>
      <c r="K702" s="21"/>
      <c r="L702" s="21"/>
      <c r="M702" s="21"/>
      <c r="N702" s="21"/>
      <c r="O702" s="21"/>
      <c r="Q702" s="21"/>
      <c r="R702" s="21"/>
      <c r="S702" s="21"/>
      <c r="T702" s="21"/>
    </row>
    <row r="703" customFormat="false" ht="15" hidden="false" customHeight="true" outlineLevel="0" collapsed="false">
      <c r="A703" s="21"/>
      <c r="B703" s="21"/>
      <c r="C703" s="21"/>
      <c r="D703" s="21"/>
      <c r="E703" s="21"/>
      <c r="F703" s="21"/>
      <c r="G703" s="21"/>
      <c r="I703" s="21"/>
      <c r="J703" s="21"/>
      <c r="K703" s="21"/>
      <c r="L703" s="21"/>
      <c r="M703" s="21"/>
      <c r="N703" s="21"/>
      <c r="O703" s="21"/>
      <c r="Q703" s="21"/>
      <c r="R703" s="21"/>
      <c r="S703" s="21"/>
      <c r="T703" s="21"/>
    </row>
    <row r="704" customFormat="false" ht="15" hidden="false" customHeight="true" outlineLevel="0" collapsed="false">
      <c r="A704" s="21"/>
      <c r="B704" s="21"/>
      <c r="C704" s="21"/>
      <c r="D704" s="21"/>
      <c r="E704" s="21"/>
      <c r="F704" s="21"/>
      <c r="G704" s="21"/>
      <c r="I704" s="21"/>
      <c r="J704" s="21"/>
      <c r="K704" s="21"/>
      <c r="L704" s="21"/>
      <c r="M704" s="21"/>
      <c r="N704" s="21"/>
      <c r="O704" s="21"/>
      <c r="Q704" s="21"/>
      <c r="R704" s="21"/>
      <c r="S704" s="21"/>
      <c r="T704" s="21"/>
    </row>
    <row r="705" customFormat="false" ht="15" hidden="false" customHeight="true" outlineLevel="0" collapsed="false">
      <c r="A705" s="21"/>
      <c r="B705" s="21"/>
      <c r="C705" s="21"/>
      <c r="D705" s="21"/>
      <c r="E705" s="21"/>
      <c r="F705" s="21"/>
      <c r="G705" s="21"/>
      <c r="I705" s="21"/>
      <c r="J705" s="21"/>
      <c r="K705" s="21"/>
      <c r="L705" s="21"/>
      <c r="M705" s="21"/>
      <c r="N705" s="21"/>
      <c r="O705" s="21"/>
      <c r="Q705" s="21"/>
      <c r="R705" s="21"/>
      <c r="S705" s="21"/>
      <c r="T705" s="21"/>
    </row>
    <row r="706" customFormat="false" ht="15" hidden="false" customHeight="true" outlineLevel="0" collapsed="false">
      <c r="A706" s="21"/>
      <c r="B706" s="21"/>
      <c r="C706" s="21"/>
      <c r="D706" s="21"/>
      <c r="E706" s="21"/>
      <c r="F706" s="21"/>
      <c r="G706" s="21"/>
      <c r="I706" s="21"/>
      <c r="J706" s="21"/>
      <c r="K706" s="21"/>
      <c r="L706" s="21"/>
      <c r="M706" s="21"/>
      <c r="N706" s="21"/>
      <c r="O706" s="21"/>
      <c r="Q706" s="21"/>
      <c r="R706" s="21"/>
      <c r="S706" s="21"/>
      <c r="T706" s="21"/>
    </row>
    <row r="707" customFormat="false" ht="15" hidden="false" customHeight="true" outlineLevel="0" collapsed="false">
      <c r="A707" s="21"/>
      <c r="B707" s="21"/>
      <c r="C707" s="21"/>
      <c r="D707" s="21"/>
      <c r="E707" s="21"/>
      <c r="F707" s="21"/>
      <c r="G707" s="21"/>
      <c r="I707" s="21"/>
      <c r="J707" s="21"/>
      <c r="K707" s="21"/>
      <c r="L707" s="21"/>
      <c r="M707" s="21"/>
      <c r="N707" s="21"/>
      <c r="O707" s="21"/>
      <c r="Q707" s="21"/>
      <c r="R707" s="21"/>
      <c r="S707" s="21"/>
      <c r="T707" s="21"/>
    </row>
    <row r="708" customFormat="false" ht="15" hidden="false" customHeight="true" outlineLevel="0" collapsed="false">
      <c r="A708" s="21"/>
      <c r="B708" s="21"/>
      <c r="C708" s="21"/>
      <c r="D708" s="21"/>
      <c r="E708" s="21"/>
      <c r="F708" s="21"/>
      <c r="G708" s="21"/>
      <c r="I708" s="21"/>
      <c r="J708" s="21"/>
      <c r="K708" s="21"/>
      <c r="L708" s="21"/>
      <c r="M708" s="21"/>
      <c r="N708" s="21"/>
      <c r="O708" s="21"/>
      <c r="Q708" s="21"/>
      <c r="R708" s="21"/>
      <c r="S708" s="21"/>
      <c r="T708" s="21"/>
    </row>
    <row r="709" customFormat="false" ht="15" hidden="false" customHeight="true" outlineLevel="0" collapsed="false">
      <c r="A709" s="21"/>
      <c r="B709" s="21"/>
      <c r="C709" s="21"/>
      <c r="D709" s="21"/>
      <c r="E709" s="21"/>
      <c r="F709" s="21"/>
      <c r="G709" s="21"/>
      <c r="I709" s="21"/>
      <c r="J709" s="21"/>
      <c r="K709" s="21"/>
      <c r="L709" s="21"/>
      <c r="M709" s="21"/>
      <c r="N709" s="21"/>
      <c r="O709" s="21"/>
      <c r="Q709" s="21"/>
      <c r="R709" s="21"/>
      <c r="S709" s="21"/>
      <c r="T709" s="21"/>
    </row>
    <row r="710" customFormat="false" ht="15" hidden="false" customHeight="true" outlineLevel="0" collapsed="false">
      <c r="A710" s="21"/>
      <c r="B710" s="21"/>
      <c r="C710" s="21"/>
      <c r="D710" s="21"/>
      <c r="E710" s="21"/>
      <c r="F710" s="21"/>
      <c r="G710" s="21"/>
      <c r="I710" s="21"/>
      <c r="J710" s="21"/>
      <c r="K710" s="21"/>
      <c r="L710" s="21"/>
      <c r="M710" s="21"/>
      <c r="N710" s="21"/>
      <c r="O710" s="21"/>
      <c r="Q710" s="21"/>
      <c r="R710" s="21"/>
      <c r="S710" s="21"/>
      <c r="T710" s="21"/>
    </row>
    <row r="711" customFormat="false" ht="15" hidden="false" customHeight="true" outlineLevel="0" collapsed="false">
      <c r="A711" s="21"/>
      <c r="B711" s="21"/>
      <c r="C711" s="21"/>
      <c r="D711" s="21"/>
      <c r="E711" s="21"/>
      <c r="F711" s="21"/>
      <c r="G711" s="21"/>
      <c r="I711" s="21"/>
      <c r="J711" s="21"/>
      <c r="K711" s="21"/>
      <c r="L711" s="21"/>
      <c r="M711" s="21"/>
      <c r="N711" s="21"/>
      <c r="O711" s="21"/>
      <c r="Q711" s="21"/>
      <c r="R711" s="21"/>
      <c r="S711" s="21"/>
      <c r="T711" s="21"/>
    </row>
    <row r="712" customFormat="false" ht="15" hidden="false" customHeight="true" outlineLevel="0" collapsed="false">
      <c r="A712" s="21"/>
      <c r="B712" s="21"/>
      <c r="C712" s="21"/>
      <c r="D712" s="21"/>
      <c r="E712" s="21"/>
      <c r="F712" s="21"/>
      <c r="G712" s="21"/>
      <c r="I712" s="21"/>
      <c r="J712" s="21"/>
      <c r="K712" s="21"/>
      <c r="L712" s="21"/>
      <c r="M712" s="21"/>
      <c r="N712" s="21"/>
      <c r="O712" s="21"/>
      <c r="Q712" s="21"/>
      <c r="R712" s="21"/>
      <c r="S712" s="21"/>
      <c r="T712" s="21"/>
    </row>
    <row r="713" customFormat="false" ht="15" hidden="false" customHeight="true" outlineLevel="0" collapsed="false">
      <c r="A713" s="21"/>
      <c r="B713" s="21"/>
      <c r="C713" s="21"/>
      <c r="D713" s="21"/>
      <c r="E713" s="21"/>
      <c r="F713" s="21"/>
      <c r="G713" s="21"/>
      <c r="I713" s="21"/>
      <c r="J713" s="21"/>
      <c r="K713" s="21"/>
      <c r="L713" s="21"/>
      <c r="M713" s="21"/>
      <c r="N713" s="21"/>
      <c r="O713" s="21"/>
      <c r="Q713" s="21"/>
      <c r="R713" s="21"/>
      <c r="S713" s="21"/>
      <c r="T713" s="21"/>
    </row>
    <row r="714" customFormat="false" ht="15" hidden="false" customHeight="true" outlineLevel="0" collapsed="false">
      <c r="A714" s="21"/>
      <c r="B714" s="21"/>
      <c r="C714" s="21"/>
      <c r="D714" s="21"/>
      <c r="E714" s="21"/>
      <c r="F714" s="21"/>
      <c r="G714" s="21"/>
      <c r="I714" s="21"/>
      <c r="J714" s="21"/>
      <c r="K714" s="21"/>
      <c r="L714" s="21"/>
      <c r="M714" s="21"/>
      <c r="N714" s="21"/>
      <c r="O714" s="21"/>
      <c r="Q714" s="21"/>
      <c r="R714" s="21"/>
      <c r="S714" s="21"/>
      <c r="T714" s="21"/>
    </row>
    <row r="715" customFormat="false" ht="15" hidden="false" customHeight="true" outlineLevel="0" collapsed="false">
      <c r="A715" s="21"/>
      <c r="B715" s="21"/>
      <c r="C715" s="21"/>
      <c r="D715" s="21"/>
      <c r="E715" s="21"/>
      <c r="F715" s="21"/>
      <c r="G715" s="21"/>
      <c r="I715" s="21"/>
      <c r="J715" s="21"/>
      <c r="K715" s="21"/>
      <c r="L715" s="21"/>
      <c r="M715" s="21"/>
      <c r="N715" s="21"/>
      <c r="O715" s="21"/>
      <c r="Q715" s="21"/>
      <c r="R715" s="21"/>
      <c r="S715" s="21"/>
      <c r="T715" s="21"/>
    </row>
    <row r="716" customFormat="false" ht="15" hidden="false" customHeight="true" outlineLevel="0" collapsed="false">
      <c r="A716" s="21"/>
      <c r="B716" s="21"/>
      <c r="C716" s="21"/>
      <c r="D716" s="21"/>
      <c r="E716" s="21"/>
      <c r="F716" s="21"/>
      <c r="G716" s="21"/>
      <c r="I716" s="21"/>
      <c r="J716" s="21"/>
      <c r="K716" s="21"/>
      <c r="L716" s="21"/>
      <c r="M716" s="21"/>
      <c r="N716" s="21"/>
      <c r="O716" s="21"/>
      <c r="Q716" s="21"/>
      <c r="R716" s="21"/>
      <c r="S716" s="21"/>
      <c r="T716" s="21"/>
    </row>
    <row r="717" customFormat="false" ht="15" hidden="false" customHeight="true" outlineLevel="0" collapsed="false">
      <c r="A717" s="21"/>
      <c r="B717" s="21"/>
      <c r="C717" s="21"/>
      <c r="D717" s="21"/>
      <c r="E717" s="21"/>
      <c r="F717" s="21"/>
      <c r="G717" s="21"/>
      <c r="I717" s="21"/>
      <c r="J717" s="21"/>
      <c r="K717" s="21"/>
      <c r="L717" s="21"/>
      <c r="M717" s="21"/>
      <c r="N717" s="21"/>
      <c r="O717" s="21"/>
      <c r="Q717" s="21"/>
      <c r="R717" s="21"/>
      <c r="S717" s="21"/>
      <c r="T717" s="21"/>
    </row>
    <row r="718" customFormat="false" ht="15" hidden="false" customHeight="true" outlineLevel="0" collapsed="false">
      <c r="A718" s="21"/>
      <c r="B718" s="21"/>
      <c r="C718" s="21"/>
      <c r="D718" s="21"/>
      <c r="E718" s="21"/>
      <c r="F718" s="21"/>
      <c r="G718" s="21"/>
      <c r="I718" s="21"/>
      <c r="J718" s="21"/>
      <c r="K718" s="21"/>
      <c r="L718" s="21"/>
      <c r="M718" s="21"/>
      <c r="N718" s="21"/>
      <c r="O718" s="21"/>
      <c r="Q718" s="21"/>
      <c r="R718" s="21"/>
      <c r="S718" s="21"/>
      <c r="T718" s="21"/>
    </row>
    <row r="719" customFormat="false" ht="15" hidden="false" customHeight="true" outlineLevel="0" collapsed="false">
      <c r="A719" s="21"/>
      <c r="B719" s="21"/>
      <c r="C719" s="21"/>
      <c r="D719" s="21"/>
      <c r="E719" s="21"/>
      <c r="F719" s="21"/>
      <c r="G719" s="21"/>
      <c r="I719" s="21"/>
      <c r="J719" s="21"/>
      <c r="K719" s="21"/>
      <c r="L719" s="21"/>
      <c r="M719" s="21"/>
      <c r="N719" s="21"/>
      <c r="O719" s="21"/>
      <c r="Q719" s="21"/>
      <c r="R719" s="21"/>
      <c r="S719" s="21"/>
      <c r="T719" s="21"/>
    </row>
    <row r="720" customFormat="false" ht="15" hidden="false" customHeight="true" outlineLevel="0" collapsed="false">
      <c r="A720" s="21"/>
      <c r="B720" s="21"/>
      <c r="C720" s="21"/>
      <c r="D720" s="21"/>
      <c r="E720" s="21"/>
      <c r="F720" s="21"/>
      <c r="G720" s="21"/>
      <c r="I720" s="21"/>
      <c r="J720" s="21"/>
      <c r="K720" s="21"/>
      <c r="L720" s="21"/>
      <c r="M720" s="21"/>
      <c r="N720" s="21"/>
      <c r="O720" s="21"/>
      <c r="Q720" s="21"/>
      <c r="R720" s="21"/>
      <c r="S720" s="21"/>
      <c r="T720" s="21"/>
    </row>
    <row r="721" customFormat="false" ht="15" hidden="false" customHeight="true" outlineLevel="0" collapsed="false">
      <c r="A721" s="21"/>
      <c r="B721" s="21"/>
      <c r="C721" s="21"/>
      <c r="D721" s="21"/>
      <c r="E721" s="21"/>
      <c r="F721" s="21"/>
      <c r="G721" s="21"/>
      <c r="I721" s="21"/>
      <c r="J721" s="21"/>
      <c r="K721" s="21"/>
      <c r="L721" s="21"/>
      <c r="M721" s="21"/>
      <c r="N721" s="21"/>
      <c r="O721" s="21"/>
      <c r="Q721" s="21"/>
      <c r="R721" s="21"/>
      <c r="S721" s="21"/>
      <c r="T721" s="21"/>
    </row>
    <row r="722" customFormat="false" ht="15" hidden="false" customHeight="true" outlineLevel="0" collapsed="false">
      <c r="A722" s="21"/>
      <c r="B722" s="21"/>
      <c r="C722" s="21"/>
      <c r="D722" s="21"/>
      <c r="E722" s="21"/>
      <c r="F722" s="21"/>
      <c r="G722" s="21"/>
      <c r="I722" s="21"/>
      <c r="J722" s="21"/>
      <c r="K722" s="21"/>
      <c r="L722" s="21"/>
      <c r="M722" s="21"/>
      <c r="N722" s="21"/>
      <c r="O722" s="21"/>
      <c r="Q722" s="21"/>
      <c r="R722" s="21"/>
      <c r="S722" s="21"/>
      <c r="T722" s="21"/>
    </row>
    <row r="723" customFormat="false" ht="15" hidden="false" customHeight="true" outlineLevel="0" collapsed="false">
      <c r="A723" s="21"/>
      <c r="B723" s="21"/>
      <c r="C723" s="21"/>
      <c r="D723" s="21"/>
      <c r="E723" s="21"/>
      <c r="F723" s="21"/>
      <c r="G723" s="21"/>
      <c r="I723" s="21"/>
      <c r="J723" s="21"/>
      <c r="K723" s="21"/>
      <c r="L723" s="21"/>
      <c r="M723" s="21"/>
      <c r="N723" s="21"/>
      <c r="O723" s="21"/>
      <c r="Q723" s="21"/>
      <c r="R723" s="21"/>
      <c r="S723" s="21"/>
      <c r="T723" s="21"/>
    </row>
    <row r="724" customFormat="false" ht="15" hidden="false" customHeight="true" outlineLevel="0" collapsed="false">
      <c r="A724" s="21"/>
      <c r="B724" s="21"/>
      <c r="C724" s="21"/>
      <c r="D724" s="21"/>
      <c r="E724" s="21"/>
      <c r="F724" s="21"/>
      <c r="G724" s="21"/>
      <c r="I724" s="21"/>
      <c r="J724" s="21"/>
      <c r="K724" s="21"/>
      <c r="L724" s="21"/>
      <c r="M724" s="21"/>
      <c r="N724" s="21"/>
      <c r="O724" s="21"/>
      <c r="Q724" s="21"/>
      <c r="R724" s="21"/>
      <c r="S724" s="21"/>
      <c r="T724" s="21"/>
    </row>
    <row r="725" customFormat="false" ht="15" hidden="false" customHeight="true" outlineLevel="0" collapsed="false">
      <c r="A725" s="21"/>
      <c r="B725" s="21"/>
      <c r="C725" s="21"/>
      <c r="D725" s="21"/>
      <c r="E725" s="21"/>
      <c r="F725" s="21"/>
      <c r="G725" s="21"/>
      <c r="I725" s="21"/>
      <c r="J725" s="21"/>
      <c r="K725" s="21"/>
      <c r="L725" s="21"/>
      <c r="M725" s="21"/>
      <c r="N725" s="21"/>
      <c r="O725" s="21"/>
      <c r="Q725" s="21"/>
      <c r="R725" s="21"/>
      <c r="S725" s="21"/>
      <c r="T725" s="21"/>
    </row>
    <row r="726" customFormat="false" ht="15" hidden="false" customHeight="true" outlineLevel="0" collapsed="false">
      <c r="A726" s="21"/>
      <c r="B726" s="21"/>
      <c r="C726" s="21"/>
      <c r="D726" s="21"/>
      <c r="E726" s="21"/>
      <c r="F726" s="21"/>
      <c r="G726" s="21"/>
      <c r="I726" s="21"/>
      <c r="J726" s="21"/>
      <c r="K726" s="21"/>
      <c r="L726" s="21"/>
      <c r="M726" s="21"/>
      <c r="N726" s="21"/>
      <c r="O726" s="21"/>
      <c r="Q726" s="21"/>
      <c r="R726" s="21"/>
      <c r="S726" s="21"/>
      <c r="T726" s="21"/>
    </row>
    <row r="727" customFormat="false" ht="15" hidden="false" customHeight="true" outlineLevel="0" collapsed="false">
      <c r="A727" s="21"/>
      <c r="B727" s="21"/>
      <c r="C727" s="21"/>
      <c r="D727" s="21"/>
      <c r="E727" s="21"/>
      <c r="F727" s="21"/>
      <c r="G727" s="21"/>
      <c r="I727" s="21"/>
      <c r="J727" s="21"/>
      <c r="K727" s="21"/>
      <c r="L727" s="21"/>
      <c r="M727" s="21"/>
      <c r="N727" s="21"/>
      <c r="O727" s="21"/>
      <c r="Q727" s="21"/>
      <c r="R727" s="21"/>
      <c r="S727" s="21"/>
      <c r="T727" s="21"/>
    </row>
    <row r="728" customFormat="false" ht="15" hidden="false" customHeight="true" outlineLevel="0" collapsed="false">
      <c r="A728" s="21"/>
      <c r="B728" s="21"/>
      <c r="C728" s="21"/>
      <c r="D728" s="21"/>
      <c r="E728" s="21"/>
      <c r="F728" s="21"/>
      <c r="G728" s="21"/>
      <c r="I728" s="21"/>
      <c r="J728" s="21"/>
      <c r="K728" s="21"/>
      <c r="L728" s="21"/>
      <c r="M728" s="21"/>
      <c r="N728" s="21"/>
      <c r="O728" s="21"/>
      <c r="Q728" s="21"/>
      <c r="R728" s="21"/>
      <c r="S728" s="21"/>
      <c r="T728" s="21"/>
    </row>
    <row r="729" customFormat="false" ht="15" hidden="false" customHeight="true" outlineLevel="0" collapsed="false">
      <c r="A729" s="21"/>
      <c r="B729" s="21"/>
      <c r="C729" s="21"/>
      <c r="D729" s="21"/>
      <c r="E729" s="21"/>
      <c r="F729" s="21"/>
      <c r="G729" s="21"/>
      <c r="I729" s="21"/>
      <c r="J729" s="21"/>
      <c r="K729" s="21"/>
      <c r="L729" s="21"/>
      <c r="M729" s="21"/>
      <c r="N729" s="21"/>
      <c r="O729" s="21"/>
      <c r="Q729" s="21"/>
      <c r="R729" s="21"/>
      <c r="S729" s="21"/>
      <c r="T729" s="21"/>
    </row>
    <row r="730" customFormat="false" ht="15" hidden="false" customHeight="true" outlineLevel="0" collapsed="false">
      <c r="A730" s="21"/>
      <c r="B730" s="21"/>
      <c r="C730" s="21"/>
      <c r="D730" s="21"/>
      <c r="E730" s="21"/>
      <c r="F730" s="21"/>
      <c r="G730" s="21"/>
      <c r="I730" s="21"/>
      <c r="J730" s="21"/>
      <c r="K730" s="21"/>
      <c r="L730" s="21"/>
      <c r="M730" s="21"/>
      <c r="N730" s="21"/>
      <c r="O730" s="21"/>
      <c r="Q730" s="21"/>
      <c r="R730" s="21"/>
      <c r="S730" s="21"/>
      <c r="T730" s="21"/>
    </row>
    <row r="731" customFormat="false" ht="15" hidden="false" customHeight="true" outlineLevel="0" collapsed="false">
      <c r="A731" s="21"/>
      <c r="B731" s="21"/>
      <c r="C731" s="21"/>
      <c r="D731" s="21"/>
      <c r="E731" s="21"/>
      <c r="F731" s="21"/>
      <c r="G731" s="21"/>
      <c r="I731" s="21"/>
      <c r="J731" s="21"/>
      <c r="K731" s="21"/>
      <c r="L731" s="21"/>
      <c r="M731" s="21"/>
      <c r="N731" s="21"/>
      <c r="O731" s="21"/>
      <c r="Q731" s="21"/>
      <c r="R731" s="21"/>
      <c r="S731" s="21"/>
      <c r="T731" s="21"/>
    </row>
    <row r="732" customFormat="false" ht="15" hidden="false" customHeight="true" outlineLevel="0" collapsed="false">
      <c r="A732" s="21"/>
      <c r="B732" s="21"/>
      <c r="C732" s="21"/>
      <c r="D732" s="21"/>
      <c r="E732" s="21"/>
      <c r="F732" s="21"/>
      <c r="G732" s="21"/>
      <c r="I732" s="21"/>
      <c r="J732" s="21"/>
      <c r="K732" s="21"/>
      <c r="L732" s="21"/>
      <c r="M732" s="21"/>
      <c r="N732" s="21"/>
      <c r="O732" s="21"/>
      <c r="Q732" s="21"/>
      <c r="R732" s="21"/>
      <c r="S732" s="21"/>
      <c r="T732" s="21"/>
    </row>
    <row r="733" customFormat="false" ht="15" hidden="false" customHeight="true" outlineLevel="0" collapsed="false">
      <c r="A733" s="21"/>
      <c r="B733" s="21"/>
      <c r="C733" s="21"/>
      <c r="D733" s="21"/>
      <c r="E733" s="21"/>
      <c r="F733" s="21"/>
      <c r="G733" s="21"/>
      <c r="I733" s="21"/>
      <c r="J733" s="21"/>
      <c r="K733" s="21"/>
      <c r="L733" s="21"/>
      <c r="M733" s="21"/>
      <c r="N733" s="21"/>
      <c r="O733" s="21"/>
      <c r="Q733" s="21"/>
      <c r="R733" s="21"/>
      <c r="S733" s="21"/>
      <c r="T733" s="21"/>
    </row>
    <row r="734" customFormat="false" ht="15" hidden="false" customHeight="true" outlineLevel="0" collapsed="false">
      <c r="A734" s="21"/>
      <c r="B734" s="21"/>
      <c r="C734" s="21"/>
      <c r="D734" s="21"/>
      <c r="E734" s="21"/>
      <c r="F734" s="21"/>
      <c r="G734" s="21"/>
      <c r="I734" s="21"/>
      <c r="J734" s="21"/>
      <c r="K734" s="21"/>
      <c r="L734" s="21"/>
      <c r="M734" s="21"/>
      <c r="N734" s="21"/>
      <c r="O734" s="21"/>
      <c r="Q734" s="21"/>
      <c r="R734" s="21"/>
      <c r="S734" s="21"/>
      <c r="T734" s="21"/>
    </row>
    <row r="735" customFormat="false" ht="15" hidden="false" customHeight="true" outlineLevel="0" collapsed="false">
      <c r="A735" s="21"/>
      <c r="B735" s="21"/>
      <c r="C735" s="21"/>
      <c r="D735" s="21"/>
      <c r="E735" s="21"/>
      <c r="F735" s="21"/>
      <c r="G735" s="21"/>
      <c r="I735" s="21"/>
      <c r="J735" s="21"/>
      <c r="K735" s="21"/>
      <c r="L735" s="21"/>
      <c r="M735" s="21"/>
      <c r="N735" s="21"/>
      <c r="O735" s="21"/>
      <c r="Q735" s="21"/>
      <c r="R735" s="21"/>
      <c r="S735" s="21"/>
      <c r="T735" s="21"/>
    </row>
    <row r="736" customFormat="false" ht="15" hidden="false" customHeight="true" outlineLevel="0" collapsed="false">
      <c r="A736" s="21"/>
      <c r="B736" s="21"/>
      <c r="C736" s="21"/>
      <c r="D736" s="21"/>
      <c r="E736" s="21"/>
      <c r="F736" s="21"/>
      <c r="G736" s="21"/>
      <c r="I736" s="21"/>
      <c r="J736" s="21"/>
      <c r="K736" s="21"/>
      <c r="L736" s="21"/>
      <c r="M736" s="21"/>
      <c r="N736" s="21"/>
      <c r="O736" s="21"/>
      <c r="Q736" s="21"/>
      <c r="R736" s="21"/>
      <c r="S736" s="21"/>
      <c r="T736" s="21"/>
    </row>
    <row r="737" customFormat="false" ht="15" hidden="false" customHeight="true" outlineLevel="0" collapsed="false">
      <c r="A737" s="21"/>
      <c r="B737" s="21"/>
      <c r="C737" s="21"/>
      <c r="D737" s="21"/>
      <c r="E737" s="21"/>
      <c r="F737" s="21"/>
      <c r="G737" s="21"/>
      <c r="I737" s="21"/>
      <c r="J737" s="21"/>
      <c r="K737" s="21"/>
      <c r="L737" s="21"/>
      <c r="M737" s="21"/>
      <c r="N737" s="21"/>
      <c r="O737" s="21"/>
      <c r="Q737" s="21"/>
      <c r="R737" s="21"/>
      <c r="S737" s="21"/>
      <c r="T737" s="21"/>
    </row>
    <row r="738" customFormat="false" ht="15" hidden="false" customHeight="true" outlineLevel="0" collapsed="false">
      <c r="A738" s="21"/>
      <c r="B738" s="21"/>
      <c r="C738" s="21"/>
      <c r="D738" s="21"/>
      <c r="E738" s="21"/>
      <c r="F738" s="21"/>
      <c r="G738" s="21"/>
      <c r="I738" s="21"/>
      <c r="J738" s="21"/>
      <c r="K738" s="21"/>
      <c r="L738" s="21"/>
      <c r="M738" s="21"/>
      <c r="N738" s="21"/>
      <c r="O738" s="21"/>
      <c r="Q738" s="21"/>
      <c r="R738" s="21"/>
      <c r="S738" s="21"/>
      <c r="T738" s="21"/>
    </row>
    <row r="739" customFormat="false" ht="15" hidden="false" customHeight="true" outlineLevel="0" collapsed="false">
      <c r="A739" s="21"/>
      <c r="B739" s="21"/>
      <c r="C739" s="21"/>
      <c r="D739" s="21"/>
      <c r="E739" s="21"/>
      <c r="F739" s="21"/>
      <c r="G739" s="21"/>
      <c r="I739" s="21"/>
      <c r="J739" s="21"/>
      <c r="K739" s="21"/>
      <c r="L739" s="21"/>
      <c r="M739" s="21"/>
      <c r="N739" s="21"/>
      <c r="O739" s="21"/>
      <c r="Q739" s="21"/>
      <c r="R739" s="21"/>
      <c r="S739" s="21"/>
      <c r="T739" s="21"/>
    </row>
    <row r="740" customFormat="false" ht="15" hidden="false" customHeight="true" outlineLevel="0" collapsed="false">
      <c r="A740" s="21"/>
      <c r="B740" s="21"/>
      <c r="C740" s="21"/>
      <c r="D740" s="21"/>
      <c r="E740" s="21"/>
      <c r="F740" s="21"/>
      <c r="G740" s="21"/>
      <c r="I740" s="21"/>
      <c r="J740" s="21"/>
      <c r="K740" s="21"/>
      <c r="L740" s="21"/>
      <c r="M740" s="21"/>
      <c r="N740" s="21"/>
      <c r="O740" s="21"/>
      <c r="Q740" s="21"/>
      <c r="R740" s="21"/>
      <c r="S740" s="21"/>
      <c r="T740" s="21"/>
    </row>
    <row r="741" customFormat="false" ht="15" hidden="false" customHeight="true" outlineLevel="0" collapsed="false">
      <c r="A741" s="21"/>
      <c r="B741" s="21"/>
      <c r="C741" s="21"/>
      <c r="D741" s="21"/>
      <c r="E741" s="21"/>
      <c r="F741" s="21"/>
      <c r="G741" s="21"/>
      <c r="I741" s="21"/>
      <c r="J741" s="21"/>
      <c r="K741" s="21"/>
      <c r="L741" s="21"/>
      <c r="M741" s="21"/>
      <c r="N741" s="21"/>
      <c r="O741" s="21"/>
      <c r="Q741" s="21"/>
      <c r="R741" s="21"/>
      <c r="S741" s="21"/>
      <c r="T741" s="21"/>
    </row>
    <row r="742" customFormat="false" ht="15" hidden="false" customHeight="true" outlineLevel="0" collapsed="false">
      <c r="A742" s="21"/>
      <c r="B742" s="21"/>
      <c r="C742" s="21"/>
      <c r="D742" s="21"/>
      <c r="E742" s="21"/>
      <c r="F742" s="21"/>
      <c r="G742" s="21"/>
      <c r="I742" s="21"/>
      <c r="J742" s="21"/>
      <c r="K742" s="21"/>
      <c r="L742" s="21"/>
      <c r="M742" s="21"/>
      <c r="N742" s="21"/>
      <c r="O742" s="21"/>
      <c r="Q742" s="21"/>
      <c r="R742" s="21"/>
      <c r="S742" s="21"/>
      <c r="T742" s="21"/>
    </row>
    <row r="743" customFormat="false" ht="15" hidden="false" customHeight="true" outlineLevel="0" collapsed="false">
      <c r="A743" s="21"/>
      <c r="B743" s="21"/>
      <c r="C743" s="21"/>
      <c r="D743" s="21"/>
      <c r="E743" s="21"/>
      <c r="F743" s="21"/>
      <c r="G743" s="21"/>
      <c r="I743" s="21"/>
      <c r="J743" s="21"/>
      <c r="K743" s="21"/>
      <c r="L743" s="21"/>
      <c r="M743" s="21"/>
      <c r="N743" s="21"/>
      <c r="O743" s="21"/>
      <c r="Q743" s="21"/>
      <c r="R743" s="21"/>
      <c r="S743" s="21"/>
      <c r="T743" s="21"/>
    </row>
    <row r="744" customFormat="false" ht="15" hidden="false" customHeight="true" outlineLevel="0" collapsed="false">
      <c r="A744" s="21"/>
      <c r="B744" s="21"/>
      <c r="C744" s="21"/>
      <c r="D744" s="21"/>
      <c r="E744" s="21"/>
      <c r="F744" s="21"/>
      <c r="G744" s="21"/>
      <c r="I744" s="21"/>
      <c r="J744" s="21"/>
      <c r="K744" s="21"/>
      <c r="L744" s="21"/>
      <c r="M744" s="21"/>
      <c r="N744" s="21"/>
      <c r="O744" s="21"/>
      <c r="Q744" s="21"/>
      <c r="R744" s="21"/>
      <c r="S744" s="21"/>
      <c r="T744" s="21"/>
    </row>
    <row r="745" customFormat="false" ht="15" hidden="false" customHeight="true" outlineLevel="0" collapsed="false">
      <c r="A745" s="21"/>
      <c r="B745" s="21"/>
      <c r="C745" s="21"/>
      <c r="D745" s="21"/>
      <c r="E745" s="21"/>
      <c r="F745" s="21"/>
      <c r="G745" s="21"/>
      <c r="I745" s="21"/>
      <c r="J745" s="21"/>
      <c r="K745" s="21"/>
      <c r="L745" s="21"/>
      <c r="M745" s="21"/>
      <c r="N745" s="21"/>
      <c r="O745" s="21"/>
      <c r="Q745" s="21"/>
      <c r="R745" s="21"/>
      <c r="S745" s="21"/>
      <c r="T745" s="21"/>
    </row>
    <row r="746" customFormat="false" ht="15" hidden="false" customHeight="true" outlineLevel="0" collapsed="false">
      <c r="A746" s="21"/>
      <c r="B746" s="21"/>
      <c r="C746" s="21"/>
      <c r="D746" s="21"/>
      <c r="E746" s="21"/>
      <c r="F746" s="21"/>
      <c r="G746" s="21"/>
      <c r="I746" s="21"/>
      <c r="J746" s="21"/>
      <c r="K746" s="21"/>
      <c r="L746" s="21"/>
      <c r="M746" s="21"/>
      <c r="N746" s="21"/>
      <c r="O746" s="21"/>
      <c r="Q746" s="21"/>
      <c r="R746" s="21"/>
      <c r="S746" s="21"/>
      <c r="T746" s="21"/>
    </row>
    <row r="747" customFormat="false" ht="15" hidden="false" customHeight="true" outlineLevel="0" collapsed="false">
      <c r="A747" s="21"/>
      <c r="B747" s="21"/>
      <c r="C747" s="21"/>
      <c r="D747" s="21"/>
      <c r="E747" s="21"/>
      <c r="F747" s="21"/>
      <c r="G747" s="21"/>
      <c r="I747" s="21"/>
      <c r="J747" s="21"/>
      <c r="K747" s="21"/>
      <c r="L747" s="21"/>
      <c r="M747" s="21"/>
      <c r="N747" s="21"/>
      <c r="O747" s="21"/>
      <c r="Q747" s="21"/>
      <c r="R747" s="21"/>
      <c r="S747" s="21"/>
      <c r="T747" s="21"/>
    </row>
    <row r="748" customFormat="false" ht="15" hidden="false" customHeight="true" outlineLevel="0" collapsed="false">
      <c r="A748" s="21"/>
      <c r="B748" s="21"/>
      <c r="C748" s="21"/>
      <c r="D748" s="21"/>
      <c r="E748" s="21"/>
      <c r="F748" s="21"/>
      <c r="G748" s="21"/>
      <c r="I748" s="21"/>
      <c r="J748" s="21"/>
      <c r="K748" s="21"/>
      <c r="L748" s="21"/>
      <c r="M748" s="21"/>
      <c r="N748" s="21"/>
      <c r="O748" s="21"/>
      <c r="Q748" s="21"/>
      <c r="R748" s="21"/>
      <c r="S748" s="21"/>
      <c r="T748" s="21"/>
    </row>
    <row r="749" customFormat="false" ht="15" hidden="false" customHeight="true" outlineLevel="0" collapsed="false">
      <c r="A749" s="21"/>
      <c r="B749" s="21"/>
      <c r="C749" s="21"/>
      <c r="D749" s="21"/>
      <c r="E749" s="21"/>
      <c r="F749" s="21"/>
      <c r="G749" s="21"/>
      <c r="I749" s="21"/>
      <c r="J749" s="21"/>
      <c r="K749" s="21"/>
      <c r="L749" s="21"/>
      <c r="M749" s="21"/>
      <c r="N749" s="21"/>
      <c r="O749" s="21"/>
      <c r="Q749" s="21"/>
      <c r="R749" s="21"/>
      <c r="S749" s="21"/>
      <c r="T749" s="21"/>
    </row>
    <row r="750" customFormat="false" ht="15" hidden="false" customHeight="true" outlineLevel="0" collapsed="false">
      <c r="A750" s="21"/>
      <c r="B750" s="21"/>
      <c r="C750" s="21"/>
      <c r="D750" s="21"/>
      <c r="E750" s="21"/>
      <c r="F750" s="21"/>
      <c r="G750" s="21"/>
      <c r="I750" s="21"/>
      <c r="J750" s="21"/>
      <c r="K750" s="21"/>
      <c r="L750" s="21"/>
      <c r="M750" s="21"/>
      <c r="N750" s="21"/>
      <c r="O750" s="21"/>
      <c r="Q750" s="21"/>
      <c r="R750" s="21"/>
      <c r="S750" s="21"/>
      <c r="T750" s="21"/>
    </row>
    <row r="751" customFormat="false" ht="15" hidden="false" customHeight="true" outlineLevel="0" collapsed="false">
      <c r="A751" s="21"/>
      <c r="B751" s="21"/>
      <c r="C751" s="21"/>
      <c r="D751" s="21"/>
      <c r="E751" s="21"/>
      <c r="F751" s="21"/>
      <c r="G751" s="21"/>
      <c r="I751" s="21"/>
      <c r="J751" s="21"/>
      <c r="K751" s="21"/>
      <c r="L751" s="21"/>
      <c r="M751" s="21"/>
      <c r="N751" s="21"/>
      <c r="O751" s="21"/>
      <c r="Q751" s="21"/>
      <c r="R751" s="21"/>
      <c r="S751" s="21"/>
      <c r="T751" s="21"/>
    </row>
    <row r="752" customFormat="false" ht="15" hidden="false" customHeight="true" outlineLevel="0" collapsed="false">
      <c r="A752" s="21"/>
      <c r="B752" s="21"/>
      <c r="C752" s="21"/>
      <c r="D752" s="21"/>
      <c r="E752" s="21"/>
      <c r="F752" s="21"/>
      <c r="G752" s="21"/>
      <c r="I752" s="21"/>
      <c r="J752" s="21"/>
      <c r="K752" s="21"/>
      <c r="L752" s="21"/>
      <c r="M752" s="21"/>
      <c r="N752" s="21"/>
      <c r="O752" s="21"/>
      <c r="Q752" s="21"/>
      <c r="R752" s="21"/>
      <c r="S752" s="21"/>
      <c r="T752" s="21"/>
    </row>
    <row r="753" customFormat="false" ht="15" hidden="false" customHeight="true" outlineLevel="0" collapsed="false">
      <c r="A753" s="21"/>
      <c r="B753" s="21"/>
      <c r="C753" s="21"/>
      <c r="D753" s="21"/>
      <c r="E753" s="21"/>
      <c r="F753" s="21"/>
      <c r="G753" s="21"/>
      <c r="I753" s="21"/>
      <c r="J753" s="21"/>
      <c r="K753" s="21"/>
      <c r="L753" s="21"/>
      <c r="M753" s="21"/>
      <c r="N753" s="21"/>
      <c r="O753" s="21"/>
      <c r="Q753" s="21"/>
      <c r="R753" s="21"/>
      <c r="S753" s="21"/>
      <c r="T753" s="21"/>
    </row>
    <row r="754" customFormat="false" ht="15" hidden="false" customHeight="true" outlineLevel="0" collapsed="false">
      <c r="A754" s="21"/>
      <c r="B754" s="21"/>
      <c r="C754" s="21"/>
      <c r="D754" s="21"/>
      <c r="E754" s="21"/>
      <c r="F754" s="21"/>
      <c r="G754" s="21"/>
      <c r="I754" s="21"/>
      <c r="J754" s="21"/>
      <c r="K754" s="21"/>
      <c r="L754" s="21"/>
      <c r="M754" s="21"/>
      <c r="N754" s="21"/>
      <c r="O754" s="21"/>
      <c r="Q754" s="21"/>
      <c r="R754" s="21"/>
      <c r="S754" s="21"/>
      <c r="T754" s="21"/>
    </row>
    <row r="755" customFormat="false" ht="15" hidden="false" customHeight="true" outlineLevel="0" collapsed="false">
      <c r="A755" s="21"/>
      <c r="B755" s="21"/>
      <c r="C755" s="21"/>
      <c r="D755" s="21"/>
      <c r="E755" s="21"/>
      <c r="F755" s="21"/>
      <c r="G755" s="21"/>
      <c r="I755" s="21"/>
      <c r="J755" s="21"/>
      <c r="K755" s="21"/>
      <c r="L755" s="21"/>
      <c r="M755" s="21"/>
      <c r="N755" s="21"/>
      <c r="O755" s="21"/>
      <c r="Q755" s="21"/>
      <c r="R755" s="21"/>
      <c r="S755" s="21"/>
      <c r="T755" s="21"/>
    </row>
    <row r="756" customFormat="false" ht="15" hidden="false" customHeight="true" outlineLevel="0" collapsed="false">
      <c r="A756" s="21"/>
      <c r="B756" s="21"/>
      <c r="C756" s="21"/>
      <c r="D756" s="21"/>
      <c r="E756" s="21"/>
      <c r="F756" s="21"/>
      <c r="G756" s="21"/>
      <c r="I756" s="21"/>
      <c r="J756" s="21"/>
      <c r="K756" s="21"/>
      <c r="L756" s="21"/>
      <c r="M756" s="21"/>
      <c r="N756" s="21"/>
      <c r="O756" s="21"/>
      <c r="Q756" s="21"/>
      <c r="R756" s="21"/>
      <c r="S756" s="21"/>
      <c r="T756" s="21"/>
    </row>
    <row r="757" customFormat="false" ht="15" hidden="false" customHeight="true" outlineLevel="0" collapsed="false">
      <c r="A757" s="21"/>
      <c r="B757" s="21"/>
      <c r="C757" s="21"/>
      <c r="D757" s="21"/>
      <c r="E757" s="21"/>
      <c r="F757" s="21"/>
      <c r="G757" s="21"/>
      <c r="I757" s="21"/>
      <c r="J757" s="21"/>
      <c r="K757" s="21"/>
      <c r="L757" s="21"/>
      <c r="M757" s="21"/>
      <c r="N757" s="21"/>
      <c r="O757" s="21"/>
      <c r="Q757" s="21"/>
      <c r="R757" s="21"/>
      <c r="S757" s="21"/>
      <c r="T757" s="21"/>
    </row>
    <row r="758" customFormat="false" ht="15" hidden="false" customHeight="true" outlineLevel="0" collapsed="false">
      <c r="A758" s="21"/>
      <c r="B758" s="21"/>
      <c r="C758" s="21"/>
      <c r="D758" s="21"/>
      <c r="E758" s="21"/>
      <c r="F758" s="21"/>
      <c r="G758" s="21"/>
      <c r="I758" s="21"/>
      <c r="J758" s="21"/>
      <c r="K758" s="21"/>
      <c r="L758" s="21"/>
      <c r="M758" s="21"/>
      <c r="N758" s="21"/>
      <c r="O758" s="21"/>
      <c r="Q758" s="21"/>
      <c r="R758" s="21"/>
      <c r="S758" s="21"/>
      <c r="T758" s="21"/>
    </row>
    <row r="759" customFormat="false" ht="15" hidden="false" customHeight="true" outlineLevel="0" collapsed="false">
      <c r="A759" s="21"/>
      <c r="B759" s="21"/>
      <c r="C759" s="21"/>
      <c r="D759" s="21"/>
      <c r="E759" s="21"/>
      <c r="F759" s="21"/>
      <c r="G759" s="21"/>
      <c r="I759" s="21"/>
      <c r="J759" s="21"/>
      <c r="K759" s="21"/>
      <c r="L759" s="21"/>
      <c r="M759" s="21"/>
      <c r="N759" s="21"/>
      <c r="O759" s="21"/>
      <c r="Q759" s="21"/>
      <c r="R759" s="21"/>
      <c r="S759" s="21"/>
      <c r="T759" s="21"/>
    </row>
    <row r="760" customFormat="false" ht="15" hidden="false" customHeight="true" outlineLevel="0" collapsed="false">
      <c r="A760" s="21"/>
      <c r="B760" s="21"/>
      <c r="C760" s="21"/>
      <c r="D760" s="21"/>
      <c r="E760" s="21"/>
      <c r="F760" s="21"/>
      <c r="G760" s="21"/>
      <c r="I760" s="21"/>
      <c r="J760" s="21"/>
      <c r="K760" s="21"/>
      <c r="L760" s="21"/>
      <c r="M760" s="21"/>
      <c r="N760" s="21"/>
      <c r="O760" s="21"/>
      <c r="Q760" s="21"/>
      <c r="R760" s="21"/>
      <c r="S760" s="21"/>
      <c r="T760" s="21"/>
    </row>
    <row r="761" customFormat="false" ht="15" hidden="false" customHeight="true" outlineLevel="0" collapsed="false">
      <c r="A761" s="21"/>
      <c r="B761" s="21"/>
      <c r="C761" s="21"/>
      <c r="D761" s="21"/>
      <c r="E761" s="21"/>
      <c r="F761" s="21"/>
      <c r="G761" s="21"/>
      <c r="I761" s="21"/>
      <c r="J761" s="21"/>
      <c r="K761" s="21"/>
      <c r="L761" s="21"/>
      <c r="M761" s="21"/>
      <c r="N761" s="21"/>
      <c r="O761" s="21"/>
      <c r="Q761" s="21"/>
      <c r="R761" s="21"/>
      <c r="S761" s="21"/>
      <c r="T761" s="21"/>
    </row>
    <row r="762" customFormat="false" ht="15" hidden="false" customHeight="true" outlineLevel="0" collapsed="false">
      <c r="A762" s="21"/>
      <c r="B762" s="21"/>
      <c r="C762" s="21"/>
      <c r="D762" s="21"/>
      <c r="E762" s="21"/>
      <c r="F762" s="21"/>
      <c r="G762" s="21"/>
      <c r="I762" s="21"/>
      <c r="J762" s="21"/>
      <c r="K762" s="21"/>
      <c r="L762" s="21"/>
      <c r="M762" s="21"/>
      <c r="N762" s="21"/>
      <c r="O762" s="21"/>
      <c r="Q762" s="21"/>
      <c r="R762" s="21"/>
      <c r="S762" s="21"/>
      <c r="T762" s="21"/>
    </row>
    <row r="763" customFormat="false" ht="15" hidden="false" customHeight="true" outlineLevel="0" collapsed="false">
      <c r="A763" s="21"/>
      <c r="B763" s="21"/>
      <c r="C763" s="21"/>
      <c r="D763" s="21"/>
      <c r="E763" s="21"/>
      <c r="F763" s="21"/>
      <c r="G763" s="21"/>
      <c r="I763" s="21"/>
      <c r="J763" s="21"/>
      <c r="K763" s="21"/>
      <c r="L763" s="21"/>
      <c r="M763" s="21"/>
      <c r="N763" s="21"/>
      <c r="O763" s="21"/>
      <c r="Q763" s="21"/>
      <c r="R763" s="21"/>
      <c r="S763" s="21"/>
      <c r="T763" s="21"/>
    </row>
    <row r="764" customFormat="false" ht="15" hidden="false" customHeight="true" outlineLevel="0" collapsed="false">
      <c r="A764" s="21"/>
      <c r="B764" s="21"/>
      <c r="C764" s="21"/>
      <c r="D764" s="21"/>
      <c r="E764" s="21"/>
      <c r="F764" s="21"/>
      <c r="G764" s="21"/>
      <c r="I764" s="21"/>
      <c r="J764" s="21"/>
      <c r="K764" s="21"/>
      <c r="L764" s="21"/>
      <c r="M764" s="21"/>
      <c r="N764" s="21"/>
      <c r="O764" s="21"/>
      <c r="Q764" s="21"/>
      <c r="R764" s="21"/>
      <c r="S764" s="21"/>
      <c r="T764" s="21"/>
    </row>
    <row r="765" customFormat="false" ht="15" hidden="false" customHeight="true" outlineLevel="0" collapsed="false">
      <c r="A765" s="21"/>
      <c r="B765" s="21"/>
      <c r="C765" s="21"/>
      <c r="D765" s="21"/>
      <c r="E765" s="21"/>
      <c r="F765" s="21"/>
      <c r="G765" s="21"/>
      <c r="I765" s="21"/>
      <c r="J765" s="21"/>
      <c r="K765" s="21"/>
      <c r="L765" s="21"/>
      <c r="M765" s="21"/>
      <c r="N765" s="21"/>
      <c r="O765" s="21"/>
      <c r="Q765" s="21"/>
      <c r="R765" s="21"/>
      <c r="S765" s="21"/>
      <c r="T765" s="21"/>
    </row>
    <row r="766" customFormat="false" ht="15" hidden="false" customHeight="true" outlineLevel="0" collapsed="false">
      <c r="A766" s="21"/>
      <c r="B766" s="21"/>
      <c r="C766" s="21"/>
      <c r="D766" s="21"/>
      <c r="E766" s="21"/>
      <c r="F766" s="21"/>
      <c r="G766" s="21"/>
      <c r="I766" s="21"/>
      <c r="J766" s="21"/>
      <c r="K766" s="21"/>
      <c r="L766" s="21"/>
      <c r="M766" s="21"/>
      <c r="N766" s="21"/>
      <c r="O766" s="21"/>
      <c r="Q766" s="21"/>
      <c r="R766" s="21"/>
      <c r="S766" s="21"/>
      <c r="T766" s="21"/>
    </row>
    <row r="767" customFormat="false" ht="15" hidden="false" customHeight="true" outlineLevel="0" collapsed="false">
      <c r="A767" s="21"/>
      <c r="B767" s="21"/>
      <c r="C767" s="21"/>
      <c r="D767" s="21"/>
      <c r="E767" s="21"/>
      <c r="F767" s="21"/>
      <c r="G767" s="21"/>
      <c r="I767" s="21"/>
      <c r="J767" s="21"/>
      <c r="K767" s="21"/>
      <c r="L767" s="21"/>
      <c r="M767" s="21"/>
      <c r="N767" s="21"/>
      <c r="O767" s="21"/>
      <c r="Q767" s="21"/>
      <c r="R767" s="21"/>
      <c r="S767" s="21"/>
      <c r="T767" s="21"/>
    </row>
    <row r="768" customFormat="false" ht="15" hidden="false" customHeight="true" outlineLevel="0" collapsed="false">
      <c r="A768" s="21"/>
      <c r="B768" s="21"/>
      <c r="C768" s="21"/>
      <c r="D768" s="21"/>
      <c r="E768" s="21"/>
      <c r="F768" s="21"/>
      <c r="G768" s="21"/>
      <c r="I768" s="21"/>
      <c r="J768" s="21"/>
      <c r="K768" s="21"/>
      <c r="L768" s="21"/>
      <c r="M768" s="21"/>
      <c r="N768" s="21"/>
      <c r="O768" s="21"/>
      <c r="Q768" s="21"/>
      <c r="R768" s="21"/>
      <c r="S768" s="21"/>
      <c r="T768" s="21"/>
    </row>
    <row r="769" customFormat="false" ht="15" hidden="false" customHeight="true" outlineLevel="0" collapsed="false">
      <c r="A769" s="21"/>
      <c r="B769" s="21"/>
      <c r="C769" s="21"/>
      <c r="D769" s="21"/>
      <c r="E769" s="21"/>
      <c r="F769" s="21"/>
      <c r="G769" s="21"/>
      <c r="I769" s="21"/>
      <c r="J769" s="21"/>
      <c r="K769" s="21"/>
      <c r="L769" s="21"/>
      <c r="M769" s="21"/>
      <c r="N769" s="21"/>
      <c r="O769" s="21"/>
      <c r="Q769" s="21"/>
      <c r="R769" s="21"/>
      <c r="S769" s="21"/>
      <c r="T769" s="21"/>
    </row>
    <row r="770" customFormat="false" ht="15" hidden="false" customHeight="true" outlineLevel="0" collapsed="false">
      <c r="A770" s="21"/>
      <c r="B770" s="21"/>
      <c r="C770" s="21"/>
      <c r="D770" s="21"/>
      <c r="E770" s="21"/>
      <c r="F770" s="21"/>
      <c r="G770" s="21"/>
      <c r="I770" s="21"/>
      <c r="J770" s="21"/>
      <c r="K770" s="21"/>
      <c r="L770" s="21"/>
      <c r="M770" s="21"/>
      <c r="N770" s="21"/>
      <c r="O770" s="21"/>
      <c r="Q770" s="21"/>
      <c r="R770" s="21"/>
      <c r="S770" s="21"/>
      <c r="T770" s="21"/>
    </row>
    <row r="771" customFormat="false" ht="15" hidden="false" customHeight="true" outlineLevel="0" collapsed="false">
      <c r="A771" s="21"/>
      <c r="B771" s="21"/>
      <c r="C771" s="21"/>
      <c r="D771" s="21"/>
      <c r="E771" s="21"/>
      <c r="F771" s="21"/>
      <c r="G771" s="21"/>
      <c r="I771" s="21"/>
      <c r="J771" s="21"/>
      <c r="K771" s="21"/>
      <c r="L771" s="21"/>
      <c r="M771" s="21"/>
      <c r="N771" s="21"/>
      <c r="O771" s="21"/>
      <c r="Q771" s="21"/>
      <c r="R771" s="21"/>
      <c r="S771" s="21"/>
      <c r="T771" s="21"/>
    </row>
    <row r="772" customFormat="false" ht="15" hidden="false" customHeight="true" outlineLevel="0" collapsed="false">
      <c r="A772" s="21"/>
      <c r="B772" s="21"/>
      <c r="C772" s="21"/>
      <c r="D772" s="21"/>
      <c r="E772" s="21"/>
      <c r="F772" s="21"/>
      <c r="G772" s="21"/>
      <c r="I772" s="21"/>
      <c r="J772" s="21"/>
      <c r="K772" s="21"/>
      <c r="L772" s="21"/>
      <c r="M772" s="21"/>
      <c r="N772" s="21"/>
      <c r="O772" s="21"/>
      <c r="Q772" s="21"/>
      <c r="R772" s="21"/>
      <c r="S772" s="21"/>
      <c r="T772" s="21"/>
    </row>
    <row r="773" customFormat="false" ht="15" hidden="false" customHeight="true" outlineLevel="0" collapsed="false">
      <c r="A773" s="21"/>
      <c r="B773" s="21"/>
      <c r="C773" s="21"/>
      <c r="D773" s="21"/>
      <c r="E773" s="21"/>
      <c r="F773" s="21"/>
      <c r="G773" s="21"/>
      <c r="I773" s="21"/>
      <c r="J773" s="21"/>
      <c r="K773" s="21"/>
      <c r="L773" s="21"/>
      <c r="M773" s="21"/>
      <c r="N773" s="21"/>
      <c r="O773" s="21"/>
      <c r="Q773" s="21"/>
      <c r="R773" s="21"/>
      <c r="S773" s="21"/>
      <c r="T773" s="21"/>
    </row>
    <row r="774" customFormat="false" ht="15" hidden="false" customHeight="true" outlineLevel="0" collapsed="false">
      <c r="A774" s="21"/>
      <c r="B774" s="21"/>
      <c r="C774" s="21"/>
      <c r="D774" s="21"/>
      <c r="E774" s="21"/>
      <c r="F774" s="21"/>
      <c r="G774" s="21"/>
      <c r="I774" s="21"/>
      <c r="J774" s="21"/>
      <c r="K774" s="21"/>
      <c r="L774" s="21"/>
      <c r="M774" s="21"/>
      <c r="N774" s="21"/>
      <c r="O774" s="21"/>
      <c r="Q774" s="21"/>
      <c r="R774" s="21"/>
      <c r="S774" s="21"/>
      <c r="T774" s="21"/>
    </row>
    <row r="775" customFormat="false" ht="15" hidden="false" customHeight="true" outlineLevel="0" collapsed="false">
      <c r="A775" s="21"/>
      <c r="B775" s="21"/>
      <c r="C775" s="21"/>
      <c r="D775" s="21"/>
      <c r="E775" s="21"/>
      <c r="F775" s="21"/>
      <c r="G775" s="21"/>
      <c r="I775" s="21"/>
      <c r="J775" s="21"/>
      <c r="K775" s="21"/>
      <c r="L775" s="21"/>
      <c r="M775" s="21"/>
      <c r="N775" s="21"/>
      <c r="O775" s="21"/>
      <c r="Q775" s="21"/>
      <c r="R775" s="21"/>
      <c r="S775" s="21"/>
      <c r="T775" s="21"/>
    </row>
    <row r="776" customFormat="false" ht="15" hidden="false" customHeight="true" outlineLevel="0" collapsed="false">
      <c r="A776" s="21"/>
      <c r="B776" s="21"/>
      <c r="C776" s="21"/>
      <c r="D776" s="21"/>
      <c r="E776" s="21"/>
      <c r="F776" s="21"/>
      <c r="G776" s="21"/>
      <c r="I776" s="21"/>
      <c r="J776" s="21"/>
      <c r="K776" s="21"/>
      <c r="L776" s="21"/>
      <c r="M776" s="21"/>
      <c r="N776" s="21"/>
      <c r="O776" s="21"/>
      <c r="Q776" s="21"/>
      <c r="R776" s="21"/>
      <c r="S776" s="21"/>
      <c r="T776" s="21"/>
    </row>
    <row r="777" customFormat="false" ht="15" hidden="false" customHeight="true" outlineLevel="0" collapsed="false">
      <c r="A777" s="21"/>
      <c r="B777" s="21"/>
      <c r="C777" s="21"/>
      <c r="D777" s="21"/>
      <c r="E777" s="21"/>
      <c r="F777" s="21"/>
      <c r="G777" s="21"/>
      <c r="I777" s="21"/>
      <c r="J777" s="21"/>
      <c r="K777" s="21"/>
      <c r="L777" s="21"/>
      <c r="M777" s="21"/>
      <c r="N777" s="21"/>
      <c r="O777" s="21"/>
      <c r="Q777" s="21"/>
      <c r="R777" s="21"/>
      <c r="S777" s="21"/>
      <c r="T777" s="21"/>
    </row>
    <row r="778" customFormat="false" ht="15" hidden="false" customHeight="true" outlineLevel="0" collapsed="false">
      <c r="A778" s="21"/>
      <c r="B778" s="21"/>
      <c r="C778" s="21"/>
      <c r="D778" s="21"/>
      <c r="E778" s="21"/>
      <c r="F778" s="21"/>
      <c r="G778" s="21"/>
      <c r="I778" s="21"/>
      <c r="J778" s="21"/>
      <c r="K778" s="21"/>
      <c r="L778" s="21"/>
      <c r="M778" s="21"/>
      <c r="N778" s="21"/>
      <c r="O778" s="21"/>
      <c r="Q778" s="21"/>
      <c r="R778" s="21"/>
      <c r="S778" s="21"/>
      <c r="T778" s="21"/>
    </row>
    <row r="779" customFormat="false" ht="15" hidden="false" customHeight="true" outlineLevel="0" collapsed="false">
      <c r="A779" s="21"/>
      <c r="B779" s="21"/>
      <c r="C779" s="21"/>
      <c r="D779" s="21"/>
      <c r="E779" s="21"/>
      <c r="F779" s="21"/>
      <c r="G779" s="21"/>
      <c r="I779" s="21"/>
      <c r="J779" s="21"/>
      <c r="K779" s="21"/>
      <c r="L779" s="21"/>
      <c r="M779" s="21"/>
      <c r="N779" s="21"/>
      <c r="O779" s="21"/>
      <c r="Q779" s="21"/>
      <c r="R779" s="21"/>
      <c r="S779" s="21"/>
      <c r="T779" s="21"/>
    </row>
    <row r="780" customFormat="false" ht="15" hidden="false" customHeight="true" outlineLevel="0" collapsed="false">
      <c r="A780" s="21"/>
      <c r="B780" s="21"/>
      <c r="C780" s="21"/>
      <c r="D780" s="21"/>
      <c r="E780" s="21"/>
      <c r="F780" s="21"/>
      <c r="G780" s="21"/>
      <c r="I780" s="21"/>
      <c r="J780" s="21"/>
      <c r="K780" s="21"/>
      <c r="L780" s="21"/>
      <c r="M780" s="21"/>
      <c r="N780" s="21"/>
      <c r="O780" s="21"/>
      <c r="Q780" s="21"/>
      <c r="R780" s="21"/>
      <c r="S780" s="21"/>
      <c r="T780" s="21"/>
    </row>
    <row r="781" customFormat="false" ht="15" hidden="false" customHeight="true" outlineLevel="0" collapsed="false">
      <c r="A781" s="21"/>
      <c r="B781" s="21"/>
      <c r="C781" s="21"/>
      <c r="D781" s="21"/>
      <c r="E781" s="21"/>
      <c r="F781" s="21"/>
      <c r="G781" s="21"/>
      <c r="I781" s="21"/>
      <c r="J781" s="21"/>
      <c r="K781" s="21"/>
      <c r="L781" s="21"/>
      <c r="M781" s="21"/>
      <c r="N781" s="21"/>
      <c r="O781" s="21"/>
      <c r="Q781" s="21"/>
      <c r="R781" s="21"/>
      <c r="S781" s="21"/>
      <c r="T781" s="21"/>
    </row>
    <row r="782" customFormat="false" ht="15" hidden="false" customHeight="true" outlineLevel="0" collapsed="false">
      <c r="A782" s="21"/>
      <c r="B782" s="21"/>
      <c r="C782" s="21"/>
      <c r="D782" s="21"/>
      <c r="E782" s="21"/>
      <c r="F782" s="21"/>
      <c r="G782" s="21"/>
      <c r="I782" s="21"/>
      <c r="J782" s="21"/>
      <c r="K782" s="21"/>
      <c r="L782" s="21"/>
      <c r="M782" s="21"/>
      <c r="N782" s="21"/>
      <c r="O782" s="21"/>
      <c r="Q782" s="21"/>
      <c r="R782" s="21"/>
      <c r="S782" s="21"/>
      <c r="T782" s="21"/>
    </row>
    <row r="783" customFormat="false" ht="15" hidden="false" customHeight="true" outlineLevel="0" collapsed="false">
      <c r="A783" s="21"/>
      <c r="B783" s="21"/>
      <c r="C783" s="21"/>
      <c r="D783" s="21"/>
      <c r="E783" s="21"/>
      <c r="F783" s="21"/>
      <c r="G783" s="21"/>
      <c r="I783" s="21"/>
      <c r="J783" s="21"/>
      <c r="K783" s="21"/>
      <c r="L783" s="21"/>
      <c r="M783" s="21"/>
      <c r="N783" s="21"/>
      <c r="O783" s="21"/>
      <c r="Q783" s="21"/>
      <c r="R783" s="21"/>
      <c r="S783" s="21"/>
      <c r="T783" s="21"/>
    </row>
    <row r="784" customFormat="false" ht="15" hidden="false" customHeight="true" outlineLevel="0" collapsed="false">
      <c r="A784" s="21"/>
      <c r="B784" s="21"/>
      <c r="C784" s="21"/>
      <c r="D784" s="21"/>
      <c r="E784" s="21"/>
      <c r="F784" s="21"/>
      <c r="G784" s="21"/>
      <c r="I784" s="21"/>
      <c r="J784" s="21"/>
      <c r="K784" s="21"/>
      <c r="L784" s="21"/>
      <c r="M784" s="21"/>
      <c r="N784" s="21"/>
      <c r="O784" s="21"/>
      <c r="Q784" s="21"/>
      <c r="R784" s="21"/>
      <c r="S784" s="21"/>
      <c r="T784" s="21"/>
    </row>
    <row r="785" customFormat="false" ht="15" hidden="false" customHeight="true" outlineLevel="0" collapsed="false">
      <c r="A785" s="21"/>
      <c r="B785" s="21"/>
      <c r="C785" s="21"/>
      <c r="D785" s="21"/>
      <c r="E785" s="21"/>
      <c r="F785" s="21"/>
      <c r="G785" s="21"/>
      <c r="I785" s="21"/>
      <c r="J785" s="21"/>
      <c r="K785" s="21"/>
      <c r="L785" s="21"/>
      <c r="M785" s="21"/>
      <c r="N785" s="21"/>
      <c r="O785" s="21"/>
      <c r="Q785" s="21"/>
      <c r="R785" s="21"/>
      <c r="S785" s="21"/>
      <c r="T785" s="21"/>
    </row>
    <row r="786" customFormat="false" ht="15" hidden="false" customHeight="true" outlineLevel="0" collapsed="false">
      <c r="A786" s="21"/>
      <c r="B786" s="21"/>
      <c r="C786" s="21"/>
      <c r="D786" s="21"/>
      <c r="E786" s="21"/>
      <c r="F786" s="21"/>
      <c r="G786" s="21"/>
      <c r="I786" s="21"/>
      <c r="J786" s="21"/>
      <c r="K786" s="21"/>
      <c r="L786" s="21"/>
      <c r="M786" s="21"/>
      <c r="N786" s="21"/>
      <c r="O786" s="21"/>
      <c r="Q786" s="21"/>
      <c r="R786" s="21"/>
      <c r="S786" s="21"/>
      <c r="T786" s="21"/>
    </row>
    <row r="787" customFormat="false" ht="15" hidden="false" customHeight="true" outlineLevel="0" collapsed="false">
      <c r="A787" s="21"/>
      <c r="B787" s="21"/>
      <c r="C787" s="21"/>
      <c r="D787" s="21"/>
      <c r="E787" s="21"/>
      <c r="F787" s="21"/>
      <c r="G787" s="21"/>
      <c r="I787" s="21"/>
      <c r="J787" s="21"/>
      <c r="K787" s="21"/>
      <c r="L787" s="21"/>
      <c r="M787" s="21"/>
      <c r="N787" s="21"/>
      <c r="O787" s="21"/>
      <c r="Q787" s="21"/>
      <c r="R787" s="21"/>
      <c r="S787" s="21"/>
      <c r="T787" s="21"/>
    </row>
    <row r="788" customFormat="false" ht="15" hidden="false" customHeight="true" outlineLevel="0" collapsed="false">
      <c r="A788" s="21"/>
      <c r="B788" s="21"/>
      <c r="C788" s="21"/>
      <c r="D788" s="21"/>
      <c r="E788" s="21"/>
      <c r="F788" s="21"/>
      <c r="G788" s="21"/>
      <c r="I788" s="21"/>
      <c r="J788" s="21"/>
      <c r="K788" s="21"/>
      <c r="L788" s="21"/>
      <c r="M788" s="21"/>
      <c r="N788" s="21"/>
      <c r="O788" s="21"/>
      <c r="Q788" s="21"/>
      <c r="R788" s="21"/>
      <c r="S788" s="21"/>
      <c r="T788" s="21"/>
    </row>
    <row r="789" customFormat="false" ht="15" hidden="false" customHeight="true" outlineLevel="0" collapsed="false">
      <c r="A789" s="21"/>
      <c r="B789" s="21"/>
      <c r="C789" s="21"/>
      <c r="D789" s="21"/>
      <c r="E789" s="21"/>
      <c r="F789" s="21"/>
      <c r="G789" s="21"/>
      <c r="I789" s="21"/>
      <c r="J789" s="21"/>
      <c r="K789" s="21"/>
      <c r="L789" s="21"/>
      <c r="M789" s="21"/>
      <c r="N789" s="21"/>
      <c r="O789" s="21"/>
      <c r="Q789" s="21"/>
      <c r="R789" s="21"/>
      <c r="S789" s="21"/>
      <c r="T789" s="21"/>
    </row>
    <row r="790" customFormat="false" ht="15" hidden="false" customHeight="true" outlineLevel="0" collapsed="false">
      <c r="A790" s="21"/>
      <c r="B790" s="21"/>
      <c r="C790" s="21"/>
      <c r="D790" s="21"/>
      <c r="E790" s="21"/>
      <c r="F790" s="21"/>
      <c r="G790" s="21"/>
      <c r="I790" s="21"/>
      <c r="J790" s="21"/>
      <c r="K790" s="21"/>
      <c r="L790" s="21"/>
      <c r="M790" s="21"/>
      <c r="N790" s="21"/>
      <c r="O790" s="21"/>
      <c r="Q790" s="21"/>
      <c r="R790" s="21"/>
      <c r="S790" s="21"/>
      <c r="T790" s="21"/>
    </row>
    <row r="791" customFormat="false" ht="15" hidden="false" customHeight="true" outlineLevel="0" collapsed="false">
      <c r="A791" s="21"/>
      <c r="B791" s="21"/>
      <c r="C791" s="21"/>
      <c r="D791" s="21"/>
      <c r="E791" s="21"/>
      <c r="F791" s="21"/>
      <c r="G791" s="21"/>
      <c r="I791" s="21"/>
      <c r="J791" s="21"/>
      <c r="K791" s="21"/>
      <c r="L791" s="21"/>
      <c r="M791" s="21"/>
      <c r="N791" s="21"/>
      <c r="O791" s="21"/>
      <c r="Q791" s="21"/>
      <c r="R791" s="21"/>
      <c r="S791" s="21"/>
      <c r="T791" s="21"/>
    </row>
    <row r="792" customFormat="false" ht="15" hidden="false" customHeight="true" outlineLevel="0" collapsed="false">
      <c r="A792" s="21"/>
      <c r="B792" s="21"/>
      <c r="C792" s="21"/>
      <c r="D792" s="21"/>
      <c r="E792" s="21"/>
      <c r="F792" s="21"/>
      <c r="G792" s="21"/>
      <c r="I792" s="21"/>
      <c r="J792" s="21"/>
      <c r="K792" s="21"/>
      <c r="L792" s="21"/>
      <c r="M792" s="21"/>
      <c r="N792" s="21"/>
      <c r="O792" s="21"/>
      <c r="Q792" s="21"/>
      <c r="R792" s="21"/>
      <c r="S792" s="21"/>
      <c r="T792" s="21"/>
    </row>
    <row r="793" customFormat="false" ht="15" hidden="false" customHeight="true" outlineLevel="0" collapsed="false">
      <c r="A793" s="21"/>
      <c r="B793" s="21"/>
      <c r="C793" s="21"/>
      <c r="D793" s="21"/>
      <c r="E793" s="21"/>
      <c r="F793" s="21"/>
      <c r="G793" s="21"/>
      <c r="I793" s="21"/>
      <c r="J793" s="21"/>
      <c r="K793" s="21"/>
      <c r="L793" s="21"/>
      <c r="M793" s="21"/>
      <c r="N793" s="21"/>
      <c r="O793" s="21"/>
      <c r="Q793" s="21"/>
      <c r="R793" s="21"/>
      <c r="S793" s="21"/>
      <c r="T793" s="21"/>
    </row>
    <row r="794" customFormat="false" ht="15" hidden="false" customHeight="true" outlineLevel="0" collapsed="false">
      <c r="A794" s="21"/>
      <c r="B794" s="21"/>
      <c r="C794" s="21"/>
      <c r="D794" s="21"/>
      <c r="E794" s="21"/>
      <c r="F794" s="21"/>
      <c r="G794" s="21"/>
      <c r="I794" s="21"/>
      <c r="J794" s="21"/>
      <c r="K794" s="21"/>
      <c r="L794" s="21"/>
      <c r="M794" s="21"/>
      <c r="N794" s="21"/>
      <c r="O794" s="21"/>
      <c r="Q794" s="21"/>
      <c r="R794" s="21"/>
      <c r="S794" s="21"/>
      <c r="T794" s="21"/>
    </row>
    <row r="795" customFormat="false" ht="15" hidden="false" customHeight="true" outlineLevel="0" collapsed="false">
      <c r="A795" s="21"/>
      <c r="B795" s="21"/>
      <c r="C795" s="21"/>
      <c r="D795" s="21"/>
      <c r="E795" s="21"/>
      <c r="F795" s="21"/>
      <c r="G795" s="21"/>
      <c r="I795" s="21"/>
      <c r="J795" s="21"/>
      <c r="K795" s="21"/>
      <c r="L795" s="21"/>
      <c r="M795" s="21"/>
      <c r="N795" s="21"/>
      <c r="O795" s="21"/>
      <c r="Q795" s="21"/>
      <c r="R795" s="21"/>
      <c r="S795" s="21"/>
      <c r="T795" s="21"/>
    </row>
    <row r="796" customFormat="false" ht="15" hidden="false" customHeight="true" outlineLevel="0" collapsed="false">
      <c r="A796" s="21"/>
      <c r="B796" s="21"/>
      <c r="C796" s="21"/>
      <c r="D796" s="21"/>
      <c r="E796" s="21"/>
      <c r="F796" s="21"/>
      <c r="G796" s="21"/>
      <c r="I796" s="21"/>
      <c r="J796" s="21"/>
      <c r="K796" s="21"/>
      <c r="L796" s="21"/>
      <c r="M796" s="21"/>
      <c r="N796" s="21"/>
      <c r="O796" s="21"/>
      <c r="Q796" s="21"/>
      <c r="R796" s="21"/>
      <c r="S796" s="21"/>
      <c r="T796" s="21"/>
    </row>
    <row r="797" customFormat="false" ht="15" hidden="false" customHeight="true" outlineLevel="0" collapsed="false">
      <c r="A797" s="21"/>
      <c r="B797" s="21"/>
      <c r="C797" s="21"/>
      <c r="D797" s="21"/>
      <c r="E797" s="21"/>
      <c r="F797" s="21"/>
      <c r="G797" s="21"/>
      <c r="I797" s="21"/>
      <c r="J797" s="21"/>
      <c r="K797" s="21"/>
      <c r="L797" s="21"/>
      <c r="M797" s="21"/>
      <c r="N797" s="21"/>
      <c r="O797" s="21"/>
      <c r="Q797" s="21"/>
      <c r="R797" s="21"/>
      <c r="S797" s="21"/>
      <c r="T797" s="21"/>
    </row>
    <row r="798" customFormat="false" ht="15" hidden="false" customHeight="true" outlineLevel="0" collapsed="false">
      <c r="A798" s="21"/>
      <c r="B798" s="21"/>
      <c r="C798" s="21"/>
      <c r="D798" s="21"/>
      <c r="E798" s="21"/>
      <c r="F798" s="21"/>
      <c r="G798" s="21"/>
      <c r="I798" s="21"/>
      <c r="J798" s="21"/>
      <c r="K798" s="21"/>
      <c r="L798" s="21"/>
      <c r="M798" s="21"/>
      <c r="N798" s="21"/>
      <c r="O798" s="21"/>
      <c r="Q798" s="21"/>
      <c r="R798" s="21"/>
      <c r="S798" s="21"/>
      <c r="T798" s="21"/>
    </row>
    <row r="799" customFormat="false" ht="15" hidden="false" customHeight="true" outlineLevel="0" collapsed="false">
      <c r="A799" s="21"/>
      <c r="B799" s="21"/>
      <c r="C799" s="21"/>
      <c r="D799" s="21"/>
      <c r="E799" s="21"/>
      <c r="F799" s="21"/>
      <c r="G799" s="21"/>
      <c r="I799" s="21"/>
      <c r="J799" s="21"/>
      <c r="K799" s="21"/>
      <c r="L799" s="21"/>
      <c r="M799" s="21"/>
      <c r="N799" s="21"/>
      <c r="O799" s="21"/>
      <c r="Q799" s="21"/>
      <c r="R799" s="21"/>
      <c r="S799" s="21"/>
      <c r="T799" s="21"/>
    </row>
    <row r="800" customFormat="false" ht="15" hidden="false" customHeight="true" outlineLevel="0" collapsed="false">
      <c r="A800" s="21"/>
      <c r="B800" s="21"/>
      <c r="C800" s="21"/>
      <c r="D800" s="21"/>
      <c r="E800" s="21"/>
      <c r="F800" s="21"/>
      <c r="G800" s="21"/>
      <c r="I800" s="21"/>
      <c r="J800" s="21"/>
      <c r="K800" s="21"/>
      <c r="L800" s="21"/>
      <c r="M800" s="21"/>
      <c r="N800" s="21"/>
      <c r="O800" s="21"/>
      <c r="Q800" s="21"/>
      <c r="R800" s="21"/>
      <c r="S800" s="21"/>
      <c r="T800" s="21"/>
    </row>
    <row r="801" customFormat="false" ht="15" hidden="false" customHeight="true" outlineLevel="0" collapsed="false">
      <c r="A801" s="21"/>
      <c r="B801" s="21"/>
      <c r="C801" s="21"/>
      <c r="D801" s="21"/>
      <c r="E801" s="21"/>
      <c r="F801" s="21"/>
      <c r="G801" s="21"/>
      <c r="I801" s="21"/>
      <c r="J801" s="21"/>
      <c r="K801" s="21"/>
      <c r="L801" s="21"/>
      <c r="M801" s="21"/>
      <c r="N801" s="21"/>
      <c r="O801" s="21"/>
      <c r="Q801" s="21"/>
      <c r="R801" s="21"/>
      <c r="S801" s="21"/>
      <c r="T801" s="21"/>
    </row>
    <row r="802" customFormat="false" ht="15" hidden="false" customHeight="true" outlineLevel="0" collapsed="false">
      <c r="A802" s="21"/>
      <c r="B802" s="21"/>
      <c r="C802" s="21"/>
      <c r="D802" s="21"/>
      <c r="E802" s="21"/>
      <c r="F802" s="21"/>
      <c r="G802" s="21"/>
      <c r="I802" s="21"/>
      <c r="J802" s="21"/>
      <c r="K802" s="21"/>
      <c r="L802" s="21"/>
      <c r="M802" s="21"/>
      <c r="N802" s="21"/>
      <c r="O802" s="21"/>
      <c r="Q802" s="21"/>
      <c r="R802" s="21"/>
      <c r="S802" s="21"/>
      <c r="T802" s="21"/>
    </row>
    <row r="803" customFormat="false" ht="15" hidden="false" customHeight="true" outlineLevel="0" collapsed="false">
      <c r="A803" s="21"/>
      <c r="B803" s="21"/>
      <c r="C803" s="21"/>
      <c r="D803" s="21"/>
      <c r="E803" s="21"/>
      <c r="F803" s="21"/>
      <c r="G803" s="21"/>
      <c r="I803" s="21"/>
      <c r="J803" s="21"/>
      <c r="K803" s="21"/>
      <c r="L803" s="21"/>
      <c r="M803" s="21"/>
      <c r="N803" s="21"/>
      <c r="O803" s="21"/>
      <c r="Q803" s="21"/>
      <c r="R803" s="21"/>
      <c r="S803" s="21"/>
      <c r="T803" s="21"/>
    </row>
    <row r="804" customFormat="false" ht="15" hidden="false" customHeight="true" outlineLevel="0" collapsed="false">
      <c r="A804" s="21"/>
      <c r="B804" s="21"/>
      <c r="C804" s="21"/>
      <c r="D804" s="21"/>
      <c r="E804" s="21"/>
      <c r="F804" s="21"/>
      <c r="G804" s="21"/>
      <c r="I804" s="21"/>
      <c r="J804" s="21"/>
      <c r="K804" s="21"/>
      <c r="L804" s="21"/>
      <c r="M804" s="21"/>
      <c r="N804" s="21"/>
      <c r="O804" s="21"/>
      <c r="Q804" s="21"/>
      <c r="R804" s="21"/>
      <c r="S804" s="21"/>
      <c r="T804" s="21"/>
    </row>
    <row r="805" customFormat="false" ht="15" hidden="false" customHeight="true" outlineLevel="0" collapsed="false">
      <c r="A805" s="21"/>
      <c r="B805" s="21"/>
      <c r="C805" s="21"/>
      <c r="D805" s="21"/>
      <c r="E805" s="21"/>
      <c r="F805" s="21"/>
      <c r="G805" s="21"/>
      <c r="I805" s="21"/>
      <c r="J805" s="21"/>
      <c r="K805" s="21"/>
      <c r="L805" s="21"/>
      <c r="M805" s="21"/>
      <c r="N805" s="21"/>
      <c r="O805" s="21"/>
      <c r="Q805" s="21"/>
      <c r="R805" s="21"/>
      <c r="S805" s="21"/>
      <c r="T805" s="21"/>
    </row>
    <row r="806" customFormat="false" ht="15" hidden="false" customHeight="true" outlineLevel="0" collapsed="false">
      <c r="A806" s="21"/>
      <c r="B806" s="21"/>
      <c r="C806" s="21"/>
      <c r="D806" s="21"/>
      <c r="E806" s="21"/>
      <c r="F806" s="21"/>
      <c r="G806" s="21"/>
      <c r="I806" s="21"/>
      <c r="J806" s="21"/>
      <c r="K806" s="21"/>
      <c r="L806" s="21"/>
      <c r="M806" s="21"/>
      <c r="N806" s="21"/>
      <c r="O806" s="21"/>
      <c r="Q806" s="21"/>
      <c r="R806" s="21"/>
      <c r="S806" s="21"/>
      <c r="T806" s="21"/>
    </row>
    <row r="807" customFormat="false" ht="15" hidden="false" customHeight="true" outlineLevel="0" collapsed="false">
      <c r="A807" s="21"/>
      <c r="B807" s="21"/>
      <c r="C807" s="21"/>
      <c r="D807" s="21"/>
      <c r="E807" s="21"/>
      <c r="F807" s="21"/>
      <c r="G807" s="21"/>
      <c r="I807" s="21"/>
      <c r="J807" s="21"/>
      <c r="K807" s="21"/>
      <c r="L807" s="21"/>
      <c r="M807" s="21"/>
      <c r="N807" s="21"/>
      <c r="O807" s="21"/>
      <c r="Q807" s="21"/>
      <c r="R807" s="21"/>
      <c r="S807" s="21"/>
      <c r="T807" s="21"/>
    </row>
    <row r="808" customFormat="false" ht="15" hidden="false" customHeight="true" outlineLevel="0" collapsed="false">
      <c r="A808" s="21"/>
      <c r="B808" s="21"/>
      <c r="C808" s="21"/>
      <c r="D808" s="21"/>
      <c r="E808" s="21"/>
      <c r="F808" s="21"/>
      <c r="G808" s="21"/>
      <c r="I808" s="21"/>
      <c r="J808" s="21"/>
      <c r="K808" s="21"/>
      <c r="L808" s="21"/>
      <c r="M808" s="21"/>
      <c r="N808" s="21"/>
      <c r="O808" s="21"/>
      <c r="Q808" s="21"/>
      <c r="R808" s="21"/>
      <c r="S808" s="21"/>
      <c r="T808" s="21"/>
    </row>
    <row r="809" customFormat="false" ht="15" hidden="false" customHeight="true" outlineLevel="0" collapsed="false">
      <c r="A809" s="21"/>
      <c r="B809" s="21"/>
      <c r="C809" s="21"/>
      <c r="D809" s="21"/>
      <c r="E809" s="21"/>
      <c r="F809" s="21"/>
      <c r="G809" s="21"/>
      <c r="I809" s="21"/>
      <c r="J809" s="21"/>
      <c r="K809" s="21"/>
      <c r="L809" s="21"/>
      <c r="M809" s="21"/>
      <c r="N809" s="21"/>
      <c r="O809" s="21"/>
      <c r="Q809" s="21"/>
      <c r="R809" s="21"/>
      <c r="S809" s="21"/>
      <c r="T809" s="21"/>
    </row>
    <row r="810" customFormat="false" ht="15" hidden="false" customHeight="true" outlineLevel="0" collapsed="false">
      <c r="A810" s="21"/>
      <c r="B810" s="21"/>
      <c r="C810" s="21"/>
      <c r="D810" s="21"/>
      <c r="E810" s="21"/>
      <c r="F810" s="21"/>
      <c r="G810" s="21"/>
      <c r="I810" s="21"/>
      <c r="J810" s="21"/>
      <c r="K810" s="21"/>
      <c r="L810" s="21"/>
      <c r="M810" s="21"/>
      <c r="N810" s="21"/>
      <c r="O810" s="21"/>
      <c r="Q810" s="21"/>
      <c r="R810" s="21"/>
      <c r="S810" s="21"/>
      <c r="T810" s="21"/>
    </row>
    <row r="811" customFormat="false" ht="15" hidden="false" customHeight="true" outlineLevel="0" collapsed="false">
      <c r="A811" s="21"/>
      <c r="B811" s="21"/>
      <c r="C811" s="21"/>
      <c r="D811" s="21"/>
      <c r="E811" s="21"/>
      <c r="F811" s="21"/>
      <c r="G811" s="21"/>
      <c r="I811" s="21"/>
      <c r="J811" s="21"/>
      <c r="K811" s="21"/>
      <c r="L811" s="21"/>
      <c r="M811" s="21"/>
      <c r="N811" s="21"/>
      <c r="O811" s="21"/>
      <c r="Q811" s="21"/>
      <c r="R811" s="21"/>
      <c r="S811" s="21"/>
      <c r="T811" s="21"/>
    </row>
    <row r="812" customFormat="false" ht="15" hidden="false" customHeight="true" outlineLevel="0" collapsed="false">
      <c r="A812" s="21"/>
      <c r="B812" s="21"/>
      <c r="C812" s="21"/>
      <c r="D812" s="21"/>
      <c r="E812" s="21"/>
      <c r="F812" s="21"/>
      <c r="G812" s="21"/>
      <c r="I812" s="21"/>
      <c r="J812" s="21"/>
      <c r="K812" s="21"/>
      <c r="L812" s="21"/>
      <c r="M812" s="21"/>
      <c r="N812" s="21"/>
      <c r="O812" s="21"/>
      <c r="Q812" s="21"/>
      <c r="R812" s="21"/>
      <c r="S812" s="21"/>
      <c r="T812" s="21"/>
    </row>
    <row r="813" customFormat="false" ht="15" hidden="false" customHeight="true" outlineLevel="0" collapsed="false">
      <c r="A813" s="21"/>
      <c r="B813" s="21"/>
      <c r="C813" s="21"/>
      <c r="D813" s="21"/>
      <c r="E813" s="21"/>
      <c r="F813" s="21"/>
      <c r="G813" s="21"/>
      <c r="I813" s="21"/>
      <c r="J813" s="21"/>
      <c r="K813" s="21"/>
      <c r="L813" s="21"/>
      <c r="M813" s="21"/>
      <c r="N813" s="21"/>
      <c r="O813" s="21"/>
      <c r="Q813" s="21"/>
      <c r="R813" s="21"/>
      <c r="S813" s="21"/>
      <c r="T813" s="21"/>
    </row>
    <row r="814" customFormat="false" ht="15" hidden="false" customHeight="true" outlineLevel="0" collapsed="false">
      <c r="A814" s="21"/>
      <c r="B814" s="21"/>
      <c r="C814" s="21"/>
      <c r="D814" s="21"/>
      <c r="E814" s="21"/>
      <c r="F814" s="21"/>
      <c r="G814" s="21"/>
      <c r="I814" s="21"/>
      <c r="J814" s="21"/>
      <c r="K814" s="21"/>
      <c r="L814" s="21"/>
      <c r="M814" s="21"/>
      <c r="N814" s="21"/>
      <c r="O814" s="21"/>
      <c r="Q814" s="21"/>
      <c r="R814" s="21"/>
      <c r="S814" s="21"/>
      <c r="T814" s="21"/>
    </row>
    <row r="815" customFormat="false" ht="15" hidden="false" customHeight="true" outlineLevel="0" collapsed="false">
      <c r="A815" s="21"/>
      <c r="B815" s="21"/>
      <c r="C815" s="21"/>
      <c r="D815" s="21"/>
      <c r="E815" s="21"/>
      <c r="F815" s="21"/>
      <c r="G815" s="21"/>
      <c r="I815" s="21"/>
      <c r="J815" s="21"/>
      <c r="K815" s="21"/>
      <c r="L815" s="21"/>
      <c r="M815" s="21"/>
      <c r="N815" s="21"/>
      <c r="O815" s="21"/>
      <c r="Q815" s="21"/>
      <c r="R815" s="21"/>
      <c r="S815" s="21"/>
      <c r="T815" s="21"/>
    </row>
    <row r="816" customFormat="false" ht="15" hidden="false" customHeight="true" outlineLevel="0" collapsed="false">
      <c r="A816" s="21"/>
      <c r="B816" s="21"/>
      <c r="C816" s="21"/>
      <c r="D816" s="21"/>
      <c r="E816" s="21"/>
      <c r="F816" s="21"/>
      <c r="G816" s="21"/>
      <c r="I816" s="21"/>
      <c r="J816" s="21"/>
      <c r="K816" s="21"/>
      <c r="L816" s="21"/>
      <c r="M816" s="21"/>
      <c r="N816" s="21"/>
      <c r="O816" s="21"/>
      <c r="Q816" s="21"/>
      <c r="R816" s="21"/>
      <c r="S816" s="21"/>
      <c r="T816" s="21"/>
    </row>
    <row r="817" customFormat="false" ht="15" hidden="false" customHeight="true" outlineLevel="0" collapsed="false">
      <c r="A817" s="21"/>
      <c r="B817" s="21"/>
      <c r="C817" s="21"/>
      <c r="D817" s="21"/>
      <c r="E817" s="21"/>
      <c r="F817" s="21"/>
      <c r="G817" s="21"/>
      <c r="I817" s="21"/>
      <c r="J817" s="21"/>
      <c r="K817" s="21"/>
      <c r="L817" s="21"/>
      <c r="M817" s="21"/>
      <c r="N817" s="21"/>
      <c r="O817" s="21"/>
      <c r="Q817" s="21"/>
      <c r="R817" s="21"/>
      <c r="S817" s="21"/>
      <c r="T817" s="21"/>
    </row>
    <row r="818" customFormat="false" ht="15" hidden="false" customHeight="true" outlineLevel="0" collapsed="false">
      <c r="A818" s="21"/>
      <c r="B818" s="21"/>
      <c r="C818" s="21"/>
      <c r="D818" s="21"/>
      <c r="E818" s="21"/>
      <c r="F818" s="21"/>
      <c r="G818" s="21"/>
      <c r="I818" s="21"/>
      <c r="J818" s="21"/>
      <c r="K818" s="21"/>
      <c r="L818" s="21"/>
      <c r="M818" s="21"/>
      <c r="N818" s="21"/>
      <c r="O818" s="21"/>
      <c r="Q818" s="21"/>
      <c r="R818" s="21"/>
      <c r="S818" s="21"/>
      <c r="T818" s="21"/>
    </row>
    <row r="819" customFormat="false" ht="15" hidden="false" customHeight="true" outlineLevel="0" collapsed="false">
      <c r="A819" s="21"/>
      <c r="B819" s="21"/>
      <c r="C819" s="21"/>
      <c r="D819" s="21"/>
      <c r="E819" s="21"/>
      <c r="F819" s="21"/>
      <c r="G819" s="21"/>
      <c r="I819" s="21"/>
      <c r="J819" s="21"/>
      <c r="K819" s="21"/>
      <c r="L819" s="21"/>
      <c r="M819" s="21"/>
      <c r="N819" s="21"/>
      <c r="O819" s="21"/>
      <c r="Q819" s="21"/>
      <c r="R819" s="21"/>
      <c r="S819" s="21"/>
      <c r="T819" s="21"/>
    </row>
    <row r="820" customFormat="false" ht="15" hidden="false" customHeight="true" outlineLevel="0" collapsed="false">
      <c r="A820" s="21"/>
      <c r="B820" s="21"/>
      <c r="C820" s="21"/>
      <c r="D820" s="21"/>
      <c r="E820" s="21"/>
      <c r="F820" s="21"/>
      <c r="G820" s="21"/>
      <c r="I820" s="21"/>
      <c r="J820" s="21"/>
      <c r="K820" s="21"/>
      <c r="L820" s="21"/>
      <c r="M820" s="21"/>
      <c r="N820" s="21"/>
      <c r="O820" s="21"/>
      <c r="Q820" s="21"/>
      <c r="R820" s="21"/>
      <c r="S820" s="21"/>
      <c r="T820" s="21"/>
    </row>
    <row r="821" customFormat="false" ht="15" hidden="false" customHeight="true" outlineLevel="0" collapsed="false">
      <c r="A821" s="21"/>
      <c r="B821" s="21"/>
      <c r="C821" s="21"/>
      <c r="D821" s="21"/>
      <c r="E821" s="21"/>
      <c r="F821" s="21"/>
      <c r="G821" s="21"/>
      <c r="I821" s="21"/>
      <c r="J821" s="21"/>
      <c r="K821" s="21"/>
      <c r="L821" s="21"/>
      <c r="M821" s="21"/>
      <c r="N821" s="21"/>
      <c r="O821" s="21"/>
      <c r="Q821" s="21"/>
      <c r="R821" s="21"/>
      <c r="S821" s="21"/>
      <c r="T821" s="21"/>
    </row>
    <row r="822" customFormat="false" ht="15" hidden="false" customHeight="true" outlineLevel="0" collapsed="false">
      <c r="A822" s="21"/>
      <c r="B822" s="21"/>
      <c r="C822" s="21"/>
      <c r="D822" s="21"/>
      <c r="E822" s="21"/>
      <c r="F822" s="21"/>
      <c r="G822" s="21"/>
      <c r="I822" s="21"/>
      <c r="J822" s="21"/>
      <c r="K822" s="21"/>
      <c r="L822" s="21"/>
      <c r="M822" s="21"/>
      <c r="N822" s="21"/>
      <c r="O822" s="21"/>
      <c r="Q822" s="21"/>
      <c r="R822" s="21"/>
      <c r="S822" s="21"/>
      <c r="T822" s="21"/>
    </row>
    <row r="823" customFormat="false" ht="15" hidden="false" customHeight="true" outlineLevel="0" collapsed="false">
      <c r="A823" s="21"/>
      <c r="B823" s="21"/>
      <c r="C823" s="21"/>
      <c r="D823" s="21"/>
      <c r="E823" s="21"/>
      <c r="F823" s="21"/>
      <c r="G823" s="21"/>
      <c r="I823" s="21"/>
      <c r="J823" s="21"/>
      <c r="K823" s="21"/>
      <c r="L823" s="21"/>
      <c r="M823" s="21"/>
      <c r="N823" s="21"/>
      <c r="O823" s="21"/>
      <c r="Q823" s="21"/>
      <c r="R823" s="21"/>
      <c r="S823" s="21"/>
      <c r="T823" s="21"/>
    </row>
    <row r="824" customFormat="false" ht="15" hidden="false" customHeight="true" outlineLevel="0" collapsed="false">
      <c r="A824" s="21"/>
      <c r="B824" s="21"/>
      <c r="C824" s="21"/>
      <c r="D824" s="21"/>
      <c r="E824" s="21"/>
      <c r="F824" s="21"/>
      <c r="G824" s="21"/>
      <c r="I824" s="21"/>
      <c r="J824" s="21"/>
      <c r="K824" s="21"/>
      <c r="L824" s="21"/>
      <c r="M824" s="21"/>
      <c r="N824" s="21"/>
      <c r="O824" s="21"/>
      <c r="Q824" s="21"/>
      <c r="R824" s="21"/>
      <c r="S824" s="21"/>
      <c r="T824" s="21"/>
    </row>
    <row r="825" customFormat="false" ht="15" hidden="false" customHeight="true" outlineLevel="0" collapsed="false">
      <c r="A825" s="21"/>
      <c r="B825" s="21"/>
      <c r="C825" s="21"/>
      <c r="D825" s="21"/>
      <c r="E825" s="21"/>
      <c r="F825" s="21"/>
      <c r="G825" s="21"/>
      <c r="I825" s="21"/>
      <c r="J825" s="21"/>
      <c r="K825" s="21"/>
      <c r="L825" s="21"/>
      <c r="M825" s="21"/>
      <c r="N825" s="21"/>
      <c r="O825" s="21"/>
      <c r="Q825" s="21"/>
      <c r="R825" s="21"/>
      <c r="S825" s="21"/>
      <c r="T825" s="21"/>
    </row>
    <row r="826" customFormat="false" ht="15" hidden="false" customHeight="true" outlineLevel="0" collapsed="false">
      <c r="A826" s="21"/>
      <c r="B826" s="21"/>
      <c r="C826" s="21"/>
      <c r="D826" s="21"/>
      <c r="E826" s="21"/>
      <c r="F826" s="21"/>
      <c r="G826" s="21"/>
      <c r="I826" s="21"/>
      <c r="J826" s="21"/>
      <c r="K826" s="21"/>
      <c r="L826" s="21"/>
      <c r="M826" s="21"/>
      <c r="N826" s="21"/>
      <c r="O826" s="21"/>
      <c r="Q826" s="21"/>
      <c r="R826" s="21"/>
      <c r="S826" s="21"/>
      <c r="T826" s="21"/>
    </row>
    <row r="827" customFormat="false" ht="15" hidden="false" customHeight="true" outlineLevel="0" collapsed="false">
      <c r="A827" s="21"/>
      <c r="B827" s="21"/>
      <c r="C827" s="21"/>
      <c r="D827" s="21"/>
      <c r="E827" s="21"/>
      <c r="F827" s="21"/>
      <c r="G827" s="21"/>
      <c r="I827" s="21"/>
      <c r="J827" s="21"/>
      <c r="K827" s="21"/>
      <c r="L827" s="21"/>
      <c r="M827" s="21"/>
      <c r="N827" s="21"/>
      <c r="O827" s="21"/>
      <c r="Q827" s="21"/>
      <c r="R827" s="21"/>
      <c r="S827" s="21"/>
      <c r="T827" s="21"/>
    </row>
    <row r="828" customFormat="false" ht="15" hidden="false" customHeight="true" outlineLevel="0" collapsed="false">
      <c r="A828" s="21"/>
      <c r="B828" s="21"/>
      <c r="C828" s="21"/>
      <c r="D828" s="21"/>
      <c r="E828" s="21"/>
      <c r="F828" s="21"/>
      <c r="G828" s="21"/>
      <c r="I828" s="21"/>
      <c r="J828" s="21"/>
      <c r="K828" s="21"/>
      <c r="L828" s="21"/>
      <c r="M828" s="21"/>
      <c r="N828" s="21"/>
      <c r="O828" s="21"/>
      <c r="Q828" s="21"/>
      <c r="R828" s="21"/>
      <c r="S828" s="21"/>
      <c r="T828" s="21"/>
    </row>
    <row r="829" customFormat="false" ht="15" hidden="false" customHeight="true" outlineLevel="0" collapsed="false">
      <c r="A829" s="21"/>
      <c r="B829" s="21"/>
      <c r="C829" s="21"/>
      <c r="D829" s="21"/>
      <c r="E829" s="21"/>
      <c r="F829" s="21"/>
      <c r="G829" s="21"/>
      <c r="I829" s="21"/>
      <c r="J829" s="21"/>
      <c r="K829" s="21"/>
      <c r="L829" s="21"/>
      <c r="M829" s="21"/>
      <c r="N829" s="21"/>
      <c r="O829" s="21"/>
      <c r="Q829" s="21"/>
      <c r="R829" s="21"/>
      <c r="S829" s="21"/>
      <c r="T829" s="21"/>
    </row>
    <row r="830" customFormat="false" ht="15" hidden="false" customHeight="true" outlineLevel="0" collapsed="false">
      <c r="A830" s="21"/>
      <c r="B830" s="21"/>
      <c r="C830" s="21"/>
      <c r="D830" s="21"/>
      <c r="E830" s="21"/>
      <c r="F830" s="21"/>
      <c r="G830" s="21"/>
      <c r="I830" s="21"/>
      <c r="J830" s="21"/>
      <c r="K830" s="21"/>
      <c r="L830" s="21"/>
      <c r="M830" s="21"/>
      <c r="N830" s="21"/>
      <c r="O830" s="21"/>
      <c r="Q830" s="21"/>
      <c r="R830" s="21"/>
      <c r="S830" s="21"/>
      <c r="T830" s="21"/>
    </row>
    <row r="831" customFormat="false" ht="15" hidden="false" customHeight="true" outlineLevel="0" collapsed="false">
      <c r="A831" s="21"/>
      <c r="B831" s="21"/>
      <c r="C831" s="21"/>
      <c r="D831" s="21"/>
      <c r="E831" s="21"/>
      <c r="F831" s="21"/>
      <c r="G831" s="21"/>
      <c r="I831" s="21"/>
      <c r="J831" s="21"/>
      <c r="K831" s="21"/>
      <c r="L831" s="21"/>
      <c r="M831" s="21"/>
      <c r="N831" s="21"/>
      <c r="O831" s="21"/>
      <c r="Q831" s="21"/>
      <c r="R831" s="21"/>
      <c r="S831" s="21"/>
      <c r="T831" s="21"/>
    </row>
    <row r="832" customFormat="false" ht="15" hidden="false" customHeight="true" outlineLevel="0" collapsed="false">
      <c r="A832" s="21"/>
      <c r="B832" s="21"/>
      <c r="C832" s="21"/>
      <c r="D832" s="21"/>
      <c r="E832" s="21"/>
      <c r="F832" s="21"/>
      <c r="G832" s="21"/>
      <c r="I832" s="21"/>
      <c r="J832" s="21"/>
      <c r="K832" s="21"/>
      <c r="L832" s="21"/>
      <c r="M832" s="21"/>
      <c r="N832" s="21"/>
      <c r="O832" s="21"/>
      <c r="Q832" s="21"/>
      <c r="R832" s="21"/>
      <c r="S832" s="21"/>
      <c r="T832" s="21"/>
    </row>
    <row r="833" customFormat="false" ht="15" hidden="false" customHeight="true" outlineLevel="0" collapsed="false">
      <c r="A833" s="21"/>
      <c r="B833" s="21"/>
      <c r="C833" s="21"/>
      <c r="D833" s="21"/>
      <c r="E833" s="21"/>
      <c r="F833" s="21"/>
      <c r="G833" s="21"/>
      <c r="I833" s="21"/>
      <c r="J833" s="21"/>
      <c r="K833" s="21"/>
      <c r="L833" s="21"/>
      <c r="M833" s="21"/>
      <c r="N833" s="21"/>
      <c r="O833" s="21"/>
      <c r="Q833" s="21"/>
      <c r="R833" s="21"/>
      <c r="S833" s="21"/>
      <c r="T833" s="21"/>
    </row>
    <row r="834" customFormat="false" ht="15" hidden="false" customHeight="true" outlineLevel="0" collapsed="false">
      <c r="A834" s="21"/>
      <c r="B834" s="21"/>
      <c r="C834" s="21"/>
      <c r="D834" s="21"/>
      <c r="E834" s="21"/>
      <c r="F834" s="21"/>
      <c r="G834" s="21"/>
      <c r="I834" s="21"/>
      <c r="J834" s="21"/>
      <c r="K834" s="21"/>
      <c r="L834" s="21"/>
      <c r="M834" s="21"/>
      <c r="N834" s="21"/>
      <c r="O834" s="21"/>
      <c r="Q834" s="21"/>
      <c r="R834" s="21"/>
      <c r="S834" s="21"/>
      <c r="T834" s="21"/>
    </row>
    <row r="835" customFormat="false" ht="15" hidden="false" customHeight="true" outlineLevel="0" collapsed="false">
      <c r="A835" s="21"/>
      <c r="B835" s="21"/>
      <c r="C835" s="21"/>
      <c r="D835" s="21"/>
      <c r="E835" s="21"/>
      <c r="F835" s="21"/>
      <c r="G835" s="21"/>
      <c r="I835" s="21"/>
      <c r="J835" s="21"/>
      <c r="K835" s="21"/>
      <c r="L835" s="21"/>
      <c r="M835" s="21"/>
      <c r="N835" s="21"/>
      <c r="O835" s="21"/>
      <c r="Q835" s="21"/>
      <c r="R835" s="21"/>
      <c r="S835" s="21"/>
      <c r="T835" s="21"/>
    </row>
    <row r="836" customFormat="false" ht="15" hidden="false" customHeight="true" outlineLevel="0" collapsed="false">
      <c r="A836" s="21"/>
      <c r="B836" s="21"/>
      <c r="C836" s="21"/>
      <c r="D836" s="21"/>
      <c r="E836" s="21"/>
      <c r="F836" s="21"/>
      <c r="G836" s="21"/>
      <c r="I836" s="21"/>
      <c r="J836" s="21"/>
      <c r="K836" s="21"/>
      <c r="L836" s="21"/>
      <c r="M836" s="21"/>
      <c r="N836" s="21"/>
      <c r="O836" s="21"/>
      <c r="Q836" s="21"/>
      <c r="R836" s="21"/>
      <c r="S836" s="21"/>
      <c r="T836" s="21"/>
    </row>
    <row r="837" customFormat="false" ht="15" hidden="false" customHeight="true" outlineLevel="0" collapsed="false">
      <c r="A837" s="21"/>
      <c r="B837" s="21"/>
      <c r="C837" s="21"/>
      <c r="D837" s="21"/>
      <c r="E837" s="21"/>
      <c r="F837" s="21"/>
      <c r="G837" s="21"/>
      <c r="I837" s="21"/>
      <c r="J837" s="21"/>
      <c r="K837" s="21"/>
      <c r="L837" s="21"/>
      <c r="M837" s="21"/>
      <c r="N837" s="21"/>
      <c r="O837" s="21"/>
      <c r="Q837" s="21"/>
      <c r="R837" s="21"/>
      <c r="S837" s="21"/>
      <c r="T837" s="21"/>
    </row>
    <row r="838" customFormat="false" ht="15" hidden="false" customHeight="true" outlineLevel="0" collapsed="false">
      <c r="A838" s="21"/>
      <c r="B838" s="21"/>
      <c r="C838" s="21"/>
      <c r="D838" s="21"/>
      <c r="E838" s="21"/>
      <c r="F838" s="21"/>
      <c r="G838" s="21"/>
      <c r="I838" s="21"/>
      <c r="J838" s="21"/>
      <c r="K838" s="21"/>
      <c r="L838" s="21"/>
      <c r="M838" s="21"/>
      <c r="N838" s="21"/>
      <c r="O838" s="21"/>
      <c r="Q838" s="21"/>
      <c r="R838" s="21"/>
      <c r="S838" s="21"/>
      <c r="T838" s="21"/>
    </row>
    <row r="839" customFormat="false" ht="15" hidden="false" customHeight="true" outlineLevel="0" collapsed="false">
      <c r="A839" s="21"/>
      <c r="B839" s="21"/>
      <c r="C839" s="21"/>
      <c r="D839" s="21"/>
      <c r="E839" s="21"/>
      <c r="F839" s="21"/>
      <c r="G839" s="21"/>
      <c r="I839" s="21"/>
      <c r="J839" s="21"/>
      <c r="K839" s="21"/>
      <c r="L839" s="21"/>
      <c r="M839" s="21"/>
      <c r="N839" s="21"/>
      <c r="O839" s="21"/>
      <c r="Q839" s="21"/>
      <c r="R839" s="21"/>
      <c r="S839" s="21"/>
      <c r="T839" s="21"/>
    </row>
    <row r="840" customFormat="false" ht="15" hidden="false" customHeight="true" outlineLevel="0" collapsed="false">
      <c r="A840" s="21"/>
      <c r="B840" s="21"/>
      <c r="C840" s="21"/>
      <c r="D840" s="21"/>
      <c r="E840" s="21"/>
      <c r="F840" s="21"/>
      <c r="G840" s="21"/>
      <c r="I840" s="21"/>
      <c r="J840" s="21"/>
      <c r="K840" s="21"/>
      <c r="L840" s="21"/>
      <c r="M840" s="21"/>
      <c r="N840" s="21"/>
      <c r="O840" s="21"/>
      <c r="Q840" s="21"/>
      <c r="R840" s="21"/>
      <c r="S840" s="21"/>
      <c r="T840" s="21"/>
    </row>
    <row r="841" customFormat="false" ht="15" hidden="false" customHeight="true" outlineLevel="0" collapsed="false">
      <c r="A841" s="21"/>
      <c r="B841" s="21"/>
      <c r="C841" s="21"/>
      <c r="D841" s="21"/>
      <c r="E841" s="21"/>
      <c r="F841" s="21"/>
      <c r="G841" s="21"/>
      <c r="I841" s="21"/>
      <c r="J841" s="21"/>
      <c r="K841" s="21"/>
      <c r="L841" s="21"/>
      <c r="M841" s="21"/>
      <c r="N841" s="21"/>
      <c r="O841" s="21"/>
      <c r="Q841" s="21"/>
      <c r="R841" s="21"/>
      <c r="S841" s="21"/>
      <c r="T841" s="21"/>
    </row>
    <row r="842" customFormat="false" ht="15" hidden="false" customHeight="true" outlineLevel="0" collapsed="false">
      <c r="A842" s="21"/>
      <c r="B842" s="21"/>
      <c r="C842" s="21"/>
      <c r="D842" s="21"/>
      <c r="E842" s="21"/>
      <c r="F842" s="21"/>
      <c r="G842" s="21"/>
      <c r="I842" s="21"/>
      <c r="J842" s="21"/>
      <c r="K842" s="21"/>
      <c r="L842" s="21"/>
      <c r="M842" s="21"/>
      <c r="N842" s="21"/>
      <c r="O842" s="21"/>
      <c r="Q842" s="21"/>
      <c r="R842" s="21"/>
      <c r="S842" s="21"/>
      <c r="T842" s="21"/>
    </row>
    <row r="843" customFormat="false" ht="15" hidden="false" customHeight="true" outlineLevel="0" collapsed="false">
      <c r="A843" s="21"/>
      <c r="B843" s="21"/>
      <c r="C843" s="21"/>
      <c r="D843" s="21"/>
      <c r="E843" s="21"/>
      <c r="F843" s="21"/>
      <c r="G843" s="21"/>
      <c r="I843" s="21"/>
      <c r="J843" s="21"/>
      <c r="K843" s="21"/>
      <c r="L843" s="21"/>
      <c r="M843" s="21"/>
      <c r="N843" s="21"/>
      <c r="O843" s="21"/>
      <c r="Q843" s="21"/>
      <c r="R843" s="21"/>
      <c r="S843" s="21"/>
      <c r="T843" s="21"/>
    </row>
    <row r="844" customFormat="false" ht="15" hidden="false" customHeight="true" outlineLevel="0" collapsed="false">
      <c r="A844" s="21"/>
      <c r="B844" s="21"/>
      <c r="C844" s="21"/>
      <c r="D844" s="21"/>
      <c r="E844" s="21"/>
      <c r="F844" s="21"/>
      <c r="G844" s="21"/>
      <c r="I844" s="21"/>
      <c r="J844" s="21"/>
      <c r="K844" s="21"/>
      <c r="L844" s="21"/>
      <c r="M844" s="21"/>
      <c r="N844" s="21"/>
      <c r="O844" s="21"/>
      <c r="Q844" s="21"/>
      <c r="R844" s="21"/>
      <c r="S844" s="21"/>
      <c r="T844" s="21"/>
    </row>
    <row r="845" customFormat="false" ht="15" hidden="false" customHeight="true" outlineLevel="0" collapsed="false">
      <c r="A845" s="21"/>
      <c r="B845" s="21"/>
      <c r="C845" s="21"/>
      <c r="D845" s="21"/>
      <c r="E845" s="21"/>
      <c r="F845" s="21"/>
      <c r="G845" s="21"/>
      <c r="I845" s="21"/>
      <c r="J845" s="21"/>
      <c r="K845" s="21"/>
      <c r="L845" s="21"/>
      <c r="M845" s="21"/>
      <c r="N845" s="21"/>
      <c r="O845" s="21"/>
      <c r="Q845" s="21"/>
      <c r="R845" s="21"/>
      <c r="S845" s="21"/>
      <c r="T845" s="21"/>
    </row>
    <row r="846" customFormat="false" ht="15" hidden="false" customHeight="true" outlineLevel="0" collapsed="false">
      <c r="A846" s="21"/>
      <c r="B846" s="21"/>
      <c r="C846" s="21"/>
      <c r="D846" s="21"/>
      <c r="E846" s="21"/>
      <c r="F846" s="21"/>
      <c r="G846" s="21"/>
      <c r="I846" s="21"/>
      <c r="J846" s="21"/>
      <c r="K846" s="21"/>
      <c r="L846" s="21"/>
      <c r="M846" s="21"/>
      <c r="N846" s="21"/>
      <c r="O846" s="21"/>
      <c r="Q846" s="21"/>
      <c r="R846" s="21"/>
      <c r="S846" s="21"/>
      <c r="T846" s="21"/>
    </row>
    <row r="847" customFormat="false" ht="15" hidden="false" customHeight="true" outlineLevel="0" collapsed="false">
      <c r="A847" s="21"/>
      <c r="B847" s="21"/>
      <c r="C847" s="21"/>
      <c r="D847" s="21"/>
      <c r="E847" s="21"/>
      <c r="F847" s="21"/>
      <c r="G847" s="21"/>
      <c r="I847" s="21"/>
      <c r="J847" s="21"/>
      <c r="K847" s="21"/>
      <c r="L847" s="21"/>
      <c r="M847" s="21"/>
      <c r="N847" s="21"/>
      <c r="O847" s="21"/>
      <c r="Q847" s="21"/>
      <c r="R847" s="21"/>
      <c r="S847" s="21"/>
      <c r="T847" s="21"/>
    </row>
    <row r="848" customFormat="false" ht="15" hidden="false" customHeight="true" outlineLevel="0" collapsed="false">
      <c r="A848" s="21"/>
      <c r="B848" s="21"/>
      <c r="C848" s="21"/>
      <c r="D848" s="21"/>
      <c r="E848" s="21"/>
      <c r="F848" s="21"/>
      <c r="G848" s="21"/>
      <c r="I848" s="21"/>
      <c r="J848" s="21"/>
      <c r="K848" s="21"/>
      <c r="L848" s="21"/>
      <c r="M848" s="21"/>
      <c r="N848" s="21"/>
      <c r="O848" s="21"/>
      <c r="Q848" s="21"/>
      <c r="R848" s="21"/>
      <c r="S848" s="21"/>
      <c r="T848" s="21"/>
    </row>
    <row r="849" customFormat="false" ht="15" hidden="false" customHeight="true" outlineLevel="0" collapsed="false">
      <c r="A849" s="21"/>
      <c r="B849" s="21"/>
      <c r="C849" s="21"/>
      <c r="D849" s="21"/>
      <c r="E849" s="21"/>
      <c r="F849" s="21"/>
      <c r="G849" s="21"/>
      <c r="I849" s="21"/>
      <c r="J849" s="21"/>
      <c r="K849" s="21"/>
      <c r="L849" s="21"/>
      <c r="M849" s="21"/>
      <c r="N849" s="21"/>
      <c r="O849" s="21"/>
      <c r="Q849" s="21"/>
      <c r="R849" s="21"/>
      <c r="S849" s="21"/>
      <c r="T849" s="21"/>
    </row>
    <row r="850" customFormat="false" ht="15" hidden="false" customHeight="true" outlineLevel="0" collapsed="false">
      <c r="A850" s="21"/>
      <c r="B850" s="21"/>
      <c r="C850" s="21"/>
      <c r="D850" s="21"/>
      <c r="E850" s="21"/>
      <c r="F850" s="21"/>
      <c r="G850" s="21"/>
      <c r="I850" s="21"/>
      <c r="J850" s="21"/>
      <c r="K850" s="21"/>
      <c r="L850" s="21"/>
      <c r="M850" s="21"/>
      <c r="N850" s="21"/>
      <c r="O850" s="21"/>
      <c r="Q850" s="21"/>
      <c r="R850" s="21"/>
      <c r="S850" s="21"/>
      <c r="T850" s="21"/>
    </row>
    <row r="851" customFormat="false" ht="15" hidden="false" customHeight="true" outlineLevel="0" collapsed="false">
      <c r="A851" s="21"/>
      <c r="B851" s="21"/>
      <c r="C851" s="21"/>
      <c r="D851" s="21"/>
      <c r="E851" s="21"/>
      <c r="F851" s="21"/>
      <c r="G851" s="21"/>
      <c r="I851" s="21"/>
      <c r="J851" s="21"/>
      <c r="K851" s="21"/>
      <c r="L851" s="21"/>
      <c r="M851" s="21"/>
      <c r="N851" s="21"/>
      <c r="O851" s="21"/>
      <c r="Q851" s="21"/>
      <c r="R851" s="21"/>
      <c r="S851" s="21"/>
      <c r="T851" s="21"/>
    </row>
    <row r="852" customFormat="false" ht="15" hidden="false" customHeight="true" outlineLevel="0" collapsed="false">
      <c r="A852" s="21"/>
      <c r="B852" s="21"/>
      <c r="C852" s="21"/>
      <c r="D852" s="21"/>
      <c r="E852" s="21"/>
      <c r="F852" s="21"/>
      <c r="G852" s="21"/>
      <c r="I852" s="21"/>
      <c r="J852" s="21"/>
      <c r="K852" s="21"/>
      <c r="L852" s="21"/>
      <c r="M852" s="21"/>
      <c r="N852" s="21"/>
      <c r="O852" s="21"/>
      <c r="Q852" s="21"/>
      <c r="R852" s="21"/>
      <c r="S852" s="21"/>
      <c r="T852" s="21"/>
    </row>
    <row r="853" customFormat="false" ht="15" hidden="false" customHeight="true" outlineLevel="0" collapsed="false">
      <c r="A853" s="21"/>
      <c r="B853" s="21"/>
      <c r="C853" s="21"/>
      <c r="D853" s="21"/>
      <c r="E853" s="21"/>
      <c r="F853" s="21"/>
      <c r="G853" s="21"/>
      <c r="I853" s="21"/>
      <c r="J853" s="21"/>
      <c r="K853" s="21"/>
      <c r="L853" s="21"/>
      <c r="M853" s="21"/>
      <c r="N853" s="21"/>
      <c r="O853" s="21"/>
      <c r="Q853" s="21"/>
      <c r="R853" s="21"/>
      <c r="S853" s="21"/>
      <c r="T853" s="21"/>
    </row>
    <row r="854" customFormat="false" ht="15" hidden="false" customHeight="true" outlineLevel="0" collapsed="false">
      <c r="A854" s="21"/>
      <c r="B854" s="21"/>
      <c r="C854" s="21"/>
      <c r="D854" s="21"/>
      <c r="E854" s="21"/>
      <c r="F854" s="21"/>
      <c r="G854" s="21"/>
      <c r="I854" s="21"/>
      <c r="J854" s="21"/>
      <c r="K854" s="21"/>
      <c r="L854" s="21"/>
      <c r="M854" s="21"/>
      <c r="N854" s="21"/>
      <c r="O854" s="21"/>
      <c r="Q854" s="21"/>
      <c r="R854" s="21"/>
      <c r="S854" s="21"/>
      <c r="T854" s="21"/>
    </row>
    <row r="855" customFormat="false" ht="15" hidden="false" customHeight="true" outlineLevel="0" collapsed="false">
      <c r="A855" s="21"/>
      <c r="B855" s="21"/>
      <c r="C855" s="21"/>
      <c r="D855" s="21"/>
      <c r="E855" s="21"/>
      <c r="F855" s="21"/>
      <c r="G855" s="21"/>
      <c r="I855" s="21"/>
      <c r="J855" s="21"/>
      <c r="K855" s="21"/>
      <c r="L855" s="21"/>
      <c r="M855" s="21"/>
      <c r="N855" s="21"/>
      <c r="O855" s="21"/>
      <c r="Q855" s="21"/>
      <c r="R855" s="21"/>
      <c r="S855" s="21"/>
      <c r="T855" s="21"/>
    </row>
    <row r="856" customFormat="false" ht="15" hidden="false" customHeight="true" outlineLevel="0" collapsed="false">
      <c r="A856" s="21"/>
      <c r="B856" s="21"/>
      <c r="C856" s="21"/>
      <c r="D856" s="21"/>
      <c r="E856" s="21"/>
      <c r="F856" s="21"/>
      <c r="G856" s="21"/>
      <c r="I856" s="21"/>
      <c r="J856" s="21"/>
      <c r="K856" s="21"/>
      <c r="L856" s="21"/>
      <c r="M856" s="21"/>
      <c r="N856" s="21"/>
      <c r="O856" s="21"/>
      <c r="Q856" s="21"/>
      <c r="R856" s="21"/>
      <c r="S856" s="21"/>
      <c r="T856" s="21"/>
    </row>
    <row r="857" customFormat="false" ht="15" hidden="false" customHeight="true" outlineLevel="0" collapsed="false">
      <c r="A857" s="21"/>
      <c r="B857" s="21"/>
      <c r="C857" s="21"/>
      <c r="D857" s="21"/>
      <c r="E857" s="21"/>
      <c r="F857" s="21"/>
      <c r="G857" s="21"/>
      <c r="I857" s="21"/>
      <c r="J857" s="21"/>
      <c r="K857" s="21"/>
      <c r="L857" s="21"/>
      <c r="M857" s="21"/>
      <c r="N857" s="21"/>
      <c r="O857" s="21"/>
      <c r="Q857" s="21"/>
      <c r="R857" s="21"/>
      <c r="S857" s="21"/>
      <c r="T857" s="21"/>
    </row>
    <row r="858" customFormat="false" ht="15" hidden="false" customHeight="true" outlineLevel="0" collapsed="false">
      <c r="A858" s="21"/>
      <c r="B858" s="21"/>
      <c r="C858" s="21"/>
      <c r="D858" s="21"/>
      <c r="E858" s="21"/>
      <c r="F858" s="21"/>
      <c r="G858" s="21"/>
      <c r="I858" s="21"/>
      <c r="J858" s="21"/>
      <c r="K858" s="21"/>
      <c r="L858" s="21"/>
      <c r="M858" s="21"/>
      <c r="N858" s="21"/>
      <c r="O858" s="21"/>
      <c r="Q858" s="21"/>
      <c r="R858" s="21"/>
      <c r="S858" s="21"/>
      <c r="T858" s="21"/>
    </row>
    <row r="859" customFormat="false" ht="15" hidden="false" customHeight="true" outlineLevel="0" collapsed="false">
      <c r="A859" s="21"/>
      <c r="B859" s="21"/>
      <c r="C859" s="21"/>
      <c r="D859" s="21"/>
      <c r="E859" s="21"/>
      <c r="F859" s="21"/>
      <c r="G859" s="21"/>
      <c r="I859" s="21"/>
      <c r="J859" s="21"/>
      <c r="K859" s="21"/>
      <c r="L859" s="21"/>
      <c r="M859" s="21"/>
      <c r="N859" s="21"/>
      <c r="O859" s="21"/>
      <c r="Q859" s="21"/>
      <c r="R859" s="21"/>
      <c r="S859" s="21"/>
      <c r="T859" s="21"/>
    </row>
    <row r="860" customFormat="false" ht="15" hidden="false" customHeight="true" outlineLevel="0" collapsed="false">
      <c r="A860" s="21"/>
      <c r="B860" s="21"/>
      <c r="C860" s="21"/>
      <c r="D860" s="21"/>
      <c r="E860" s="21"/>
      <c r="F860" s="21"/>
      <c r="G860" s="21"/>
      <c r="I860" s="21"/>
      <c r="J860" s="21"/>
      <c r="K860" s="21"/>
      <c r="L860" s="21"/>
      <c r="M860" s="21"/>
      <c r="N860" s="21"/>
      <c r="O860" s="21"/>
      <c r="Q860" s="21"/>
      <c r="R860" s="21"/>
      <c r="S860" s="21"/>
      <c r="T860" s="21"/>
    </row>
    <row r="861" customFormat="false" ht="15" hidden="false" customHeight="true" outlineLevel="0" collapsed="false">
      <c r="A861" s="21"/>
      <c r="B861" s="21"/>
      <c r="C861" s="21"/>
      <c r="D861" s="21"/>
      <c r="E861" s="21"/>
      <c r="F861" s="21"/>
      <c r="G861" s="21"/>
      <c r="I861" s="21"/>
      <c r="J861" s="21"/>
      <c r="K861" s="21"/>
      <c r="L861" s="21"/>
      <c r="M861" s="21"/>
      <c r="N861" s="21"/>
      <c r="O861" s="21"/>
      <c r="Q861" s="21"/>
      <c r="R861" s="21"/>
      <c r="S861" s="21"/>
      <c r="T861" s="21"/>
    </row>
    <row r="862" customFormat="false" ht="15" hidden="false" customHeight="true" outlineLevel="0" collapsed="false">
      <c r="A862" s="21"/>
      <c r="B862" s="21"/>
      <c r="C862" s="21"/>
      <c r="D862" s="21"/>
      <c r="E862" s="21"/>
      <c r="F862" s="21"/>
      <c r="G862" s="21"/>
      <c r="I862" s="21"/>
      <c r="J862" s="21"/>
      <c r="K862" s="21"/>
      <c r="L862" s="21"/>
      <c r="M862" s="21"/>
      <c r="N862" s="21"/>
      <c r="O862" s="21"/>
      <c r="Q862" s="21"/>
      <c r="R862" s="21"/>
      <c r="S862" s="21"/>
      <c r="T862" s="21"/>
    </row>
    <row r="863" customFormat="false" ht="15" hidden="false" customHeight="true" outlineLevel="0" collapsed="false">
      <c r="A863" s="21"/>
      <c r="B863" s="21"/>
      <c r="C863" s="21"/>
      <c r="D863" s="21"/>
      <c r="E863" s="21"/>
      <c r="F863" s="21"/>
      <c r="G863" s="21"/>
      <c r="I863" s="21"/>
      <c r="J863" s="21"/>
      <c r="K863" s="21"/>
      <c r="L863" s="21"/>
      <c r="M863" s="21"/>
      <c r="N863" s="21"/>
      <c r="O863" s="21"/>
      <c r="Q863" s="21"/>
      <c r="R863" s="21"/>
      <c r="S863" s="21"/>
      <c r="T863" s="21"/>
    </row>
    <row r="864" customFormat="false" ht="15" hidden="false" customHeight="true" outlineLevel="0" collapsed="false">
      <c r="A864" s="21"/>
      <c r="B864" s="21"/>
      <c r="C864" s="21"/>
      <c r="D864" s="21"/>
      <c r="E864" s="21"/>
      <c r="F864" s="21"/>
      <c r="G864" s="21"/>
      <c r="I864" s="21"/>
      <c r="J864" s="21"/>
      <c r="K864" s="21"/>
      <c r="L864" s="21"/>
      <c r="M864" s="21"/>
      <c r="N864" s="21"/>
      <c r="O864" s="21"/>
      <c r="Q864" s="21"/>
      <c r="R864" s="21"/>
      <c r="S864" s="21"/>
      <c r="T864" s="21"/>
    </row>
    <row r="865" customFormat="false" ht="15" hidden="false" customHeight="true" outlineLevel="0" collapsed="false">
      <c r="A865" s="21"/>
      <c r="B865" s="21"/>
      <c r="C865" s="21"/>
      <c r="D865" s="21"/>
      <c r="E865" s="21"/>
      <c r="F865" s="21"/>
      <c r="G865" s="21"/>
      <c r="I865" s="21"/>
      <c r="J865" s="21"/>
      <c r="K865" s="21"/>
      <c r="L865" s="21"/>
      <c r="M865" s="21"/>
      <c r="N865" s="21"/>
      <c r="O865" s="21"/>
      <c r="Q865" s="21"/>
      <c r="R865" s="21"/>
      <c r="S865" s="21"/>
      <c r="T865" s="21"/>
    </row>
    <row r="866" customFormat="false" ht="15" hidden="false" customHeight="true" outlineLevel="0" collapsed="false">
      <c r="A866" s="21"/>
      <c r="B866" s="21"/>
      <c r="C866" s="21"/>
      <c r="D866" s="21"/>
      <c r="E866" s="21"/>
      <c r="F866" s="21"/>
      <c r="G866" s="21"/>
      <c r="I866" s="21"/>
      <c r="J866" s="21"/>
      <c r="K866" s="21"/>
      <c r="L866" s="21"/>
      <c r="M866" s="21"/>
      <c r="N866" s="21"/>
      <c r="O866" s="21"/>
      <c r="Q866" s="21"/>
      <c r="R866" s="21"/>
      <c r="S866" s="21"/>
      <c r="T866" s="21"/>
    </row>
    <row r="867" customFormat="false" ht="15" hidden="false" customHeight="true" outlineLevel="0" collapsed="false">
      <c r="A867" s="21"/>
      <c r="B867" s="21"/>
      <c r="C867" s="21"/>
      <c r="D867" s="21"/>
      <c r="E867" s="21"/>
      <c r="F867" s="21"/>
      <c r="G867" s="21"/>
      <c r="I867" s="21"/>
      <c r="J867" s="21"/>
      <c r="K867" s="21"/>
      <c r="L867" s="21"/>
      <c r="M867" s="21"/>
      <c r="N867" s="21"/>
      <c r="O867" s="21"/>
      <c r="Q867" s="21"/>
      <c r="R867" s="21"/>
      <c r="S867" s="21"/>
      <c r="T867" s="21"/>
    </row>
    <row r="868" customFormat="false" ht="15" hidden="false" customHeight="true" outlineLevel="0" collapsed="false">
      <c r="A868" s="21"/>
      <c r="B868" s="21"/>
      <c r="C868" s="21"/>
      <c r="D868" s="21"/>
      <c r="E868" s="21"/>
      <c r="F868" s="21"/>
      <c r="G868" s="21"/>
      <c r="I868" s="21"/>
      <c r="J868" s="21"/>
      <c r="K868" s="21"/>
      <c r="L868" s="21"/>
      <c r="M868" s="21"/>
      <c r="N868" s="21"/>
      <c r="O868" s="21"/>
      <c r="Q868" s="21"/>
      <c r="R868" s="21"/>
      <c r="S868" s="21"/>
      <c r="T868" s="21"/>
    </row>
    <row r="869" customFormat="false" ht="15" hidden="false" customHeight="true" outlineLevel="0" collapsed="false">
      <c r="A869" s="21"/>
      <c r="B869" s="21"/>
      <c r="C869" s="21"/>
      <c r="D869" s="21"/>
      <c r="E869" s="21"/>
      <c r="F869" s="21"/>
      <c r="G869" s="21"/>
      <c r="I869" s="21"/>
      <c r="J869" s="21"/>
      <c r="K869" s="21"/>
      <c r="L869" s="21"/>
      <c r="M869" s="21"/>
      <c r="N869" s="21"/>
      <c r="O869" s="21"/>
      <c r="Q869" s="21"/>
      <c r="R869" s="21"/>
      <c r="S869" s="21"/>
      <c r="T869" s="21"/>
    </row>
    <row r="870" customFormat="false" ht="15" hidden="false" customHeight="true" outlineLevel="0" collapsed="false">
      <c r="A870" s="21"/>
      <c r="B870" s="21"/>
      <c r="C870" s="21"/>
      <c r="D870" s="21"/>
      <c r="E870" s="21"/>
      <c r="F870" s="21"/>
      <c r="G870" s="21"/>
      <c r="I870" s="21"/>
      <c r="J870" s="21"/>
      <c r="K870" s="21"/>
      <c r="L870" s="21"/>
      <c r="M870" s="21"/>
      <c r="N870" s="21"/>
      <c r="O870" s="21"/>
      <c r="Q870" s="21"/>
      <c r="R870" s="21"/>
      <c r="S870" s="21"/>
      <c r="T870" s="21"/>
    </row>
    <row r="871" customFormat="false" ht="15" hidden="false" customHeight="true" outlineLevel="0" collapsed="false">
      <c r="A871" s="21"/>
      <c r="B871" s="21"/>
      <c r="C871" s="21"/>
      <c r="D871" s="21"/>
      <c r="E871" s="21"/>
      <c r="F871" s="21"/>
      <c r="G871" s="21"/>
      <c r="I871" s="21"/>
      <c r="J871" s="21"/>
      <c r="K871" s="21"/>
      <c r="L871" s="21"/>
      <c r="M871" s="21"/>
      <c r="N871" s="21"/>
      <c r="O871" s="21"/>
      <c r="Q871" s="21"/>
      <c r="R871" s="21"/>
      <c r="S871" s="21"/>
      <c r="T871" s="21"/>
    </row>
    <row r="872" customFormat="false" ht="15" hidden="false" customHeight="true" outlineLevel="0" collapsed="false">
      <c r="A872" s="21"/>
      <c r="B872" s="21"/>
      <c r="C872" s="21"/>
      <c r="D872" s="21"/>
      <c r="E872" s="21"/>
      <c r="F872" s="21"/>
      <c r="G872" s="21"/>
      <c r="I872" s="21"/>
      <c r="J872" s="21"/>
      <c r="K872" s="21"/>
      <c r="L872" s="21"/>
      <c r="M872" s="21"/>
      <c r="N872" s="21"/>
      <c r="O872" s="21"/>
      <c r="Q872" s="21"/>
      <c r="R872" s="21"/>
      <c r="S872" s="21"/>
      <c r="T872" s="21"/>
    </row>
    <row r="873" customFormat="false" ht="15" hidden="false" customHeight="true" outlineLevel="0" collapsed="false">
      <c r="A873" s="21"/>
      <c r="B873" s="21"/>
      <c r="C873" s="21"/>
      <c r="D873" s="21"/>
      <c r="E873" s="21"/>
      <c r="F873" s="21"/>
      <c r="G873" s="21"/>
      <c r="I873" s="21"/>
      <c r="J873" s="21"/>
      <c r="K873" s="21"/>
      <c r="L873" s="21"/>
      <c r="M873" s="21"/>
      <c r="N873" s="21"/>
      <c r="O873" s="21"/>
      <c r="Q873" s="21"/>
      <c r="R873" s="21"/>
      <c r="S873" s="21"/>
      <c r="T873" s="21"/>
    </row>
    <row r="874" customFormat="false" ht="15" hidden="false" customHeight="true" outlineLevel="0" collapsed="false">
      <c r="A874" s="21"/>
      <c r="B874" s="21"/>
      <c r="C874" s="21"/>
      <c r="D874" s="21"/>
      <c r="E874" s="21"/>
      <c r="F874" s="21"/>
      <c r="G874" s="21"/>
      <c r="I874" s="21"/>
      <c r="J874" s="21"/>
      <c r="K874" s="21"/>
      <c r="L874" s="21"/>
      <c r="M874" s="21"/>
      <c r="N874" s="21"/>
      <c r="O874" s="21"/>
      <c r="Q874" s="21"/>
      <c r="R874" s="21"/>
      <c r="S874" s="21"/>
      <c r="T874" s="21"/>
    </row>
    <row r="875" customFormat="false" ht="15" hidden="false" customHeight="true" outlineLevel="0" collapsed="false">
      <c r="A875" s="21"/>
      <c r="B875" s="21"/>
      <c r="C875" s="21"/>
      <c r="D875" s="21"/>
      <c r="E875" s="21"/>
      <c r="F875" s="21"/>
      <c r="G875" s="21"/>
      <c r="I875" s="21"/>
      <c r="J875" s="21"/>
      <c r="K875" s="21"/>
      <c r="L875" s="21"/>
      <c r="M875" s="21"/>
      <c r="N875" s="21"/>
      <c r="O875" s="21"/>
      <c r="Q875" s="21"/>
      <c r="R875" s="21"/>
      <c r="S875" s="21"/>
      <c r="T875" s="21"/>
    </row>
    <row r="876" customFormat="false" ht="15" hidden="false" customHeight="true" outlineLevel="0" collapsed="false">
      <c r="A876" s="21"/>
      <c r="B876" s="21"/>
      <c r="C876" s="21"/>
      <c r="D876" s="21"/>
      <c r="E876" s="21"/>
      <c r="F876" s="21"/>
      <c r="G876" s="21"/>
      <c r="I876" s="21"/>
      <c r="J876" s="21"/>
      <c r="K876" s="21"/>
      <c r="L876" s="21"/>
      <c r="M876" s="21"/>
      <c r="N876" s="21"/>
      <c r="O876" s="21"/>
      <c r="Q876" s="21"/>
      <c r="R876" s="21"/>
      <c r="S876" s="21"/>
      <c r="T876" s="21"/>
    </row>
    <row r="877" customFormat="false" ht="15" hidden="false" customHeight="true" outlineLevel="0" collapsed="false">
      <c r="A877" s="21"/>
      <c r="B877" s="21"/>
      <c r="C877" s="21"/>
      <c r="D877" s="21"/>
      <c r="E877" s="21"/>
      <c r="F877" s="21"/>
      <c r="G877" s="21"/>
      <c r="I877" s="21"/>
      <c r="J877" s="21"/>
      <c r="K877" s="21"/>
      <c r="L877" s="21"/>
      <c r="M877" s="21"/>
      <c r="N877" s="21"/>
      <c r="O877" s="21"/>
      <c r="Q877" s="21"/>
      <c r="R877" s="21"/>
      <c r="S877" s="21"/>
      <c r="T877" s="21"/>
    </row>
    <row r="878" customFormat="false" ht="15" hidden="false" customHeight="true" outlineLevel="0" collapsed="false">
      <c r="A878" s="21"/>
      <c r="B878" s="21"/>
      <c r="C878" s="21"/>
      <c r="D878" s="21"/>
      <c r="E878" s="21"/>
      <c r="F878" s="21"/>
      <c r="G878" s="21"/>
      <c r="I878" s="21"/>
      <c r="J878" s="21"/>
      <c r="K878" s="21"/>
      <c r="L878" s="21"/>
      <c r="M878" s="21"/>
      <c r="N878" s="21"/>
      <c r="O878" s="21"/>
      <c r="Q878" s="21"/>
      <c r="R878" s="21"/>
      <c r="S878" s="21"/>
      <c r="T878" s="21"/>
    </row>
    <row r="879" customFormat="false" ht="15" hidden="false" customHeight="true" outlineLevel="0" collapsed="false">
      <c r="A879" s="21"/>
      <c r="B879" s="21"/>
      <c r="C879" s="21"/>
      <c r="D879" s="21"/>
      <c r="E879" s="21"/>
      <c r="F879" s="21"/>
      <c r="G879" s="21"/>
      <c r="I879" s="21"/>
      <c r="J879" s="21"/>
      <c r="K879" s="21"/>
      <c r="L879" s="21"/>
      <c r="M879" s="21"/>
      <c r="N879" s="21"/>
      <c r="O879" s="21"/>
      <c r="Q879" s="21"/>
      <c r="R879" s="21"/>
      <c r="S879" s="21"/>
      <c r="T879" s="21"/>
    </row>
    <row r="880" customFormat="false" ht="15" hidden="false" customHeight="true" outlineLevel="0" collapsed="false">
      <c r="A880" s="21"/>
      <c r="B880" s="21"/>
      <c r="C880" s="21"/>
      <c r="D880" s="21"/>
      <c r="E880" s="21"/>
      <c r="F880" s="21"/>
      <c r="G880" s="21"/>
      <c r="I880" s="21"/>
      <c r="J880" s="21"/>
      <c r="K880" s="21"/>
      <c r="L880" s="21"/>
      <c r="M880" s="21"/>
      <c r="N880" s="21"/>
      <c r="O880" s="21"/>
      <c r="Q880" s="21"/>
      <c r="R880" s="21"/>
      <c r="S880" s="21"/>
      <c r="T880" s="21"/>
    </row>
    <row r="881" customFormat="false" ht="15" hidden="false" customHeight="true" outlineLevel="0" collapsed="false">
      <c r="A881" s="21"/>
      <c r="B881" s="21"/>
      <c r="C881" s="21"/>
      <c r="D881" s="21"/>
      <c r="E881" s="21"/>
      <c r="F881" s="21"/>
      <c r="G881" s="21"/>
      <c r="I881" s="21"/>
      <c r="J881" s="21"/>
      <c r="K881" s="21"/>
      <c r="L881" s="21"/>
      <c r="M881" s="21"/>
      <c r="N881" s="21"/>
      <c r="O881" s="21"/>
      <c r="Q881" s="21"/>
      <c r="R881" s="21"/>
      <c r="S881" s="21"/>
      <c r="T881" s="21"/>
    </row>
    <row r="882" customFormat="false" ht="15" hidden="false" customHeight="true" outlineLevel="0" collapsed="false">
      <c r="A882" s="21"/>
      <c r="B882" s="21"/>
      <c r="C882" s="21"/>
      <c r="D882" s="21"/>
      <c r="E882" s="21"/>
      <c r="F882" s="21"/>
      <c r="G882" s="21"/>
      <c r="I882" s="21"/>
      <c r="J882" s="21"/>
      <c r="K882" s="21"/>
      <c r="L882" s="21"/>
      <c r="M882" s="21"/>
      <c r="N882" s="21"/>
      <c r="O882" s="21"/>
      <c r="Q882" s="21"/>
      <c r="R882" s="21"/>
      <c r="S882" s="21"/>
      <c r="T882" s="21"/>
    </row>
    <row r="883" customFormat="false" ht="15" hidden="false" customHeight="true" outlineLevel="0" collapsed="false">
      <c r="A883" s="21"/>
      <c r="B883" s="21"/>
      <c r="C883" s="21"/>
      <c r="D883" s="21"/>
      <c r="E883" s="21"/>
      <c r="F883" s="21"/>
      <c r="G883" s="21"/>
      <c r="I883" s="21"/>
      <c r="J883" s="21"/>
      <c r="K883" s="21"/>
      <c r="L883" s="21"/>
      <c r="M883" s="21"/>
      <c r="N883" s="21"/>
      <c r="O883" s="21"/>
      <c r="Q883" s="21"/>
      <c r="R883" s="21"/>
      <c r="S883" s="21"/>
      <c r="T883" s="21"/>
    </row>
    <row r="884" customFormat="false" ht="15" hidden="false" customHeight="true" outlineLevel="0" collapsed="false">
      <c r="A884" s="21"/>
      <c r="B884" s="21"/>
      <c r="C884" s="21"/>
      <c r="D884" s="21"/>
      <c r="E884" s="21"/>
      <c r="F884" s="21"/>
      <c r="G884" s="21"/>
      <c r="I884" s="21"/>
      <c r="J884" s="21"/>
      <c r="K884" s="21"/>
      <c r="L884" s="21"/>
      <c r="M884" s="21"/>
      <c r="N884" s="21"/>
      <c r="O884" s="21"/>
      <c r="Q884" s="21"/>
      <c r="R884" s="21"/>
      <c r="S884" s="21"/>
      <c r="T884" s="21"/>
    </row>
    <row r="885" customFormat="false" ht="15" hidden="false" customHeight="true" outlineLevel="0" collapsed="false">
      <c r="A885" s="21"/>
      <c r="B885" s="21"/>
      <c r="C885" s="21"/>
      <c r="D885" s="21"/>
      <c r="E885" s="21"/>
      <c r="F885" s="21"/>
      <c r="G885" s="21"/>
      <c r="I885" s="21"/>
      <c r="J885" s="21"/>
      <c r="K885" s="21"/>
      <c r="L885" s="21"/>
      <c r="M885" s="21"/>
      <c r="N885" s="21"/>
      <c r="O885" s="21"/>
      <c r="Q885" s="21"/>
      <c r="R885" s="21"/>
      <c r="S885" s="21"/>
      <c r="T885" s="21"/>
    </row>
    <row r="886" customFormat="false" ht="15" hidden="false" customHeight="true" outlineLevel="0" collapsed="false">
      <c r="A886" s="21"/>
      <c r="B886" s="21"/>
      <c r="C886" s="21"/>
      <c r="D886" s="21"/>
      <c r="E886" s="21"/>
      <c r="F886" s="21"/>
      <c r="G886" s="21"/>
      <c r="I886" s="21"/>
      <c r="J886" s="21"/>
      <c r="K886" s="21"/>
      <c r="L886" s="21"/>
      <c r="M886" s="21"/>
      <c r="N886" s="21"/>
      <c r="O886" s="21"/>
      <c r="Q886" s="21"/>
      <c r="R886" s="21"/>
      <c r="S886" s="21"/>
      <c r="T886" s="21"/>
    </row>
    <row r="887" customFormat="false" ht="15" hidden="false" customHeight="true" outlineLevel="0" collapsed="false">
      <c r="A887" s="21"/>
      <c r="B887" s="21"/>
      <c r="C887" s="21"/>
      <c r="D887" s="21"/>
      <c r="E887" s="21"/>
      <c r="F887" s="21"/>
      <c r="G887" s="21"/>
      <c r="I887" s="21"/>
      <c r="J887" s="21"/>
      <c r="K887" s="21"/>
      <c r="L887" s="21"/>
      <c r="M887" s="21"/>
      <c r="N887" s="21"/>
      <c r="O887" s="21"/>
      <c r="Q887" s="21"/>
      <c r="R887" s="21"/>
      <c r="S887" s="21"/>
      <c r="T887" s="21"/>
    </row>
    <row r="888" customFormat="false" ht="15" hidden="false" customHeight="true" outlineLevel="0" collapsed="false">
      <c r="A888" s="21"/>
      <c r="B888" s="21"/>
      <c r="C888" s="21"/>
      <c r="D888" s="21"/>
      <c r="E888" s="21"/>
      <c r="F888" s="21"/>
      <c r="G888" s="21"/>
      <c r="I888" s="21"/>
      <c r="J888" s="21"/>
      <c r="K888" s="21"/>
      <c r="L888" s="21"/>
      <c r="M888" s="21"/>
      <c r="N888" s="21"/>
      <c r="O888" s="21"/>
      <c r="Q888" s="21"/>
      <c r="R888" s="21"/>
      <c r="S888" s="21"/>
      <c r="T888" s="21"/>
    </row>
    <row r="889" customFormat="false" ht="15" hidden="false" customHeight="true" outlineLevel="0" collapsed="false">
      <c r="A889" s="21"/>
      <c r="B889" s="21"/>
      <c r="C889" s="21"/>
      <c r="D889" s="21"/>
      <c r="E889" s="21"/>
      <c r="F889" s="21"/>
      <c r="G889" s="21"/>
      <c r="I889" s="21"/>
      <c r="J889" s="21"/>
      <c r="K889" s="21"/>
      <c r="L889" s="21"/>
      <c r="M889" s="21"/>
      <c r="N889" s="21"/>
      <c r="O889" s="21"/>
      <c r="Q889" s="21"/>
      <c r="R889" s="21"/>
      <c r="S889" s="21"/>
      <c r="T889" s="21"/>
    </row>
    <row r="890" customFormat="false" ht="15" hidden="false" customHeight="true" outlineLevel="0" collapsed="false">
      <c r="A890" s="21"/>
      <c r="B890" s="21"/>
      <c r="C890" s="21"/>
      <c r="D890" s="21"/>
      <c r="E890" s="21"/>
      <c r="F890" s="21"/>
      <c r="G890" s="21"/>
      <c r="I890" s="21"/>
      <c r="J890" s="21"/>
      <c r="K890" s="21"/>
      <c r="L890" s="21"/>
      <c r="M890" s="21"/>
      <c r="N890" s="21"/>
      <c r="O890" s="21"/>
      <c r="Q890" s="21"/>
      <c r="R890" s="21"/>
      <c r="S890" s="21"/>
      <c r="T890" s="21"/>
    </row>
    <row r="891" customFormat="false" ht="15" hidden="false" customHeight="true" outlineLevel="0" collapsed="false">
      <c r="A891" s="21"/>
      <c r="B891" s="21"/>
      <c r="C891" s="21"/>
      <c r="D891" s="21"/>
      <c r="E891" s="21"/>
      <c r="F891" s="21"/>
      <c r="G891" s="21"/>
      <c r="I891" s="21"/>
      <c r="J891" s="21"/>
      <c r="K891" s="21"/>
      <c r="L891" s="21"/>
      <c r="M891" s="21"/>
      <c r="N891" s="21"/>
      <c r="O891" s="21"/>
      <c r="Q891" s="21"/>
      <c r="R891" s="21"/>
      <c r="S891" s="21"/>
      <c r="T891" s="21"/>
    </row>
    <row r="892" customFormat="false" ht="15" hidden="false" customHeight="true" outlineLevel="0" collapsed="false">
      <c r="A892" s="21"/>
      <c r="B892" s="21"/>
      <c r="C892" s="21"/>
      <c r="D892" s="21"/>
      <c r="E892" s="21"/>
      <c r="F892" s="21"/>
      <c r="G892" s="21"/>
      <c r="I892" s="21"/>
      <c r="J892" s="21"/>
      <c r="K892" s="21"/>
      <c r="L892" s="21"/>
      <c r="M892" s="21"/>
      <c r="N892" s="21"/>
      <c r="O892" s="21"/>
      <c r="Q892" s="21"/>
      <c r="R892" s="21"/>
      <c r="S892" s="21"/>
      <c r="T892" s="21"/>
    </row>
    <row r="893" customFormat="false" ht="15" hidden="false" customHeight="true" outlineLevel="0" collapsed="false">
      <c r="A893" s="21"/>
      <c r="B893" s="21"/>
      <c r="C893" s="21"/>
      <c r="D893" s="21"/>
      <c r="E893" s="21"/>
      <c r="F893" s="21"/>
      <c r="G893" s="21"/>
      <c r="I893" s="21"/>
      <c r="J893" s="21"/>
      <c r="K893" s="21"/>
      <c r="L893" s="21"/>
      <c r="M893" s="21"/>
      <c r="N893" s="21"/>
      <c r="O893" s="21"/>
      <c r="Q893" s="21"/>
      <c r="R893" s="21"/>
      <c r="S893" s="21"/>
      <c r="T893" s="21"/>
    </row>
    <row r="894" customFormat="false" ht="15" hidden="false" customHeight="true" outlineLevel="0" collapsed="false">
      <c r="A894" s="21"/>
      <c r="B894" s="21"/>
      <c r="C894" s="21"/>
      <c r="D894" s="21"/>
      <c r="E894" s="21"/>
      <c r="F894" s="21"/>
      <c r="G894" s="21"/>
      <c r="I894" s="21"/>
      <c r="J894" s="21"/>
      <c r="K894" s="21"/>
      <c r="L894" s="21"/>
      <c r="M894" s="21"/>
      <c r="N894" s="21"/>
      <c r="O894" s="21"/>
      <c r="Q894" s="21"/>
      <c r="R894" s="21"/>
      <c r="S894" s="21"/>
      <c r="T894" s="21"/>
    </row>
    <row r="895" customFormat="false" ht="15" hidden="false" customHeight="true" outlineLevel="0" collapsed="false">
      <c r="A895" s="21"/>
      <c r="B895" s="21"/>
      <c r="C895" s="21"/>
      <c r="D895" s="21"/>
      <c r="E895" s="21"/>
      <c r="F895" s="21"/>
      <c r="G895" s="21"/>
      <c r="I895" s="21"/>
      <c r="J895" s="21"/>
      <c r="K895" s="21"/>
      <c r="L895" s="21"/>
      <c r="M895" s="21"/>
      <c r="N895" s="21"/>
      <c r="O895" s="21"/>
      <c r="Q895" s="21"/>
      <c r="R895" s="21"/>
      <c r="S895" s="21"/>
      <c r="T895" s="21"/>
    </row>
    <row r="896" customFormat="false" ht="15" hidden="false" customHeight="true" outlineLevel="0" collapsed="false">
      <c r="A896" s="21"/>
      <c r="B896" s="21"/>
      <c r="C896" s="21"/>
      <c r="D896" s="21"/>
      <c r="E896" s="21"/>
      <c r="F896" s="21"/>
      <c r="G896" s="21"/>
      <c r="I896" s="21"/>
      <c r="J896" s="21"/>
      <c r="K896" s="21"/>
      <c r="L896" s="21"/>
      <c r="M896" s="21"/>
      <c r="N896" s="21"/>
      <c r="O896" s="21"/>
      <c r="Q896" s="21"/>
      <c r="R896" s="21"/>
      <c r="S896" s="21"/>
      <c r="T896" s="21"/>
    </row>
    <row r="897" customFormat="false" ht="15" hidden="false" customHeight="true" outlineLevel="0" collapsed="false">
      <c r="A897" s="21"/>
      <c r="B897" s="21"/>
      <c r="C897" s="21"/>
      <c r="D897" s="21"/>
      <c r="E897" s="21"/>
      <c r="F897" s="21"/>
      <c r="G897" s="21"/>
      <c r="I897" s="21"/>
      <c r="J897" s="21"/>
      <c r="K897" s="21"/>
      <c r="L897" s="21"/>
      <c r="M897" s="21"/>
      <c r="N897" s="21"/>
      <c r="O897" s="21"/>
      <c r="Q897" s="21"/>
      <c r="R897" s="21"/>
      <c r="S897" s="21"/>
      <c r="T897" s="21"/>
    </row>
    <row r="898" customFormat="false" ht="15" hidden="false" customHeight="true" outlineLevel="0" collapsed="false">
      <c r="A898" s="21"/>
      <c r="B898" s="21"/>
      <c r="C898" s="21"/>
      <c r="D898" s="21"/>
      <c r="E898" s="21"/>
      <c r="F898" s="21"/>
      <c r="G898" s="21"/>
      <c r="I898" s="21"/>
      <c r="J898" s="21"/>
      <c r="K898" s="21"/>
      <c r="L898" s="21"/>
      <c r="M898" s="21"/>
      <c r="N898" s="21"/>
      <c r="O898" s="21"/>
      <c r="Q898" s="21"/>
      <c r="R898" s="21"/>
      <c r="S898" s="21"/>
      <c r="T898" s="21"/>
    </row>
    <row r="899" customFormat="false" ht="15" hidden="false" customHeight="true" outlineLevel="0" collapsed="false">
      <c r="A899" s="21"/>
      <c r="B899" s="21"/>
      <c r="C899" s="21"/>
      <c r="D899" s="21"/>
      <c r="E899" s="21"/>
      <c r="F899" s="21"/>
      <c r="G899" s="21"/>
      <c r="I899" s="21"/>
      <c r="J899" s="21"/>
      <c r="K899" s="21"/>
      <c r="L899" s="21"/>
      <c r="M899" s="21"/>
      <c r="N899" s="21"/>
      <c r="O899" s="21"/>
      <c r="Q899" s="21"/>
      <c r="R899" s="21"/>
      <c r="S899" s="21"/>
      <c r="T899" s="21"/>
    </row>
    <row r="900" customFormat="false" ht="15" hidden="false" customHeight="true" outlineLevel="0" collapsed="false">
      <c r="A900" s="21"/>
      <c r="B900" s="21"/>
      <c r="C900" s="21"/>
      <c r="D900" s="21"/>
      <c r="E900" s="21"/>
      <c r="F900" s="21"/>
      <c r="G900" s="21"/>
      <c r="I900" s="21"/>
      <c r="J900" s="21"/>
      <c r="K900" s="21"/>
      <c r="L900" s="21"/>
      <c r="M900" s="21"/>
      <c r="N900" s="21"/>
      <c r="O900" s="21"/>
      <c r="Q900" s="21"/>
      <c r="R900" s="21"/>
      <c r="S900" s="21"/>
      <c r="T900" s="21"/>
    </row>
    <row r="901" customFormat="false" ht="15" hidden="false" customHeight="true" outlineLevel="0" collapsed="false">
      <c r="A901" s="21"/>
      <c r="B901" s="21"/>
      <c r="C901" s="21"/>
      <c r="D901" s="21"/>
      <c r="E901" s="21"/>
      <c r="F901" s="21"/>
      <c r="G901" s="21"/>
      <c r="I901" s="21"/>
      <c r="J901" s="21"/>
      <c r="K901" s="21"/>
      <c r="L901" s="21"/>
      <c r="M901" s="21"/>
      <c r="N901" s="21"/>
      <c r="O901" s="21"/>
      <c r="Q901" s="21"/>
      <c r="R901" s="21"/>
      <c r="S901" s="21"/>
      <c r="T901" s="21"/>
    </row>
    <row r="902" customFormat="false" ht="15" hidden="false" customHeight="true" outlineLevel="0" collapsed="false">
      <c r="A902" s="21"/>
      <c r="B902" s="21"/>
      <c r="C902" s="21"/>
      <c r="D902" s="21"/>
      <c r="E902" s="21"/>
      <c r="F902" s="21"/>
      <c r="G902" s="21"/>
      <c r="I902" s="21"/>
      <c r="J902" s="21"/>
      <c r="K902" s="21"/>
      <c r="L902" s="21"/>
      <c r="M902" s="21"/>
      <c r="N902" s="21"/>
      <c r="O902" s="21"/>
      <c r="Q902" s="21"/>
      <c r="R902" s="21"/>
      <c r="S902" s="21"/>
      <c r="T902" s="21"/>
    </row>
    <row r="903" customFormat="false" ht="15" hidden="false" customHeight="true" outlineLevel="0" collapsed="false">
      <c r="A903" s="21"/>
      <c r="B903" s="21"/>
      <c r="C903" s="21"/>
      <c r="D903" s="21"/>
      <c r="E903" s="21"/>
      <c r="F903" s="21"/>
      <c r="G903" s="21"/>
      <c r="I903" s="21"/>
      <c r="J903" s="21"/>
      <c r="K903" s="21"/>
      <c r="L903" s="21"/>
      <c r="M903" s="21"/>
      <c r="N903" s="21"/>
      <c r="O903" s="21"/>
      <c r="Q903" s="21"/>
      <c r="R903" s="21"/>
      <c r="S903" s="21"/>
      <c r="T903" s="21"/>
    </row>
    <row r="904" customFormat="false" ht="15" hidden="false" customHeight="true" outlineLevel="0" collapsed="false">
      <c r="A904" s="21"/>
      <c r="B904" s="21"/>
      <c r="C904" s="21"/>
      <c r="D904" s="21"/>
      <c r="E904" s="21"/>
      <c r="F904" s="21"/>
      <c r="G904" s="21"/>
      <c r="I904" s="21"/>
      <c r="J904" s="21"/>
      <c r="K904" s="21"/>
      <c r="L904" s="21"/>
      <c r="M904" s="21"/>
      <c r="N904" s="21"/>
      <c r="O904" s="21"/>
      <c r="Q904" s="21"/>
      <c r="R904" s="21"/>
      <c r="S904" s="21"/>
      <c r="T904" s="21"/>
    </row>
    <row r="905" customFormat="false" ht="15" hidden="false" customHeight="true" outlineLevel="0" collapsed="false">
      <c r="A905" s="21"/>
      <c r="B905" s="21"/>
      <c r="C905" s="21"/>
      <c r="D905" s="21"/>
      <c r="E905" s="21"/>
      <c r="F905" s="21"/>
      <c r="G905" s="21"/>
      <c r="I905" s="21"/>
      <c r="J905" s="21"/>
      <c r="K905" s="21"/>
      <c r="L905" s="21"/>
      <c r="M905" s="21"/>
      <c r="N905" s="21"/>
      <c r="O905" s="21"/>
      <c r="Q905" s="21"/>
      <c r="R905" s="21"/>
      <c r="S905" s="21"/>
      <c r="T905" s="21"/>
    </row>
    <row r="906" customFormat="false" ht="15" hidden="false" customHeight="true" outlineLevel="0" collapsed="false">
      <c r="A906" s="21"/>
      <c r="B906" s="21"/>
      <c r="C906" s="21"/>
      <c r="D906" s="21"/>
      <c r="E906" s="21"/>
      <c r="F906" s="21"/>
      <c r="G906" s="21"/>
      <c r="I906" s="21"/>
      <c r="J906" s="21"/>
      <c r="K906" s="21"/>
      <c r="L906" s="21"/>
      <c r="M906" s="21"/>
      <c r="N906" s="21"/>
      <c r="O906" s="21"/>
      <c r="Q906" s="21"/>
      <c r="R906" s="21"/>
      <c r="S906" s="21"/>
      <c r="T906" s="21"/>
    </row>
    <row r="907" customFormat="false" ht="15" hidden="false" customHeight="true" outlineLevel="0" collapsed="false">
      <c r="A907" s="21"/>
      <c r="B907" s="21"/>
      <c r="C907" s="21"/>
      <c r="D907" s="21"/>
      <c r="E907" s="21"/>
      <c r="F907" s="21"/>
      <c r="G907" s="21"/>
      <c r="I907" s="21"/>
      <c r="J907" s="21"/>
      <c r="K907" s="21"/>
      <c r="L907" s="21"/>
      <c r="M907" s="21"/>
      <c r="N907" s="21"/>
      <c r="O907" s="21"/>
      <c r="Q907" s="21"/>
      <c r="R907" s="21"/>
      <c r="S907" s="21"/>
      <c r="T907" s="21"/>
    </row>
    <row r="908" customFormat="false" ht="15" hidden="false" customHeight="true" outlineLevel="0" collapsed="false">
      <c r="A908" s="21"/>
      <c r="B908" s="21"/>
      <c r="C908" s="21"/>
      <c r="D908" s="21"/>
      <c r="E908" s="21"/>
      <c r="F908" s="21"/>
      <c r="G908" s="21"/>
      <c r="I908" s="21"/>
      <c r="J908" s="21"/>
      <c r="K908" s="21"/>
      <c r="L908" s="21"/>
      <c r="M908" s="21"/>
      <c r="N908" s="21"/>
      <c r="O908" s="21"/>
      <c r="Q908" s="21"/>
      <c r="R908" s="21"/>
      <c r="S908" s="21"/>
      <c r="T908" s="21"/>
    </row>
    <row r="909" customFormat="false" ht="15" hidden="false" customHeight="true" outlineLevel="0" collapsed="false">
      <c r="A909" s="21"/>
      <c r="B909" s="21"/>
      <c r="C909" s="21"/>
      <c r="D909" s="21"/>
      <c r="E909" s="21"/>
      <c r="F909" s="21"/>
      <c r="G909" s="21"/>
      <c r="I909" s="21"/>
      <c r="J909" s="21"/>
      <c r="K909" s="21"/>
      <c r="L909" s="21"/>
      <c r="M909" s="21"/>
      <c r="N909" s="21"/>
      <c r="O909" s="21"/>
      <c r="Q909" s="21"/>
      <c r="R909" s="21"/>
      <c r="S909" s="21"/>
      <c r="T909" s="21"/>
    </row>
    <row r="910" customFormat="false" ht="15" hidden="false" customHeight="true" outlineLevel="0" collapsed="false">
      <c r="A910" s="21"/>
      <c r="B910" s="21"/>
      <c r="C910" s="21"/>
      <c r="D910" s="21"/>
      <c r="E910" s="21"/>
      <c r="F910" s="21"/>
      <c r="G910" s="21"/>
      <c r="I910" s="21"/>
      <c r="J910" s="21"/>
      <c r="K910" s="21"/>
      <c r="L910" s="21"/>
      <c r="M910" s="21"/>
      <c r="N910" s="21"/>
      <c r="O910" s="21"/>
      <c r="Q910" s="21"/>
      <c r="R910" s="21"/>
      <c r="S910" s="21"/>
      <c r="T910" s="21"/>
    </row>
    <row r="911" customFormat="false" ht="15" hidden="false" customHeight="true" outlineLevel="0" collapsed="false">
      <c r="A911" s="21"/>
      <c r="B911" s="21"/>
      <c r="C911" s="21"/>
      <c r="D911" s="21"/>
      <c r="E911" s="21"/>
      <c r="F911" s="21"/>
      <c r="G911" s="21"/>
      <c r="I911" s="21"/>
      <c r="J911" s="21"/>
      <c r="K911" s="21"/>
      <c r="L911" s="21"/>
      <c r="M911" s="21"/>
      <c r="N911" s="21"/>
      <c r="O911" s="21"/>
      <c r="Q911" s="21"/>
      <c r="R911" s="21"/>
      <c r="S911" s="21"/>
      <c r="T911" s="21"/>
    </row>
    <row r="912" customFormat="false" ht="15" hidden="false" customHeight="true" outlineLevel="0" collapsed="false">
      <c r="A912" s="21"/>
      <c r="B912" s="21"/>
      <c r="C912" s="21"/>
      <c r="D912" s="21"/>
      <c r="E912" s="21"/>
      <c r="F912" s="21"/>
      <c r="G912" s="21"/>
      <c r="I912" s="21"/>
      <c r="J912" s="21"/>
      <c r="K912" s="21"/>
      <c r="L912" s="21"/>
      <c r="M912" s="21"/>
      <c r="N912" s="21"/>
      <c r="O912" s="21"/>
      <c r="Q912" s="21"/>
      <c r="R912" s="21"/>
      <c r="S912" s="21"/>
      <c r="T912" s="21"/>
    </row>
    <row r="913" customFormat="false" ht="15" hidden="false" customHeight="true" outlineLevel="0" collapsed="false">
      <c r="A913" s="21"/>
      <c r="B913" s="21"/>
      <c r="C913" s="21"/>
      <c r="D913" s="21"/>
      <c r="E913" s="21"/>
      <c r="F913" s="21"/>
      <c r="G913" s="21"/>
      <c r="I913" s="21"/>
      <c r="J913" s="21"/>
      <c r="K913" s="21"/>
      <c r="L913" s="21"/>
      <c r="M913" s="21"/>
      <c r="N913" s="21"/>
      <c r="O913" s="21"/>
      <c r="Q913" s="21"/>
      <c r="R913" s="21"/>
      <c r="S913" s="21"/>
      <c r="T913" s="21"/>
    </row>
    <row r="914" customFormat="false" ht="15" hidden="false" customHeight="true" outlineLevel="0" collapsed="false">
      <c r="A914" s="21"/>
      <c r="B914" s="21"/>
      <c r="C914" s="21"/>
      <c r="D914" s="21"/>
      <c r="E914" s="21"/>
      <c r="F914" s="21"/>
      <c r="G914" s="21"/>
      <c r="I914" s="21"/>
      <c r="J914" s="21"/>
      <c r="K914" s="21"/>
      <c r="L914" s="21"/>
      <c r="M914" s="21"/>
      <c r="N914" s="21"/>
      <c r="O914" s="21"/>
      <c r="Q914" s="21"/>
      <c r="R914" s="21"/>
      <c r="S914" s="21"/>
      <c r="T914" s="21"/>
    </row>
    <row r="915" customFormat="false" ht="15" hidden="false" customHeight="true" outlineLevel="0" collapsed="false">
      <c r="A915" s="21"/>
      <c r="B915" s="21"/>
      <c r="C915" s="21"/>
      <c r="D915" s="21"/>
      <c r="E915" s="21"/>
      <c r="F915" s="21"/>
      <c r="G915" s="21"/>
      <c r="I915" s="21"/>
      <c r="J915" s="21"/>
      <c r="K915" s="21"/>
      <c r="L915" s="21"/>
      <c r="M915" s="21"/>
      <c r="N915" s="21"/>
      <c r="O915" s="21"/>
      <c r="Q915" s="21"/>
      <c r="R915" s="21"/>
      <c r="S915" s="21"/>
      <c r="T915" s="21"/>
    </row>
    <row r="916" customFormat="false" ht="15" hidden="false" customHeight="true" outlineLevel="0" collapsed="false">
      <c r="A916" s="21"/>
      <c r="B916" s="21"/>
      <c r="C916" s="21"/>
      <c r="D916" s="21"/>
      <c r="E916" s="21"/>
      <c r="F916" s="21"/>
      <c r="G916" s="21"/>
      <c r="I916" s="21"/>
      <c r="J916" s="21"/>
      <c r="K916" s="21"/>
      <c r="L916" s="21"/>
      <c r="M916" s="21"/>
      <c r="N916" s="21"/>
      <c r="O916" s="21"/>
      <c r="Q916" s="21"/>
      <c r="R916" s="21"/>
      <c r="S916" s="21"/>
      <c r="T916" s="21"/>
    </row>
    <row r="917" customFormat="false" ht="15" hidden="false" customHeight="true" outlineLevel="0" collapsed="false">
      <c r="A917" s="21"/>
      <c r="B917" s="21"/>
      <c r="C917" s="21"/>
      <c r="D917" s="21"/>
      <c r="E917" s="21"/>
      <c r="F917" s="21"/>
      <c r="G917" s="21"/>
      <c r="I917" s="21"/>
      <c r="J917" s="21"/>
      <c r="K917" s="21"/>
      <c r="L917" s="21"/>
      <c r="M917" s="21"/>
      <c r="N917" s="21"/>
      <c r="O917" s="21"/>
      <c r="Q917" s="21"/>
      <c r="R917" s="21"/>
      <c r="S917" s="21"/>
      <c r="T917" s="21"/>
    </row>
    <row r="918" customFormat="false" ht="15" hidden="false" customHeight="true" outlineLevel="0" collapsed="false">
      <c r="A918" s="21"/>
      <c r="B918" s="21"/>
      <c r="C918" s="21"/>
      <c r="D918" s="21"/>
      <c r="E918" s="21"/>
      <c r="F918" s="21"/>
      <c r="G918" s="21"/>
      <c r="I918" s="21"/>
      <c r="J918" s="21"/>
      <c r="K918" s="21"/>
      <c r="L918" s="21"/>
      <c r="M918" s="21"/>
      <c r="N918" s="21"/>
      <c r="O918" s="21"/>
      <c r="Q918" s="21"/>
      <c r="R918" s="21"/>
      <c r="S918" s="21"/>
      <c r="T918" s="21"/>
    </row>
    <row r="919" customFormat="false" ht="15" hidden="false" customHeight="true" outlineLevel="0" collapsed="false">
      <c r="A919" s="21"/>
      <c r="B919" s="21"/>
      <c r="C919" s="21"/>
      <c r="D919" s="21"/>
      <c r="E919" s="21"/>
      <c r="F919" s="21"/>
      <c r="G919" s="21"/>
      <c r="I919" s="21"/>
      <c r="J919" s="21"/>
      <c r="K919" s="21"/>
      <c r="L919" s="21"/>
      <c r="M919" s="21"/>
      <c r="N919" s="21"/>
      <c r="O919" s="21"/>
      <c r="Q919" s="21"/>
      <c r="R919" s="21"/>
      <c r="S919" s="21"/>
      <c r="T919" s="21"/>
    </row>
    <row r="920" customFormat="false" ht="15" hidden="false" customHeight="true" outlineLevel="0" collapsed="false">
      <c r="A920" s="21"/>
      <c r="B920" s="21"/>
      <c r="C920" s="21"/>
      <c r="D920" s="21"/>
      <c r="E920" s="21"/>
      <c r="F920" s="21"/>
      <c r="G920" s="21"/>
      <c r="I920" s="21"/>
      <c r="J920" s="21"/>
      <c r="K920" s="21"/>
      <c r="L920" s="21"/>
      <c r="M920" s="21"/>
      <c r="N920" s="21"/>
      <c r="O920" s="21"/>
      <c r="Q920" s="21"/>
      <c r="R920" s="21"/>
      <c r="S920" s="21"/>
      <c r="T920" s="21"/>
    </row>
    <row r="921" customFormat="false" ht="15" hidden="false" customHeight="true" outlineLevel="0" collapsed="false">
      <c r="A921" s="21"/>
      <c r="B921" s="21"/>
      <c r="C921" s="21"/>
      <c r="D921" s="21"/>
      <c r="E921" s="21"/>
      <c r="F921" s="21"/>
      <c r="G921" s="21"/>
      <c r="I921" s="21"/>
      <c r="J921" s="21"/>
      <c r="K921" s="21"/>
      <c r="L921" s="21"/>
      <c r="M921" s="21"/>
      <c r="N921" s="21"/>
      <c r="O921" s="21"/>
      <c r="Q921" s="21"/>
      <c r="R921" s="21"/>
      <c r="S921" s="21"/>
      <c r="T921" s="21"/>
    </row>
    <row r="922" customFormat="false" ht="15" hidden="false" customHeight="true" outlineLevel="0" collapsed="false">
      <c r="A922" s="21"/>
      <c r="B922" s="21"/>
      <c r="C922" s="21"/>
      <c r="D922" s="21"/>
      <c r="E922" s="21"/>
      <c r="F922" s="21"/>
      <c r="G922" s="21"/>
      <c r="I922" s="21"/>
      <c r="J922" s="21"/>
      <c r="K922" s="21"/>
      <c r="L922" s="21"/>
      <c r="M922" s="21"/>
      <c r="N922" s="21"/>
      <c r="O922" s="21"/>
      <c r="Q922" s="21"/>
      <c r="R922" s="21"/>
      <c r="S922" s="21"/>
      <c r="T922" s="21"/>
    </row>
    <row r="923" customFormat="false" ht="15" hidden="false" customHeight="true" outlineLevel="0" collapsed="false">
      <c r="A923" s="21"/>
      <c r="B923" s="21"/>
      <c r="C923" s="21"/>
      <c r="D923" s="21"/>
      <c r="E923" s="21"/>
      <c r="F923" s="21"/>
      <c r="G923" s="21"/>
      <c r="I923" s="21"/>
      <c r="J923" s="21"/>
      <c r="K923" s="21"/>
      <c r="L923" s="21"/>
      <c r="M923" s="21"/>
      <c r="N923" s="21"/>
      <c r="O923" s="21"/>
      <c r="Q923" s="21"/>
      <c r="R923" s="21"/>
      <c r="S923" s="21"/>
      <c r="T923" s="21"/>
    </row>
    <row r="924" customFormat="false" ht="15" hidden="false" customHeight="true" outlineLevel="0" collapsed="false">
      <c r="A924" s="21"/>
      <c r="B924" s="21"/>
      <c r="C924" s="21"/>
      <c r="D924" s="21"/>
      <c r="E924" s="21"/>
      <c r="F924" s="21"/>
      <c r="G924" s="21"/>
      <c r="I924" s="21"/>
      <c r="J924" s="21"/>
      <c r="K924" s="21"/>
      <c r="L924" s="21"/>
      <c r="M924" s="21"/>
      <c r="N924" s="21"/>
      <c r="O924" s="21"/>
      <c r="Q924" s="21"/>
      <c r="R924" s="21"/>
      <c r="S924" s="21"/>
      <c r="T924" s="21"/>
    </row>
    <row r="925" customFormat="false" ht="15" hidden="false" customHeight="true" outlineLevel="0" collapsed="false">
      <c r="A925" s="21"/>
      <c r="B925" s="21"/>
      <c r="C925" s="21"/>
      <c r="D925" s="21"/>
      <c r="E925" s="21"/>
      <c r="F925" s="21"/>
      <c r="G925" s="21"/>
      <c r="I925" s="21"/>
      <c r="J925" s="21"/>
      <c r="K925" s="21"/>
      <c r="L925" s="21"/>
      <c r="M925" s="21"/>
      <c r="N925" s="21"/>
      <c r="O925" s="21"/>
      <c r="Q925" s="21"/>
      <c r="R925" s="21"/>
      <c r="S925" s="21"/>
      <c r="T925" s="21"/>
    </row>
    <row r="926" customFormat="false" ht="15" hidden="false" customHeight="true" outlineLevel="0" collapsed="false">
      <c r="A926" s="21"/>
      <c r="B926" s="21"/>
      <c r="C926" s="21"/>
      <c r="D926" s="21"/>
      <c r="E926" s="21"/>
      <c r="F926" s="21"/>
      <c r="G926" s="21"/>
      <c r="I926" s="21"/>
      <c r="J926" s="21"/>
      <c r="K926" s="21"/>
      <c r="L926" s="21"/>
      <c r="M926" s="21"/>
      <c r="N926" s="21"/>
      <c r="O926" s="21"/>
      <c r="Q926" s="21"/>
      <c r="R926" s="21"/>
      <c r="S926" s="21"/>
      <c r="T926" s="21"/>
    </row>
    <row r="927" customFormat="false" ht="15" hidden="false" customHeight="true" outlineLevel="0" collapsed="false">
      <c r="A927" s="21"/>
      <c r="B927" s="21"/>
      <c r="C927" s="21"/>
      <c r="D927" s="21"/>
      <c r="E927" s="21"/>
      <c r="F927" s="21"/>
      <c r="G927" s="21"/>
      <c r="I927" s="21"/>
      <c r="J927" s="21"/>
      <c r="K927" s="21"/>
      <c r="L927" s="21"/>
      <c r="M927" s="21"/>
      <c r="N927" s="21"/>
      <c r="O927" s="21"/>
      <c r="Q927" s="21"/>
      <c r="R927" s="21"/>
      <c r="S927" s="21"/>
      <c r="T927" s="21"/>
    </row>
    <row r="928" customFormat="false" ht="15" hidden="false" customHeight="true" outlineLevel="0" collapsed="false">
      <c r="A928" s="21"/>
      <c r="B928" s="21"/>
      <c r="C928" s="21"/>
      <c r="D928" s="21"/>
      <c r="E928" s="21"/>
      <c r="F928" s="21"/>
      <c r="G928" s="21"/>
      <c r="I928" s="21"/>
      <c r="J928" s="21"/>
      <c r="K928" s="21"/>
      <c r="L928" s="21"/>
      <c r="M928" s="21"/>
      <c r="N928" s="21"/>
      <c r="O928" s="21"/>
      <c r="Q928" s="21"/>
      <c r="R928" s="21"/>
      <c r="S928" s="21"/>
      <c r="T928" s="21"/>
    </row>
    <row r="929" customFormat="false" ht="15" hidden="false" customHeight="true" outlineLevel="0" collapsed="false">
      <c r="A929" s="21"/>
      <c r="B929" s="21"/>
      <c r="C929" s="21"/>
      <c r="D929" s="21"/>
      <c r="E929" s="21"/>
      <c r="F929" s="21"/>
      <c r="G929" s="21"/>
      <c r="I929" s="21"/>
      <c r="J929" s="21"/>
      <c r="K929" s="21"/>
      <c r="L929" s="21"/>
      <c r="M929" s="21"/>
      <c r="N929" s="21"/>
      <c r="O929" s="21"/>
      <c r="Q929" s="21"/>
      <c r="R929" s="21"/>
      <c r="S929" s="21"/>
      <c r="T929" s="21"/>
    </row>
    <row r="930" customFormat="false" ht="15" hidden="false" customHeight="true" outlineLevel="0" collapsed="false">
      <c r="A930" s="21"/>
      <c r="B930" s="21"/>
      <c r="C930" s="21"/>
      <c r="D930" s="21"/>
      <c r="E930" s="21"/>
      <c r="F930" s="21"/>
      <c r="G930" s="21"/>
      <c r="I930" s="21"/>
      <c r="J930" s="21"/>
      <c r="K930" s="21"/>
      <c r="L930" s="21"/>
      <c r="M930" s="21"/>
      <c r="N930" s="21"/>
      <c r="O930" s="21"/>
      <c r="Q930" s="21"/>
      <c r="R930" s="21"/>
      <c r="S930" s="21"/>
      <c r="T930" s="21"/>
    </row>
    <row r="931" customFormat="false" ht="15" hidden="false" customHeight="true" outlineLevel="0" collapsed="false">
      <c r="A931" s="21"/>
      <c r="B931" s="21"/>
      <c r="C931" s="21"/>
      <c r="D931" s="21"/>
      <c r="E931" s="21"/>
      <c r="F931" s="21"/>
      <c r="G931" s="21"/>
      <c r="I931" s="21"/>
      <c r="J931" s="21"/>
      <c r="K931" s="21"/>
      <c r="L931" s="21"/>
      <c r="M931" s="21"/>
      <c r="N931" s="21"/>
      <c r="O931" s="21"/>
      <c r="Q931" s="21"/>
      <c r="R931" s="21"/>
      <c r="S931" s="21"/>
      <c r="T931" s="21"/>
    </row>
    <row r="932" customFormat="false" ht="15" hidden="false" customHeight="true" outlineLevel="0" collapsed="false">
      <c r="A932" s="21"/>
      <c r="B932" s="21"/>
      <c r="C932" s="21"/>
      <c r="D932" s="21"/>
      <c r="E932" s="21"/>
      <c r="F932" s="21"/>
      <c r="G932" s="21"/>
      <c r="I932" s="21"/>
      <c r="J932" s="21"/>
      <c r="K932" s="21"/>
      <c r="L932" s="21"/>
      <c r="M932" s="21"/>
      <c r="N932" s="21"/>
      <c r="O932" s="21"/>
      <c r="Q932" s="21"/>
      <c r="R932" s="21"/>
      <c r="S932" s="21"/>
      <c r="T932" s="21"/>
    </row>
    <row r="933" customFormat="false" ht="15" hidden="false" customHeight="true" outlineLevel="0" collapsed="false">
      <c r="A933" s="21"/>
      <c r="B933" s="21"/>
      <c r="C933" s="21"/>
      <c r="D933" s="21"/>
      <c r="E933" s="21"/>
      <c r="F933" s="21"/>
      <c r="G933" s="21"/>
      <c r="I933" s="21"/>
      <c r="J933" s="21"/>
      <c r="K933" s="21"/>
      <c r="L933" s="21"/>
      <c r="M933" s="21"/>
      <c r="N933" s="21"/>
      <c r="O933" s="21"/>
      <c r="Q933" s="21"/>
      <c r="R933" s="21"/>
      <c r="S933" s="21"/>
      <c r="T933" s="21"/>
    </row>
    <row r="934" customFormat="false" ht="15" hidden="false" customHeight="true" outlineLevel="0" collapsed="false">
      <c r="A934" s="21"/>
      <c r="B934" s="21"/>
      <c r="C934" s="21"/>
      <c r="D934" s="21"/>
      <c r="E934" s="21"/>
      <c r="F934" s="21"/>
      <c r="G934" s="21"/>
      <c r="I934" s="21"/>
      <c r="J934" s="21"/>
      <c r="K934" s="21"/>
      <c r="L934" s="21"/>
      <c r="M934" s="21"/>
      <c r="N934" s="21"/>
      <c r="O934" s="21"/>
      <c r="Q934" s="21"/>
      <c r="R934" s="21"/>
      <c r="S934" s="21"/>
      <c r="T934" s="21"/>
    </row>
    <row r="935" customFormat="false" ht="15" hidden="false" customHeight="true" outlineLevel="0" collapsed="false">
      <c r="A935" s="21"/>
      <c r="B935" s="21"/>
      <c r="C935" s="21"/>
      <c r="D935" s="21"/>
      <c r="E935" s="21"/>
      <c r="F935" s="21"/>
      <c r="G935" s="21"/>
      <c r="I935" s="21"/>
      <c r="J935" s="21"/>
      <c r="K935" s="21"/>
      <c r="L935" s="21"/>
      <c r="M935" s="21"/>
      <c r="N935" s="21"/>
      <c r="O935" s="21"/>
      <c r="Q935" s="21"/>
      <c r="R935" s="21"/>
      <c r="S935" s="21"/>
      <c r="T935" s="21"/>
    </row>
    <row r="936" customFormat="false" ht="15" hidden="false" customHeight="true" outlineLevel="0" collapsed="false">
      <c r="A936" s="21"/>
      <c r="B936" s="21"/>
      <c r="C936" s="21"/>
      <c r="D936" s="21"/>
      <c r="E936" s="21"/>
      <c r="F936" s="21"/>
      <c r="G936" s="21"/>
      <c r="I936" s="21"/>
      <c r="J936" s="21"/>
      <c r="K936" s="21"/>
      <c r="L936" s="21"/>
      <c r="M936" s="21"/>
      <c r="N936" s="21"/>
      <c r="O936" s="21"/>
      <c r="Q936" s="21"/>
      <c r="R936" s="21"/>
      <c r="S936" s="21"/>
      <c r="T936" s="21"/>
    </row>
    <row r="937" customFormat="false" ht="15" hidden="false" customHeight="true" outlineLevel="0" collapsed="false">
      <c r="A937" s="21"/>
      <c r="B937" s="21"/>
      <c r="C937" s="21"/>
      <c r="D937" s="21"/>
      <c r="E937" s="21"/>
      <c r="F937" s="21"/>
      <c r="G937" s="21"/>
      <c r="I937" s="21"/>
      <c r="J937" s="21"/>
      <c r="K937" s="21"/>
      <c r="L937" s="21"/>
      <c r="M937" s="21"/>
      <c r="N937" s="21"/>
      <c r="O937" s="21"/>
      <c r="Q937" s="21"/>
      <c r="R937" s="21"/>
      <c r="S937" s="21"/>
      <c r="T937" s="21"/>
    </row>
    <row r="938" customFormat="false" ht="15" hidden="false" customHeight="true" outlineLevel="0" collapsed="false">
      <c r="A938" s="21"/>
      <c r="B938" s="21"/>
      <c r="C938" s="21"/>
      <c r="D938" s="21"/>
      <c r="E938" s="21"/>
      <c r="F938" s="21"/>
      <c r="G938" s="21"/>
      <c r="I938" s="21"/>
      <c r="J938" s="21"/>
      <c r="K938" s="21"/>
      <c r="L938" s="21"/>
      <c r="M938" s="21"/>
      <c r="N938" s="21"/>
      <c r="O938" s="21"/>
      <c r="Q938" s="21"/>
      <c r="R938" s="21"/>
      <c r="S938" s="21"/>
      <c r="T938" s="21"/>
    </row>
    <row r="939" customFormat="false" ht="15" hidden="false" customHeight="true" outlineLevel="0" collapsed="false">
      <c r="A939" s="21"/>
      <c r="B939" s="21"/>
      <c r="C939" s="21"/>
      <c r="D939" s="21"/>
      <c r="E939" s="21"/>
      <c r="F939" s="21"/>
      <c r="G939" s="21"/>
      <c r="I939" s="21"/>
      <c r="J939" s="21"/>
      <c r="K939" s="21"/>
      <c r="L939" s="21"/>
      <c r="M939" s="21"/>
      <c r="N939" s="21"/>
      <c r="O939" s="21"/>
      <c r="Q939" s="21"/>
      <c r="R939" s="21"/>
      <c r="S939" s="21"/>
      <c r="T939" s="21"/>
    </row>
    <row r="940" customFormat="false" ht="15" hidden="false" customHeight="true" outlineLevel="0" collapsed="false">
      <c r="A940" s="21"/>
      <c r="B940" s="21"/>
      <c r="C940" s="21"/>
      <c r="D940" s="21"/>
      <c r="E940" s="21"/>
      <c r="F940" s="21"/>
      <c r="G940" s="21"/>
      <c r="I940" s="21"/>
      <c r="J940" s="21"/>
      <c r="K940" s="21"/>
      <c r="L940" s="21"/>
      <c r="M940" s="21"/>
      <c r="N940" s="21"/>
      <c r="O940" s="21"/>
      <c r="Q940" s="21"/>
      <c r="R940" s="21"/>
      <c r="S940" s="21"/>
      <c r="T940" s="21"/>
    </row>
    <row r="941" customFormat="false" ht="15" hidden="false" customHeight="true" outlineLevel="0" collapsed="false">
      <c r="A941" s="21"/>
      <c r="B941" s="21"/>
      <c r="C941" s="21"/>
      <c r="D941" s="21"/>
      <c r="E941" s="21"/>
      <c r="F941" s="21"/>
      <c r="G941" s="21"/>
      <c r="I941" s="21"/>
      <c r="J941" s="21"/>
      <c r="K941" s="21"/>
      <c r="L941" s="21"/>
      <c r="M941" s="21"/>
      <c r="N941" s="21"/>
      <c r="O941" s="21"/>
      <c r="Q941" s="21"/>
      <c r="R941" s="21"/>
      <c r="S941" s="21"/>
      <c r="T941" s="21"/>
    </row>
    <row r="942" customFormat="false" ht="15" hidden="false" customHeight="true" outlineLevel="0" collapsed="false">
      <c r="A942" s="21"/>
      <c r="B942" s="21"/>
      <c r="C942" s="21"/>
      <c r="D942" s="21"/>
      <c r="E942" s="21"/>
      <c r="F942" s="21"/>
      <c r="G942" s="21"/>
      <c r="I942" s="21"/>
      <c r="J942" s="21"/>
      <c r="K942" s="21"/>
      <c r="L942" s="21"/>
      <c r="M942" s="21"/>
      <c r="N942" s="21"/>
      <c r="O942" s="21"/>
      <c r="Q942" s="21"/>
      <c r="R942" s="21"/>
      <c r="S942" s="21"/>
      <c r="T942" s="21"/>
    </row>
    <row r="943" customFormat="false" ht="15" hidden="false" customHeight="true" outlineLevel="0" collapsed="false">
      <c r="A943" s="21"/>
      <c r="B943" s="21"/>
      <c r="C943" s="21"/>
      <c r="D943" s="21"/>
      <c r="E943" s="21"/>
      <c r="F943" s="21"/>
      <c r="G943" s="21"/>
      <c r="I943" s="21"/>
      <c r="J943" s="21"/>
      <c r="K943" s="21"/>
      <c r="L943" s="21"/>
      <c r="M943" s="21"/>
      <c r="N943" s="21"/>
      <c r="O943" s="21"/>
      <c r="Q943" s="21"/>
      <c r="R943" s="21"/>
      <c r="S943" s="21"/>
      <c r="T943" s="21"/>
    </row>
    <row r="944" customFormat="false" ht="15" hidden="false" customHeight="true" outlineLevel="0" collapsed="false">
      <c r="A944" s="21"/>
      <c r="B944" s="21"/>
      <c r="C944" s="21"/>
      <c r="D944" s="21"/>
      <c r="E944" s="21"/>
      <c r="F944" s="21"/>
      <c r="G944" s="21"/>
      <c r="I944" s="21"/>
      <c r="J944" s="21"/>
      <c r="K944" s="21"/>
      <c r="L944" s="21"/>
      <c r="M944" s="21"/>
      <c r="N944" s="21"/>
      <c r="O944" s="21"/>
      <c r="Q944" s="21"/>
      <c r="R944" s="21"/>
      <c r="S944" s="21"/>
      <c r="T944" s="21"/>
    </row>
    <row r="945" customFormat="false" ht="15" hidden="false" customHeight="true" outlineLevel="0" collapsed="false">
      <c r="A945" s="21"/>
      <c r="B945" s="21"/>
      <c r="C945" s="21"/>
      <c r="D945" s="21"/>
      <c r="E945" s="21"/>
      <c r="F945" s="21"/>
      <c r="G945" s="21"/>
      <c r="I945" s="21"/>
      <c r="J945" s="21"/>
      <c r="K945" s="21"/>
      <c r="L945" s="21"/>
      <c r="M945" s="21"/>
      <c r="N945" s="21"/>
      <c r="O945" s="21"/>
      <c r="Q945" s="21"/>
      <c r="R945" s="21"/>
      <c r="S945" s="21"/>
      <c r="T945" s="21"/>
    </row>
    <row r="946" customFormat="false" ht="15" hidden="false" customHeight="true" outlineLevel="0" collapsed="false">
      <c r="A946" s="21"/>
      <c r="B946" s="21"/>
      <c r="C946" s="21"/>
      <c r="D946" s="21"/>
      <c r="E946" s="21"/>
      <c r="F946" s="21"/>
      <c r="G946" s="21"/>
      <c r="I946" s="21"/>
      <c r="J946" s="21"/>
      <c r="K946" s="21"/>
      <c r="L946" s="21"/>
      <c r="M946" s="21"/>
      <c r="N946" s="21"/>
      <c r="O946" s="21"/>
      <c r="Q946" s="21"/>
      <c r="R946" s="21"/>
      <c r="S946" s="21"/>
      <c r="T946" s="21"/>
    </row>
    <row r="947" customFormat="false" ht="15" hidden="false" customHeight="true" outlineLevel="0" collapsed="false">
      <c r="A947" s="21"/>
      <c r="B947" s="21"/>
      <c r="C947" s="21"/>
      <c r="D947" s="21"/>
      <c r="E947" s="21"/>
      <c r="F947" s="21"/>
      <c r="G947" s="21"/>
      <c r="I947" s="21"/>
      <c r="J947" s="21"/>
      <c r="K947" s="21"/>
      <c r="L947" s="21"/>
      <c r="M947" s="21"/>
      <c r="N947" s="21"/>
      <c r="O947" s="21"/>
      <c r="Q947" s="21"/>
      <c r="R947" s="21"/>
      <c r="S947" s="21"/>
      <c r="T947" s="21"/>
    </row>
    <row r="948" customFormat="false" ht="15" hidden="false" customHeight="true" outlineLevel="0" collapsed="false">
      <c r="A948" s="21"/>
      <c r="B948" s="21"/>
      <c r="C948" s="21"/>
      <c r="D948" s="21"/>
      <c r="E948" s="21"/>
      <c r="F948" s="21"/>
      <c r="G948" s="21"/>
      <c r="I948" s="21"/>
      <c r="J948" s="21"/>
      <c r="K948" s="21"/>
      <c r="L948" s="21"/>
      <c r="M948" s="21"/>
      <c r="N948" s="21"/>
      <c r="O948" s="21"/>
      <c r="Q948" s="21"/>
      <c r="R948" s="21"/>
      <c r="S948" s="21"/>
      <c r="T948" s="21"/>
    </row>
    <row r="949" customFormat="false" ht="15" hidden="false" customHeight="true" outlineLevel="0" collapsed="false">
      <c r="A949" s="21"/>
      <c r="B949" s="21"/>
      <c r="C949" s="21"/>
      <c r="D949" s="21"/>
      <c r="E949" s="21"/>
      <c r="F949" s="21"/>
      <c r="G949" s="21"/>
      <c r="I949" s="21"/>
      <c r="J949" s="21"/>
      <c r="K949" s="21"/>
      <c r="L949" s="21"/>
      <c r="M949" s="21"/>
      <c r="N949" s="21"/>
      <c r="O949" s="21"/>
      <c r="Q949" s="21"/>
      <c r="R949" s="21"/>
      <c r="S949" s="21"/>
      <c r="T949" s="21"/>
    </row>
    <row r="950" customFormat="false" ht="15" hidden="false" customHeight="true" outlineLevel="0" collapsed="false">
      <c r="A950" s="21"/>
      <c r="B950" s="21"/>
      <c r="C950" s="21"/>
      <c r="D950" s="21"/>
      <c r="E950" s="21"/>
      <c r="F950" s="21"/>
      <c r="G950" s="21"/>
      <c r="I950" s="21"/>
      <c r="J950" s="21"/>
      <c r="K950" s="21"/>
      <c r="L950" s="21"/>
      <c r="M950" s="21"/>
      <c r="N950" s="21"/>
      <c r="O950" s="21"/>
      <c r="Q950" s="21"/>
      <c r="R950" s="21"/>
      <c r="S950" s="21"/>
      <c r="T950" s="21"/>
    </row>
    <row r="951" customFormat="false" ht="15" hidden="false" customHeight="true" outlineLevel="0" collapsed="false">
      <c r="A951" s="21"/>
      <c r="B951" s="21"/>
      <c r="C951" s="21"/>
      <c r="D951" s="21"/>
      <c r="E951" s="21"/>
      <c r="F951" s="21"/>
      <c r="G951" s="21"/>
      <c r="I951" s="21"/>
      <c r="J951" s="21"/>
      <c r="K951" s="21"/>
      <c r="L951" s="21"/>
      <c r="M951" s="21"/>
      <c r="N951" s="21"/>
      <c r="O951" s="21"/>
      <c r="Q951" s="21"/>
      <c r="R951" s="21"/>
      <c r="S951" s="21"/>
      <c r="T951" s="21"/>
    </row>
    <row r="952" customFormat="false" ht="15" hidden="false" customHeight="true" outlineLevel="0" collapsed="false">
      <c r="A952" s="21"/>
      <c r="B952" s="21"/>
      <c r="C952" s="21"/>
      <c r="D952" s="21"/>
      <c r="E952" s="21"/>
      <c r="F952" s="21"/>
      <c r="G952" s="21"/>
      <c r="I952" s="21"/>
      <c r="J952" s="21"/>
      <c r="K952" s="21"/>
      <c r="L952" s="21"/>
      <c r="M952" s="21"/>
      <c r="N952" s="21"/>
      <c r="O952" s="21"/>
      <c r="Q952" s="21"/>
      <c r="R952" s="21"/>
      <c r="S952" s="21"/>
      <c r="T952" s="21"/>
    </row>
    <row r="953" customFormat="false" ht="15" hidden="false" customHeight="true" outlineLevel="0" collapsed="false">
      <c r="A953" s="21"/>
      <c r="B953" s="21"/>
      <c r="C953" s="21"/>
      <c r="D953" s="21"/>
      <c r="E953" s="21"/>
      <c r="F953" s="21"/>
      <c r="G953" s="21"/>
      <c r="I953" s="21"/>
      <c r="J953" s="21"/>
      <c r="K953" s="21"/>
      <c r="L953" s="21"/>
      <c r="M953" s="21"/>
      <c r="N953" s="21"/>
      <c r="O953" s="21"/>
      <c r="Q953" s="21"/>
      <c r="R953" s="21"/>
      <c r="S953" s="21"/>
      <c r="T953" s="21"/>
    </row>
    <row r="954" customFormat="false" ht="15" hidden="false" customHeight="true" outlineLevel="0" collapsed="false">
      <c r="A954" s="21"/>
      <c r="B954" s="21"/>
      <c r="C954" s="21"/>
      <c r="D954" s="21"/>
      <c r="E954" s="21"/>
      <c r="F954" s="21"/>
      <c r="G954" s="21"/>
      <c r="I954" s="21"/>
      <c r="J954" s="21"/>
      <c r="K954" s="21"/>
      <c r="L954" s="21"/>
      <c r="M954" s="21"/>
      <c r="N954" s="21"/>
      <c r="O954" s="21"/>
      <c r="Q954" s="21"/>
      <c r="R954" s="21"/>
      <c r="S954" s="21"/>
      <c r="T954" s="21"/>
    </row>
    <row r="955" customFormat="false" ht="15" hidden="false" customHeight="true" outlineLevel="0" collapsed="false">
      <c r="A955" s="21"/>
      <c r="B955" s="21"/>
      <c r="C955" s="21"/>
      <c r="D955" s="21"/>
      <c r="E955" s="21"/>
      <c r="F955" s="21"/>
      <c r="G955" s="21"/>
      <c r="I955" s="21"/>
      <c r="J955" s="21"/>
      <c r="K955" s="21"/>
      <c r="L955" s="21"/>
      <c r="M955" s="21"/>
      <c r="N955" s="21"/>
      <c r="O955" s="21"/>
      <c r="Q955" s="21"/>
      <c r="R955" s="21"/>
      <c r="S955" s="21"/>
      <c r="T955" s="21"/>
    </row>
    <row r="956" customFormat="false" ht="15" hidden="false" customHeight="true" outlineLevel="0" collapsed="false">
      <c r="A956" s="21"/>
      <c r="B956" s="21"/>
      <c r="C956" s="21"/>
      <c r="D956" s="21"/>
      <c r="E956" s="21"/>
      <c r="F956" s="21"/>
      <c r="G956" s="21"/>
      <c r="I956" s="21"/>
      <c r="J956" s="21"/>
      <c r="K956" s="21"/>
      <c r="L956" s="21"/>
      <c r="M956" s="21"/>
      <c r="N956" s="21"/>
      <c r="O956" s="21"/>
      <c r="Q956" s="21"/>
      <c r="R956" s="21"/>
      <c r="S956" s="21"/>
      <c r="T956" s="21"/>
    </row>
    <row r="957" customFormat="false" ht="15" hidden="false" customHeight="true" outlineLevel="0" collapsed="false">
      <c r="A957" s="21"/>
      <c r="B957" s="21"/>
      <c r="C957" s="21"/>
      <c r="D957" s="21"/>
      <c r="E957" s="21"/>
      <c r="F957" s="21"/>
      <c r="G957" s="21"/>
      <c r="I957" s="21"/>
      <c r="J957" s="21"/>
      <c r="K957" s="21"/>
      <c r="L957" s="21"/>
      <c r="M957" s="21"/>
      <c r="N957" s="21"/>
      <c r="O957" s="21"/>
      <c r="Q957" s="21"/>
      <c r="R957" s="21"/>
      <c r="S957" s="21"/>
      <c r="T957" s="21"/>
    </row>
    <row r="958" customFormat="false" ht="15" hidden="false" customHeight="true" outlineLevel="0" collapsed="false">
      <c r="A958" s="21"/>
      <c r="B958" s="21"/>
      <c r="C958" s="21"/>
      <c r="D958" s="21"/>
      <c r="E958" s="21"/>
      <c r="F958" s="21"/>
      <c r="G958" s="21"/>
      <c r="I958" s="21"/>
      <c r="J958" s="21"/>
      <c r="K958" s="21"/>
      <c r="L958" s="21"/>
      <c r="M958" s="21"/>
      <c r="N958" s="21"/>
      <c r="O958" s="21"/>
      <c r="Q958" s="21"/>
      <c r="R958" s="21"/>
      <c r="S958" s="21"/>
      <c r="T958" s="21"/>
    </row>
    <row r="959" customFormat="false" ht="15" hidden="false" customHeight="true" outlineLevel="0" collapsed="false">
      <c r="A959" s="21"/>
      <c r="B959" s="21"/>
      <c r="C959" s="21"/>
      <c r="D959" s="21"/>
      <c r="E959" s="21"/>
      <c r="F959" s="21"/>
      <c r="G959" s="21"/>
      <c r="I959" s="21"/>
      <c r="J959" s="21"/>
      <c r="K959" s="21"/>
      <c r="L959" s="21"/>
      <c r="M959" s="21"/>
      <c r="N959" s="21"/>
      <c r="O959" s="21"/>
      <c r="Q959" s="21"/>
      <c r="R959" s="21"/>
      <c r="S959" s="21"/>
      <c r="T959" s="21"/>
    </row>
    <row r="960" customFormat="false" ht="15" hidden="false" customHeight="true" outlineLevel="0" collapsed="false">
      <c r="A960" s="21"/>
      <c r="B960" s="21"/>
      <c r="C960" s="21"/>
      <c r="D960" s="21"/>
      <c r="E960" s="21"/>
      <c r="F960" s="21"/>
      <c r="G960" s="21"/>
      <c r="I960" s="21"/>
      <c r="J960" s="21"/>
      <c r="K960" s="21"/>
      <c r="L960" s="21"/>
      <c r="M960" s="21"/>
      <c r="N960" s="21"/>
      <c r="O960" s="21"/>
      <c r="Q960" s="21"/>
      <c r="R960" s="21"/>
      <c r="S960" s="21"/>
      <c r="T960" s="21"/>
    </row>
    <row r="961" customFormat="false" ht="15" hidden="false" customHeight="true" outlineLevel="0" collapsed="false">
      <c r="A961" s="21"/>
      <c r="B961" s="21"/>
      <c r="C961" s="21"/>
      <c r="D961" s="21"/>
      <c r="E961" s="21"/>
      <c r="F961" s="21"/>
      <c r="G961" s="21"/>
      <c r="I961" s="21"/>
      <c r="J961" s="21"/>
      <c r="K961" s="21"/>
      <c r="L961" s="21"/>
      <c r="M961" s="21"/>
      <c r="N961" s="21"/>
      <c r="O961" s="21"/>
      <c r="Q961" s="21"/>
      <c r="R961" s="21"/>
      <c r="S961" s="21"/>
      <c r="T961" s="21"/>
    </row>
    <row r="962" customFormat="false" ht="15" hidden="false" customHeight="true" outlineLevel="0" collapsed="false">
      <c r="A962" s="21"/>
      <c r="B962" s="21"/>
      <c r="C962" s="21"/>
      <c r="D962" s="21"/>
      <c r="E962" s="21"/>
      <c r="F962" s="21"/>
      <c r="G962" s="21"/>
      <c r="I962" s="21"/>
      <c r="J962" s="21"/>
      <c r="K962" s="21"/>
      <c r="L962" s="21"/>
      <c r="M962" s="21"/>
      <c r="N962" s="21"/>
      <c r="O962" s="21"/>
      <c r="Q962" s="21"/>
      <c r="R962" s="21"/>
      <c r="S962" s="21"/>
      <c r="T962" s="21"/>
    </row>
    <row r="963" customFormat="false" ht="15" hidden="false" customHeight="true" outlineLevel="0" collapsed="false">
      <c r="A963" s="21"/>
      <c r="B963" s="21"/>
      <c r="C963" s="21"/>
      <c r="D963" s="21"/>
      <c r="E963" s="21"/>
      <c r="F963" s="21"/>
      <c r="G963" s="21"/>
      <c r="I963" s="21"/>
      <c r="J963" s="21"/>
      <c r="K963" s="21"/>
      <c r="L963" s="21"/>
      <c r="M963" s="21"/>
      <c r="N963" s="21"/>
      <c r="O963" s="21"/>
      <c r="Q963" s="21"/>
      <c r="R963" s="21"/>
      <c r="S963" s="21"/>
      <c r="T963" s="21"/>
    </row>
    <row r="964" customFormat="false" ht="15" hidden="false" customHeight="true" outlineLevel="0" collapsed="false">
      <c r="A964" s="21"/>
      <c r="B964" s="21"/>
      <c r="C964" s="21"/>
      <c r="D964" s="21"/>
      <c r="E964" s="21"/>
      <c r="F964" s="21"/>
      <c r="G964" s="21"/>
      <c r="I964" s="21"/>
      <c r="J964" s="21"/>
      <c r="K964" s="21"/>
      <c r="L964" s="21"/>
      <c r="M964" s="21"/>
      <c r="N964" s="21"/>
      <c r="O964" s="21"/>
      <c r="Q964" s="21"/>
      <c r="R964" s="21"/>
      <c r="S964" s="21"/>
      <c r="T964" s="21"/>
    </row>
    <row r="965" customFormat="false" ht="15" hidden="false" customHeight="true" outlineLevel="0" collapsed="false">
      <c r="A965" s="21"/>
      <c r="B965" s="21"/>
      <c r="C965" s="21"/>
      <c r="D965" s="21"/>
      <c r="E965" s="21"/>
      <c r="F965" s="21"/>
      <c r="G965" s="21"/>
      <c r="I965" s="21"/>
      <c r="J965" s="21"/>
      <c r="K965" s="21"/>
      <c r="L965" s="21"/>
      <c r="M965" s="21"/>
      <c r="N965" s="21"/>
      <c r="O965" s="21"/>
      <c r="Q965" s="21"/>
      <c r="R965" s="21"/>
      <c r="S965" s="21"/>
      <c r="T965" s="21"/>
    </row>
    <row r="966" customFormat="false" ht="15" hidden="false" customHeight="true" outlineLevel="0" collapsed="false">
      <c r="A966" s="21"/>
      <c r="B966" s="21"/>
      <c r="C966" s="21"/>
      <c r="D966" s="21"/>
      <c r="E966" s="21"/>
      <c r="F966" s="21"/>
      <c r="G966" s="21"/>
      <c r="I966" s="21"/>
      <c r="J966" s="21"/>
      <c r="K966" s="21"/>
      <c r="L966" s="21"/>
      <c r="M966" s="21"/>
      <c r="N966" s="21"/>
      <c r="O966" s="21"/>
      <c r="Q966" s="21"/>
      <c r="R966" s="21"/>
      <c r="S966" s="21"/>
      <c r="T966" s="21"/>
    </row>
    <row r="967" customFormat="false" ht="15" hidden="false" customHeight="true" outlineLevel="0" collapsed="false">
      <c r="A967" s="21"/>
      <c r="B967" s="21"/>
      <c r="C967" s="21"/>
      <c r="D967" s="21"/>
      <c r="E967" s="21"/>
      <c r="F967" s="21"/>
      <c r="G967" s="21"/>
      <c r="I967" s="21"/>
      <c r="J967" s="21"/>
      <c r="K967" s="21"/>
      <c r="L967" s="21"/>
      <c r="M967" s="21"/>
      <c r="N967" s="21"/>
      <c r="O967" s="21"/>
      <c r="Q967" s="21"/>
      <c r="R967" s="21"/>
      <c r="S967" s="21"/>
      <c r="T967" s="21"/>
    </row>
    <row r="968" customFormat="false" ht="15" hidden="false" customHeight="true" outlineLevel="0" collapsed="false">
      <c r="A968" s="21"/>
      <c r="B968" s="21"/>
      <c r="C968" s="21"/>
      <c r="D968" s="21"/>
      <c r="E968" s="21"/>
      <c r="F968" s="21"/>
      <c r="G968" s="21"/>
      <c r="I968" s="21"/>
      <c r="J968" s="21"/>
      <c r="K968" s="21"/>
      <c r="L968" s="21"/>
      <c r="M968" s="21"/>
      <c r="N968" s="21"/>
      <c r="O968" s="21"/>
      <c r="Q968" s="21"/>
      <c r="R968" s="21"/>
      <c r="S968" s="21"/>
      <c r="T968" s="21"/>
    </row>
    <row r="969" customFormat="false" ht="15" hidden="false" customHeight="true" outlineLevel="0" collapsed="false">
      <c r="A969" s="21"/>
      <c r="B969" s="21"/>
      <c r="C969" s="21"/>
      <c r="D969" s="21"/>
      <c r="E969" s="21"/>
      <c r="F969" s="21"/>
      <c r="G969" s="21"/>
      <c r="I969" s="21"/>
      <c r="J969" s="21"/>
      <c r="K969" s="21"/>
      <c r="L969" s="21"/>
      <c r="M969" s="21"/>
      <c r="N969" s="21"/>
      <c r="O969" s="21"/>
      <c r="Q969" s="21"/>
      <c r="R969" s="21"/>
      <c r="S969" s="21"/>
      <c r="T969" s="21"/>
    </row>
    <row r="970" customFormat="false" ht="15" hidden="false" customHeight="true" outlineLevel="0" collapsed="false">
      <c r="A970" s="21"/>
      <c r="B970" s="21"/>
      <c r="C970" s="21"/>
      <c r="D970" s="21"/>
      <c r="E970" s="21"/>
      <c r="F970" s="21"/>
      <c r="G970" s="21"/>
      <c r="I970" s="21"/>
      <c r="J970" s="21"/>
      <c r="K970" s="21"/>
      <c r="L970" s="21"/>
      <c r="M970" s="21"/>
      <c r="N970" s="21"/>
      <c r="O970" s="21"/>
      <c r="Q970" s="21"/>
      <c r="R970" s="21"/>
      <c r="S970" s="21"/>
      <c r="T970" s="21"/>
    </row>
    <row r="971" customFormat="false" ht="15" hidden="false" customHeight="true" outlineLevel="0" collapsed="false">
      <c r="A971" s="21"/>
      <c r="B971" s="21"/>
      <c r="C971" s="21"/>
      <c r="D971" s="21"/>
      <c r="E971" s="21"/>
      <c r="F971" s="21"/>
      <c r="G971" s="21"/>
      <c r="I971" s="21"/>
      <c r="J971" s="21"/>
      <c r="K971" s="21"/>
      <c r="L971" s="21"/>
      <c r="M971" s="21"/>
      <c r="N971" s="21"/>
      <c r="O971" s="21"/>
      <c r="Q971" s="21"/>
      <c r="R971" s="21"/>
      <c r="S971" s="21"/>
      <c r="T971" s="21"/>
    </row>
    <row r="972" customFormat="false" ht="15" hidden="false" customHeight="true" outlineLevel="0" collapsed="false">
      <c r="A972" s="21"/>
      <c r="B972" s="21"/>
      <c r="C972" s="21"/>
      <c r="D972" s="21"/>
      <c r="E972" s="21"/>
      <c r="F972" s="21"/>
      <c r="G972" s="21"/>
      <c r="I972" s="21"/>
      <c r="J972" s="21"/>
      <c r="K972" s="21"/>
      <c r="L972" s="21"/>
      <c r="M972" s="21"/>
      <c r="N972" s="21"/>
      <c r="O972" s="21"/>
      <c r="Q972" s="21"/>
      <c r="R972" s="21"/>
      <c r="S972" s="21"/>
      <c r="T972" s="21"/>
    </row>
    <row r="973" customFormat="false" ht="15" hidden="false" customHeight="true" outlineLevel="0" collapsed="false">
      <c r="A973" s="21"/>
      <c r="B973" s="21"/>
      <c r="C973" s="21"/>
      <c r="D973" s="21"/>
      <c r="E973" s="21"/>
      <c r="F973" s="21"/>
      <c r="G973" s="21"/>
      <c r="I973" s="21"/>
      <c r="J973" s="21"/>
      <c r="K973" s="21"/>
      <c r="L973" s="21"/>
      <c r="M973" s="21"/>
      <c r="N973" s="21"/>
      <c r="O973" s="21"/>
      <c r="Q973" s="21"/>
      <c r="R973" s="21"/>
      <c r="S973" s="21"/>
      <c r="T973" s="21"/>
    </row>
    <row r="974" customFormat="false" ht="15" hidden="false" customHeight="true" outlineLevel="0" collapsed="false">
      <c r="A974" s="21"/>
      <c r="B974" s="21"/>
      <c r="C974" s="21"/>
      <c r="D974" s="21"/>
      <c r="E974" s="21"/>
      <c r="F974" s="21"/>
      <c r="G974" s="21"/>
      <c r="I974" s="21"/>
      <c r="J974" s="21"/>
      <c r="K974" s="21"/>
      <c r="L974" s="21"/>
      <c r="M974" s="21"/>
      <c r="N974" s="21"/>
      <c r="O974" s="21"/>
      <c r="Q974" s="21"/>
      <c r="R974" s="21"/>
      <c r="S974" s="21"/>
      <c r="T974" s="21"/>
    </row>
    <row r="975" customFormat="false" ht="15" hidden="false" customHeight="true" outlineLevel="0" collapsed="false">
      <c r="A975" s="21"/>
      <c r="B975" s="21"/>
      <c r="C975" s="21"/>
      <c r="D975" s="21"/>
      <c r="E975" s="21"/>
      <c r="F975" s="21"/>
      <c r="G975" s="21"/>
      <c r="I975" s="21"/>
      <c r="J975" s="21"/>
      <c r="K975" s="21"/>
      <c r="L975" s="21"/>
      <c r="M975" s="21"/>
      <c r="N975" s="21"/>
      <c r="O975" s="21"/>
      <c r="Q975" s="21"/>
      <c r="R975" s="21"/>
      <c r="S975" s="21"/>
      <c r="T975" s="21"/>
    </row>
    <row r="976" customFormat="false" ht="15" hidden="false" customHeight="true" outlineLevel="0" collapsed="false">
      <c r="A976" s="21"/>
      <c r="B976" s="21"/>
      <c r="C976" s="21"/>
      <c r="D976" s="21"/>
      <c r="E976" s="21"/>
      <c r="F976" s="21"/>
      <c r="G976" s="21"/>
      <c r="I976" s="21"/>
      <c r="J976" s="21"/>
      <c r="K976" s="21"/>
      <c r="L976" s="21"/>
      <c r="M976" s="21"/>
      <c r="N976" s="21"/>
      <c r="O976" s="21"/>
      <c r="Q976" s="21"/>
      <c r="R976" s="21"/>
      <c r="S976" s="21"/>
      <c r="T976" s="21"/>
    </row>
    <row r="977" customFormat="false" ht="15" hidden="false" customHeight="true" outlineLevel="0" collapsed="false">
      <c r="A977" s="21"/>
      <c r="B977" s="21"/>
      <c r="C977" s="21"/>
      <c r="D977" s="21"/>
      <c r="E977" s="21"/>
      <c r="F977" s="21"/>
      <c r="G977" s="21"/>
      <c r="I977" s="21"/>
      <c r="J977" s="21"/>
      <c r="K977" s="21"/>
      <c r="L977" s="21"/>
      <c r="M977" s="21"/>
      <c r="N977" s="21"/>
      <c r="O977" s="21"/>
      <c r="Q977" s="21"/>
      <c r="R977" s="21"/>
      <c r="S977" s="21"/>
      <c r="T977" s="21"/>
    </row>
    <row r="978" customFormat="false" ht="15" hidden="false" customHeight="true" outlineLevel="0" collapsed="false">
      <c r="A978" s="21"/>
      <c r="B978" s="21"/>
      <c r="C978" s="21"/>
      <c r="D978" s="21"/>
      <c r="E978" s="21"/>
      <c r="F978" s="21"/>
      <c r="G978" s="21"/>
      <c r="I978" s="21"/>
      <c r="J978" s="21"/>
      <c r="K978" s="21"/>
      <c r="L978" s="21"/>
      <c r="M978" s="21"/>
      <c r="N978" s="21"/>
      <c r="O978" s="21"/>
      <c r="Q978" s="21"/>
      <c r="R978" s="21"/>
      <c r="S978" s="21"/>
      <c r="T978" s="21"/>
    </row>
    <row r="979" customFormat="false" ht="15" hidden="false" customHeight="true" outlineLevel="0" collapsed="false">
      <c r="A979" s="21"/>
      <c r="B979" s="21"/>
      <c r="C979" s="21"/>
      <c r="D979" s="21"/>
      <c r="E979" s="21"/>
      <c r="F979" s="21"/>
      <c r="G979" s="21"/>
      <c r="I979" s="21"/>
      <c r="J979" s="21"/>
      <c r="K979" s="21"/>
      <c r="L979" s="21"/>
      <c r="M979" s="21"/>
      <c r="N979" s="21"/>
      <c r="O979" s="21"/>
      <c r="Q979" s="21"/>
      <c r="R979" s="21"/>
      <c r="S979" s="21"/>
      <c r="T979" s="21"/>
    </row>
    <row r="980" customFormat="false" ht="15" hidden="false" customHeight="true" outlineLevel="0" collapsed="false">
      <c r="A980" s="21"/>
      <c r="B980" s="21"/>
      <c r="C980" s="21"/>
      <c r="D980" s="21"/>
      <c r="E980" s="21"/>
      <c r="F980" s="21"/>
      <c r="G980" s="21"/>
      <c r="I980" s="21"/>
      <c r="J980" s="21"/>
      <c r="K980" s="21"/>
      <c r="L980" s="21"/>
      <c r="M980" s="21"/>
      <c r="N980" s="21"/>
      <c r="O980" s="21"/>
      <c r="Q980" s="21"/>
      <c r="R980" s="21"/>
      <c r="S980" s="21"/>
      <c r="T980" s="21"/>
    </row>
    <row r="981" customFormat="false" ht="15" hidden="false" customHeight="true" outlineLevel="0" collapsed="false">
      <c r="A981" s="21"/>
      <c r="B981" s="21"/>
      <c r="C981" s="21"/>
      <c r="D981" s="21"/>
      <c r="E981" s="21"/>
      <c r="F981" s="21"/>
      <c r="G981" s="21"/>
      <c r="I981" s="21"/>
      <c r="J981" s="21"/>
      <c r="K981" s="21"/>
      <c r="L981" s="21"/>
      <c r="M981" s="21"/>
      <c r="N981" s="21"/>
      <c r="O981" s="21"/>
      <c r="Q981" s="21"/>
      <c r="R981" s="21"/>
      <c r="S981" s="21"/>
      <c r="T981" s="21"/>
    </row>
    <row r="982" customFormat="false" ht="15" hidden="false" customHeight="true" outlineLevel="0" collapsed="false">
      <c r="A982" s="21"/>
      <c r="B982" s="21"/>
      <c r="C982" s="21"/>
      <c r="D982" s="21"/>
      <c r="E982" s="21"/>
      <c r="F982" s="21"/>
      <c r="G982" s="21"/>
      <c r="I982" s="21"/>
      <c r="J982" s="21"/>
      <c r="K982" s="21"/>
      <c r="L982" s="21"/>
      <c r="M982" s="21"/>
      <c r="N982" s="21"/>
      <c r="O982" s="21"/>
      <c r="Q982" s="21"/>
      <c r="R982" s="21"/>
      <c r="S982" s="21"/>
      <c r="T982" s="21"/>
    </row>
    <row r="983" customFormat="false" ht="15" hidden="false" customHeight="true" outlineLevel="0" collapsed="false">
      <c r="A983" s="21"/>
      <c r="B983" s="21"/>
      <c r="C983" s="21"/>
      <c r="D983" s="21"/>
      <c r="E983" s="21"/>
      <c r="F983" s="21"/>
      <c r="G983" s="21"/>
      <c r="I983" s="21"/>
      <c r="J983" s="21"/>
      <c r="K983" s="21"/>
      <c r="L983" s="21"/>
      <c r="M983" s="21"/>
      <c r="N983" s="21"/>
      <c r="O983" s="21"/>
      <c r="Q983" s="21"/>
      <c r="R983" s="21"/>
      <c r="S983" s="21"/>
      <c r="T983" s="21"/>
    </row>
    <row r="984" customFormat="false" ht="15" hidden="false" customHeight="true" outlineLevel="0" collapsed="false">
      <c r="A984" s="21"/>
      <c r="B984" s="21"/>
      <c r="C984" s="21"/>
      <c r="D984" s="21"/>
      <c r="E984" s="21"/>
      <c r="F984" s="21"/>
      <c r="G984" s="21"/>
      <c r="I984" s="21"/>
      <c r="J984" s="21"/>
      <c r="K984" s="21"/>
      <c r="L984" s="21"/>
      <c r="M984" s="21"/>
      <c r="N984" s="21"/>
      <c r="O984" s="21"/>
      <c r="Q984" s="21"/>
      <c r="R984" s="21"/>
      <c r="S984" s="21"/>
      <c r="T984" s="21"/>
    </row>
    <row r="985" customFormat="false" ht="15" hidden="false" customHeight="true" outlineLevel="0" collapsed="false">
      <c r="A985" s="21"/>
      <c r="B985" s="21"/>
      <c r="C985" s="21"/>
      <c r="D985" s="21"/>
      <c r="E985" s="21"/>
      <c r="F985" s="21"/>
      <c r="G985" s="21"/>
      <c r="I985" s="21"/>
      <c r="J985" s="21"/>
      <c r="K985" s="21"/>
      <c r="L985" s="21"/>
      <c r="M985" s="21"/>
      <c r="N985" s="21"/>
      <c r="O985" s="21"/>
      <c r="Q985" s="21"/>
      <c r="R985" s="21"/>
      <c r="S985" s="21"/>
      <c r="T985" s="21"/>
    </row>
    <row r="986" customFormat="false" ht="15" hidden="false" customHeight="true" outlineLevel="0" collapsed="false">
      <c r="A986" s="21"/>
      <c r="B986" s="21"/>
      <c r="C986" s="21"/>
      <c r="D986" s="21"/>
      <c r="E986" s="21"/>
      <c r="F986" s="21"/>
      <c r="G986" s="21"/>
      <c r="I986" s="21"/>
      <c r="J986" s="21"/>
      <c r="K986" s="21"/>
      <c r="L986" s="21"/>
      <c r="M986" s="21"/>
      <c r="N986" s="21"/>
      <c r="O986" s="21"/>
      <c r="Q986" s="21"/>
      <c r="R986" s="21"/>
      <c r="S986" s="21"/>
      <c r="T986" s="21"/>
    </row>
    <row r="987" customFormat="false" ht="15" hidden="false" customHeight="true" outlineLevel="0" collapsed="false">
      <c r="A987" s="21"/>
      <c r="B987" s="21"/>
      <c r="C987" s="21"/>
      <c r="D987" s="21"/>
      <c r="E987" s="21"/>
      <c r="F987" s="21"/>
      <c r="G987" s="21"/>
      <c r="I987" s="21"/>
      <c r="J987" s="21"/>
      <c r="K987" s="21"/>
      <c r="L987" s="21"/>
      <c r="M987" s="21"/>
      <c r="N987" s="21"/>
      <c r="O987" s="21"/>
      <c r="Q987" s="21"/>
      <c r="R987" s="21"/>
      <c r="S987" s="21"/>
      <c r="T987" s="21"/>
    </row>
    <row r="988" customFormat="false" ht="15" hidden="false" customHeight="true" outlineLevel="0" collapsed="false">
      <c r="A988" s="21"/>
      <c r="B988" s="21"/>
      <c r="C988" s="21"/>
      <c r="D988" s="21"/>
      <c r="E988" s="21"/>
      <c r="F988" s="21"/>
      <c r="G988" s="21"/>
      <c r="I988" s="21"/>
      <c r="J988" s="21"/>
      <c r="K988" s="21"/>
      <c r="L988" s="21"/>
      <c r="M988" s="21"/>
      <c r="N988" s="21"/>
      <c r="O988" s="21"/>
      <c r="Q988" s="21"/>
      <c r="R988" s="21"/>
      <c r="S988" s="21"/>
      <c r="T988" s="21"/>
    </row>
    <row r="989" customFormat="false" ht="15" hidden="false" customHeight="true" outlineLevel="0" collapsed="false">
      <c r="A989" s="21"/>
      <c r="B989" s="21"/>
      <c r="C989" s="21"/>
      <c r="D989" s="21"/>
      <c r="E989" s="21"/>
      <c r="F989" s="21"/>
      <c r="G989" s="21"/>
      <c r="I989" s="21"/>
      <c r="J989" s="21"/>
      <c r="K989" s="21"/>
      <c r="L989" s="21"/>
      <c r="M989" s="21"/>
      <c r="N989" s="21"/>
      <c r="O989" s="21"/>
      <c r="Q989" s="21"/>
      <c r="R989" s="21"/>
      <c r="S989" s="21"/>
      <c r="T989" s="21"/>
    </row>
    <row r="990" customFormat="false" ht="15" hidden="false" customHeight="true" outlineLevel="0" collapsed="false">
      <c r="A990" s="21"/>
      <c r="B990" s="21"/>
      <c r="C990" s="21"/>
      <c r="D990" s="21"/>
      <c r="E990" s="21"/>
      <c r="F990" s="21"/>
      <c r="G990" s="21"/>
      <c r="I990" s="21"/>
      <c r="J990" s="21"/>
      <c r="K990" s="21"/>
      <c r="L990" s="21"/>
      <c r="M990" s="21"/>
      <c r="N990" s="21"/>
      <c r="O990" s="21"/>
      <c r="Q990" s="21"/>
      <c r="R990" s="21"/>
      <c r="S990" s="21"/>
      <c r="T990" s="21"/>
    </row>
    <row r="991" customFormat="false" ht="15" hidden="false" customHeight="true" outlineLevel="0" collapsed="false">
      <c r="A991" s="21"/>
      <c r="B991" s="21"/>
      <c r="C991" s="21"/>
      <c r="D991" s="21"/>
      <c r="E991" s="21"/>
      <c r="F991" s="21"/>
      <c r="G991" s="21"/>
      <c r="I991" s="21"/>
      <c r="J991" s="21"/>
      <c r="K991" s="21"/>
      <c r="L991" s="21"/>
      <c r="M991" s="21"/>
      <c r="N991" s="21"/>
      <c r="O991" s="21"/>
      <c r="Q991" s="21"/>
      <c r="R991" s="21"/>
      <c r="S991" s="21"/>
      <c r="T991" s="21"/>
    </row>
    <row r="992" customFormat="false" ht="15" hidden="false" customHeight="true" outlineLevel="0" collapsed="false">
      <c r="A992" s="21"/>
      <c r="B992" s="21"/>
      <c r="C992" s="21"/>
      <c r="D992" s="21"/>
      <c r="E992" s="21"/>
      <c r="F992" s="21"/>
      <c r="G992" s="21"/>
      <c r="I992" s="21"/>
      <c r="J992" s="21"/>
      <c r="K992" s="21"/>
      <c r="L992" s="21"/>
      <c r="M992" s="21"/>
      <c r="N992" s="21"/>
      <c r="O992" s="21"/>
      <c r="Q992" s="21"/>
      <c r="R992" s="21"/>
      <c r="S992" s="21"/>
      <c r="T992" s="21"/>
    </row>
    <row r="993" customFormat="false" ht="15" hidden="false" customHeight="true" outlineLevel="0" collapsed="false">
      <c r="A993" s="21"/>
      <c r="B993" s="21"/>
      <c r="C993" s="21"/>
      <c r="D993" s="21"/>
      <c r="E993" s="21"/>
      <c r="F993" s="21"/>
      <c r="G993" s="21"/>
      <c r="I993" s="21"/>
      <c r="J993" s="21"/>
      <c r="K993" s="21"/>
      <c r="L993" s="21"/>
      <c r="M993" s="21"/>
      <c r="N993" s="21"/>
      <c r="O993" s="21"/>
      <c r="Q993" s="21"/>
      <c r="R993" s="21"/>
      <c r="S993" s="21"/>
      <c r="T993" s="21"/>
    </row>
    <row r="994" customFormat="false" ht="15" hidden="false" customHeight="true" outlineLevel="0" collapsed="false">
      <c r="A994" s="21"/>
      <c r="B994" s="21"/>
      <c r="C994" s="21"/>
      <c r="D994" s="21"/>
      <c r="E994" s="21"/>
      <c r="F994" s="21"/>
      <c r="G994" s="21"/>
      <c r="I994" s="21"/>
      <c r="J994" s="21"/>
      <c r="K994" s="21"/>
      <c r="L994" s="21"/>
      <c r="M994" s="21"/>
      <c r="N994" s="21"/>
      <c r="O994" s="21"/>
      <c r="Q994" s="21"/>
      <c r="R994" s="21"/>
      <c r="S994" s="21"/>
      <c r="T994" s="21"/>
    </row>
    <row r="995" customFormat="false" ht="15" hidden="false" customHeight="true" outlineLevel="0" collapsed="false">
      <c r="A995" s="21"/>
      <c r="B995" s="21"/>
      <c r="C995" s="21"/>
      <c r="D995" s="21"/>
      <c r="E995" s="21"/>
      <c r="F995" s="21"/>
      <c r="G995" s="21"/>
      <c r="I995" s="21"/>
      <c r="J995" s="21"/>
      <c r="K995" s="21"/>
      <c r="L995" s="21"/>
      <c r="M995" s="21"/>
      <c r="N995" s="21"/>
      <c r="O995" s="21"/>
      <c r="Q995" s="21"/>
      <c r="R995" s="21"/>
      <c r="S995" s="21"/>
      <c r="T995" s="21"/>
    </row>
    <row r="996" customFormat="false" ht="15" hidden="false" customHeight="true" outlineLevel="0" collapsed="false">
      <c r="A996" s="21"/>
      <c r="B996" s="21"/>
      <c r="C996" s="21"/>
      <c r="D996" s="21"/>
      <c r="E996" s="21"/>
      <c r="F996" s="21"/>
      <c r="G996" s="21"/>
      <c r="I996" s="21"/>
      <c r="J996" s="21"/>
      <c r="K996" s="21"/>
      <c r="L996" s="21"/>
      <c r="M996" s="21"/>
      <c r="N996" s="21"/>
      <c r="O996" s="21"/>
      <c r="Q996" s="21"/>
      <c r="R996" s="21"/>
      <c r="S996" s="21"/>
      <c r="T996" s="21"/>
    </row>
    <row r="997" customFormat="false" ht="15" hidden="false" customHeight="true" outlineLevel="0" collapsed="false">
      <c r="A997" s="21"/>
      <c r="B997" s="21"/>
      <c r="C997" s="21"/>
      <c r="D997" s="21"/>
      <c r="E997" s="21"/>
      <c r="F997" s="21"/>
      <c r="G997" s="21"/>
      <c r="I997" s="21"/>
      <c r="J997" s="21"/>
      <c r="K997" s="21"/>
      <c r="L997" s="21"/>
      <c r="M997" s="21"/>
      <c r="N997" s="21"/>
      <c r="O997" s="21"/>
      <c r="Q997" s="21"/>
      <c r="R997" s="21"/>
      <c r="S997" s="21"/>
      <c r="T997" s="21"/>
    </row>
    <row r="998" customFormat="false" ht="15" hidden="false" customHeight="true" outlineLevel="0" collapsed="false">
      <c r="A998" s="21"/>
      <c r="B998" s="21"/>
      <c r="C998" s="21"/>
      <c r="D998" s="21"/>
      <c r="E998" s="21"/>
      <c r="F998" s="21"/>
      <c r="G998" s="21"/>
      <c r="I998" s="21"/>
      <c r="J998" s="21"/>
      <c r="K998" s="21"/>
      <c r="L998" s="21"/>
      <c r="M998" s="21"/>
      <c r="N998" s="21"/>
      <c r="O998" s="21"/>
      <c r="Q998" s="21"/>
      <c r="R998" s="21"/>
      <c r="S998" s="21"/>
      <c r="T998" s="21"/>
    </row>
    <row r="999" customFormat="false" ht="15" hidden="false" customHeight="true" outlineLevel="0" collapsed="false">
      <c r="A999" s="21"/>
      <c r="B999" s="21"/>
      <c r="C999" s="21"/>
      <c r="D999" s="21"/>
      <c r="E999" s="21"/>
      <c r="F999" s="21"/>
      <c r="G999" s="21"/>
      <c r="I999" s="21"/>
      <c r="J999" s="21"/>
      <c r="K999" s="21"/>
      <c r="L999" s="21"/>
      <c r="M999" s="21"/>
      <c r="N999" s="21"/>
      <c r="O999" s="21"/>
      <c r="Q999" s="21"/>
      <c r="R999" s="21"/>
      <c r="S999" s="21"/>
      <c r="T999" s="21"/>
    </row>
    <row r="1000" customFormat="false" ht="15" hidden="false" customHeight="true" outlineLevel="0" collapsed="false">
      <c r="A1000" s="21"/>
      <c r="B1000" s="21"/>
      <c r="C1000" s="21"/>
      <c r="D1000" s="21"/>
      <c r="E1000" s="21"/>
      <c r="F1000" s="21"/>
      <c r="G1000" s="21"/>
      <c r="I1000" s="21"/>
      <c r="J1000" s="21"/>
      <c r="K1000" s="21"/>
      <c r="L1000" s="21"/>
      <c r="M1000" s="21"/>
      <c r="N1000" s="21"/>
      <c r="O1000" s="21"/>
      <c r="Q1000" s="21"/>
      <c r="R1000" s="21"/>
      <c r="S1000" s="21"/>
      <c r="T1000" s="21"/>
    </row>
    <row r="1001" customFormat="false" ht="15" hidden="false" customHeight="true" outlineLevel="0" collapsed="false">
      <c r="A1001" s="21"/>
      <c r="B1001" s="21"/>
      <c r="C1001" s="21"/>
      <c r="D1001" s="21"/>
      <c r="E1001" s="21"/>
      <c r="F1001" s="21"/>
      <c r="G1001" s="21"/>
      <c r="I1001" s="21"/>
      <c r="J1001" s="21"/>
      <c r="K1001" s="21"/>
      <c r="L1001" s="21"/>
      <c r="M1001" s="21"/>
      <c r="N1001" s="21"/>
      <c r="O1001" s="21"/>
      <c r="Q1001" s="21"/>
      <c r="R1001" s="21"/>
      <c r="S1001" s="21"/>
      <c r="T1001" s="21"/>
    </row>
    <row r="1002" customFormat="false" ht="15" hidden="false" customHeight="true" outlineLevel="0" collapsed="false">
      <c r="A1002" s="21"/>
      <c r="B1002" s="21"/>
      <c r="C1002" s="21"/>
      <c r="D1002" s="21"/>
      <c r="E1002" s="21"/>
      <c r="F1002" s="21"/>
      <c r="G1002" s="21"/>
      <c r="I1002" s="21"/>
      <c r="J1002" s="21"/>
      <c r="K1002" s="21"/>
      <c r="L1002" s="21"/>
      <c r="M1002" s="21"/>
      <c r="N1002" s="21"/>
      <c r="O1002" s="21"/>
      <c r="Q1002" s="21"/>
      <c r="R1002" s="21"/>
      <c r="S1002" s="21"/>
      <c r="T1002" s="21"/>
    </row>
    <row r="1003" customFormat="false" ht="15" hidden="false" customHeight="true" outlineLevel="0" collapsed="false">
      <c r="A1003" s="21"/>
      <c r="B1003" s="21"/>
      <c r="C1003" s="21"/>
      <c r="D1003" s="21"/>
      <c r="E1003" s="21"/>
      <c r="F1003" s="21"/>
      <c r="G1003" s="21"/>
      <c r="I1003" s="21"/>
      <c r="J1003" s="21"/>
      <c r="K1003" s="21"/>
      <c r="L1003" s="21"/>
      <c r="M1003" s="21"/>
      <c r="N1003" s="21"/>
      <c r="O1003" s="21"/>
      <c r="Q1003" s="21"/>
      <c r="R1003" s="21"/>
      <c r="S1003" s="21"/>
      <c r="T1003" s="21"/>
    </row>
    <row r="1004" customFormat="false" ht="15" hidden="false" customHeight="true" outlineLevel="0" collapsed="false">
      <c r="A1004" s="21"/>
      <c r="B1004" s="21"/>
      <c r="C1004" s="21"/>
      <c r="D1004" s="21"/>
      <c r="E1004" s="21"/>
      <c r="F1004" s="21"/>
      <c r="G1004" s="21"/>
      <c r="I1004" s="21"/>
      <c r="J1004" s="21"/>
      <c r="K1004" s="21"/>
      <c r="L1004" s="21"/>
      <c r="M1004" s="21"/>
      <c r="N1004" s="21"/>
      <c r="O1004" s="21"/>
      <c r="Q1004" s="21"/>
      <c r="R1004" s="21"/>
      <c r="S1004" s="21"/>
      <c r="T1004" s="21"/>
    </row>
    <row r="1005" customFormat="false" ht="15" hidden="false" customHeight="true" outlineLevel="0" collapsed="false">
      <c r="A1005" s="21"/>
      <c r="B1005" s="21"/>
      <c r="C1005" s="21"/>
      <c r="D1005" s="21"/>
      <c r="E1005" s="21"/>
      <c r="F1005" s="21"/>
      <c r="G1005" s="21"/>
      <c r="I1005" s="21"/>
      <c r="J1005" s="21"/>
      <c r="K1005" s="21"/>
      <c r="L1005" s="21"/>
      <c r="M1005" s="21"/>
      <c r="N1005" s="21"/>
      <c r="O1005" s="21"/>
      <c r="Q1005" s="21"/>
      <c r="R1005" s="21"/>
      <c r="S1005" s="21"/>
      <c r="T1005" s="21"/>
    </row>
    <row r="1006" customFormat="false" ht="15" hidden="false" customHeight="true" outlineLevel="0" collapsed="false">
      <c r="A1006" s="21"/>
      <c r="B1006" s="21"/>
      <c r="C1006" s="21"/>
      <c r="D1006" s="21"/>
      <c r="E1006" s="21"/>
      <c r="F1006" s="21"/>
      <c r="G1006" s="21"/>
      <c r="I1006" s="21"/>
      <c r="J1006" s="21"/>
      <c r="K1006" s="21"/>
      <c r="L1006" s="21"/>
      <c r="M1006" s="21"/>
      <c r="N1006" s="21"/>
      <c r="O1006" s="21"/>
      <c r="Q1006" s="21"/>
      <c r="R1006" s="21"/>
      <c r="S1006" s="21"/>
      <c r="T1006" s="21"/>
    </row>
    <row r="1007" customFormat="false" ht="15" hidden="false" customHeight="true" outlineLevel="0" collapsed="false">
      <c r="A1007" s="21"/>
      <c r="B1007" s="21"/>
      <c r="C1007" s="21"/>
      <c r="D1007" s="21"/>
      <c r="E1007" s="21"/>
      <c r="F1007" s="21"/>
      <c r="G1007" s="21"/>
      <c r="I1007" s="21"/>
      <c r="J1007" s="21"/>
      <c r="K1007" s="21"/>
      <c r="L1007" s="21"/>
      <c r="M1007" s="21"/>
      <c r="N1007" s="21"/>
      <c r="O1007" s="21"/>
      <c r="Q1007" s="21"/>
      <c r="R1007" s="21"/>
      <c r="S1007" s="21"/>
      <c r="T1007" s="21"/>
    </row>
    <row r="1008" customFormat="false" ht="15" hidden="false" customHeight="true" outlineLevel="0" collapsed="false">
      <c r="A1008" s="21"/>
      <c r="B1008" s="21"/>
      <c r="C1008" s="21"/>
      <c r="D1008" s="21"/>
      <c r="E1008" s="21"/>
      <c r="F1008" s="21"/>
      <c r="G1008" s="21"/>
      <c r="I1008" s="21"/>
      <c r="J1008" s="21"/>
      <c r="K1008" s="21"/>
      <c r="L1008" s="21"/>
      <c r="M1008" s="21"/>
      <c r="N1008" s="21"/>
      <c r="O1008" s="21"/>
      <c r="Q1008" s="21"/>
      <c r="R1008" s="21"/>
      <c r="S1008" s="21"/>
      <c r="T1008" s="21"/>
    </row>
    <row r="1009" customFormat="false" ht="15" hidden="false" customHeight="true" outlineLevel="0" collapsed="false">
      <c r="A1009" s="21"/>
      <c r="B1009" s="21"/>
      <c r="C1009" s="21"/>
      <c r="D1009" s="21"/>
      <c r="E1009" s="21"/>
      <c r="F1009" s="21"/>
      <c r="G1009" s="21"/>
      <c r="I1009" s="21"/>
      <c r="J1009" s="21"/>
      <c r="K1009" s="21"/>
      <c r="L1009" s="21"/>
      <c r="M1009" s="21"/>
      <c r="N1009" s="21"/>
      <c r="O1009" s="21"/>
      <c r="Q1009" s="21"/>
      <c r="R1009" s="21"/>
      <c r="S1009" s="21"/>
      <c r="T1009" s="21"/>
    </row>
    <row r="1010" customFormat="false" ht="15" hidden="false" customHeight="true" outlineLevel="0" collapsed="false">
      <c r="A1010" s="21"/>
      <c r="B1010" s="21"/>
      <c r="C1010" s="21"/>
      <c r="D1010" s="21"/>
      <c r="E1010" s="21"/>
      <c r="F1010" s="21"/>
      <c r="G1010" s="21"/>
      <c r="I1010" s="21"/>
      <c r="J1010" s="21"/>
      <c r="K1010" s="21"/>
      <c r="L1010" s="21"/>
      <c r="M1010" s="21"/>
      <c r="N1010" s="21"/>
      <c r="O1010" s="21"/>
      <c r="Q1010" s="21"/>
      <c r="R1010" s="21"/>
      <c r="S1010" s="21"/>
      <c r="T1010" s="21"/>
    </row>
    <row r="1011" customFormat="false" ht="15" hidden="false" customHeight="true" outlineLevel="0" collapsed="false">
      <c r="A1011" s="21"/>
      <c r="B1011" s="21"/>
      <c r="C1011" s="21"/>
      <c r="D1011" s="21"/>
      <c r="E1011" s="21"/>
      <c r="F1011" s="21"/>
      <c r="G1011" s="21"/>
      <c r="I1011" s="21"/>
      <c r="J1011" s="21"/>
      <c r="K1011" s="21"/>
      <c r="L1011" s="21"/>
      <c r="M1011" s="21"/>
      <c r="N1011" s="21"/>
      <c r="O1011" s="21"/>
      <c r="Q1011" s="21"/>
      <c r="R1011" s="21"/>
      <c r="S1011" s="21"/>
      <c r="T1011" s="21"/>
    </row>
    <row r="1012" customFormat="false" ht="15" hidden="false" customHeight="true" outlineLevel="0" collapsed="false">
      <c r="A1012" s="21"/>
      <c r="B1012" s="21"/>
      <c r="C1012" s="21"/>
      <c r="D1012" s="21"/>
      <c r="E1012" s="21"/>
      <c r="F1012" s="21"/>
      <c r="G1012" s="21"/>
      <c r="I1012" s="21"/>
      <c r="J1012" s="21"/>
      <c r="K1012" s="21"/>
      <c r="L1012" s="21"/>
      <c r="M1012" s="21"/>
      <c r="N1012" s="21"/>
      <c r="O1012" s="21"/>
      <c r="Q1012" s="21"/>
      <c r="R1012" s="21"/>
      <c r="S1012" s="21"/>
      <c r="T1012" s="21"/>
    </row>
    <row r="1013" customFormat="false" ht="15" hidden="false" customHeight="true" outlineLevel="0" collapsed="false">
      <c r="A1013" s="21"/>
      <c r="B1013" s="21"/>
      <c r="C1013" s="21"/>
      <c r="D1013" s="21"/>
      <c r="E1013" s="21"/>
      <c r="F1013" s="21"/>
      <c r="G1013" s="21"/>
      <c r="I1013" s="21"/>
      <c r="J1013" s="21"/>
      <c r="K1013" s="21"/>
      <c r="L1013" s="21"/>
      <c r="M1013" s="21"/>
      <c r="N1013" s="21"/>
      <c r="O1013" s="21"/>
      <c r="Q1013" s="21"/>
      <c r="R1013" s="21"/>
      <c r="S1013" s="21"/>
      <c r="T1013" s="21"/>
    </row>
  </sheetData>
  <autoFilter ref="A1:T1013"/>
  <conditionalFormatting sqref="A2:O5000">
    <cfRule type="expression" priority="2" aboveAverage="0" equalAverage="0" bottom="0" percent="0" rank="0" text="" dxfId="13">
      <formula>$L2="Y"</formula>
    </cfRule>
    <cfRule type="expression" priority="3" aboveAverage="0" equalAverage="0" bottom="0" percent="0" rank="0" text="" dxfId="17">
      <formula>$F2="Done"</formula>
    </cfRule>
    <cfRule type="expression" priority="4" aboveAverage="0" equalAverage="0" bottom="0" percent="0" rank="0" text="" dxfId="18">
      <formula>AND($F2="Not Done",$L2&lt;&gt;"Y")</formula>
    </cfRule>
    <cfRule type="expression" priority="5" aboveAverage="0" equalAverage="0" bottom="0" percent="0" rank="0" text="" dxfId="19">
      <formula>AND($F2="Pending",$J2&gt;0,$L2&lt;&gt;"Y")</formula>
    </cfRule>
    <cfRule type="expression" priority="6" aboveAverage="0" equalAverage="0" bottom="0" percent="0" rank="0" text="" dxfId="20">
      <formula>AND($F2="Pending",$J2=0,$L2&lt;&gt;"Y")</formula>
    </cfRule>
  </conditionalFormatting>
  <conditionalFormatting sqref="H2:H5000">
    <cfRule type="expression" priority="7" aboveAverage="0" equalAverage="0" bottom="0" percent="0" rank="0" text="" dxfId="21">
      <formula>$H2&lt;&gt;""</formula>
    </cfRule>
  </conditionalFormatting>
  <conditionalFormatting sqref="A2:T1013">
    <cfRule type="expression" priority="8" aboveAverage="0" equalAverage="0" bottom="0" percent="0" rank="0" text="" dxfId="10">
      <formula>$F2="Done"</formula>
    </cfRule>
    <cfRule type="expression" priority="9" aboveAverage="0" equalAverage="0" bottom="0" percent="0" rank="0" text="" dxfId="13">
      <formula>AND($F2="Not Done",$L2="Y")</formula>
    </cfRule>
    <cfRule type="expression" priority="10" aboveAverage="0" equalAverage="0" bottom="0" percent="0" rank="0" text="" dxfId="9">
      <formula>AND($F2="Not Done",$L2&lt;&gt;"Y",$J2&gt;0)</formula>
    </cfRule>
    <cfRule type="expression" priority="11" aboveAverage="0" equalAverage="0" bottom="0" percent="0" rank="0" text="" dxfId="8">
      <formula>AND($F2="Not Done",$L2&lt;&gt;"Y",OR($J2=0,$J2=""))</formula>
    </cfRule>
    <cfRule type="expression" priority="12" aboveAverage="0" equalAverage="0" bottom="0" percent="0" rank="0" text="" dxfId="22">
      <formula>$F2="Pending"</formula>
    </cfRule>
  </conditionalFormatting>
  <conditionalFormatting sqref="P2:P1013">
    <cfRule type="expression" priority="13" aboveAverage="0" equalAverage="0" bottom="0" percent="0" rank="0" text="" dxfId="23">
      <formula>$P2="High"</formula>
    </cfRule>
  </conditionalFormatting>
  <dataValidations count="3">
    <dataValidation allowBlank="false" errorStyle="stop" operator="between" showDropDown="false" showErrorMessage="false" showInputMessage="false" sqref="D2:D1013" type="list">
      <formula1>EmployeeList</formula1>
      <formula2>0</formula2>
    </dataValidation>
    <dataValidation allowBlank="true" errorStyle="stop" operator="between" showDropDown="false" showErrorMessage="false" showInputMessage="false" sqref="F2:F1013" type="list">
      <formula1>"Pending,Done,Not Done"</formula1>
      <formula2>0</formula2>
    </dataValidation>
    <dataValidation allowBlank="true" errorStyle="stop" operator="between" showDropDown="false" showErrorMessage="false" showInputMessage="false" sqref="L2:L10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B7" activePane="bottomLeft" state="frozen"/>
      <selection pane="topLeft" activeCell="A1" activeCellId="0" sqref="A1"/>
      <selection pane="bottomLeft" activeCell="B4" activeCellId="0" sqref="B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36.77"/>
    <col collapsed="false" customWidth="true" hidden="false" outlineLevel="0" max="32" min="2" style="1" width="9"/>
  </cols>
  <sheetData>
    <row r="1" customFormat="false" ht="17.25" hidden="false" customHeight="true" outlineLevel="0" collapsed="false">
      <c r="A1" s="2" t="s">
        <v>406</v>
      </c>
    </row>
    <row r="2" customFormat="false" ht="15" hidden="false" customHeight="true" outlineLevel="0" collapsed="false">
      <c r="A2" s="3" t="s">
        <v>407</v>
      </c>
    </row>
    <row r="4" customFormat="false" ht="15" hidden="false" customHeight="true" outlineLevel="0" collapsed="false">
      <c r="A4" s="5" t="s">
        <v>408</v>
      </c>
      <c r="B4" s="22" t="n">
        <v>46266</v>
      </c>
    </row>
    <row r="6" customFormat="false" ht="19.5" hidden="false" customHeight="true" outlineLevel="0" collapsed="false">
      <c r="A6" s="23" t="s">
        <v>80</v>
      </c>
      <c r="B6" s="10" t="str">
        <f aca="false">IFERROR(TEXT($B$4+0,"dd-mmm"),"")</f>
        <v>01-Sep</v>
      </c>
      <c r="C6" s="10" t="str">
        <f aca="false">IFERROR(TEXT($B$4+1,"dd-mmm"),"")</f>
        <v>02-Sep</v>
      </c>
      <c r="D6" s="10" t="str">
        <f aca="false">IFERROR(TEXT($B$4+2,"dd-mmm"),"")</f>
        <v>03-Sep</v>
      </c>
      <c r="E6" s="10" t="str">
        <f aca="false">IFERROR(TEXT($B$4+3,"dd-mmm"),"")</f>
        <v>04-Sep</v>
      </c>
      <c r="F6" s="10" t="str">
        <f aca="false">IFERROR(TEXT($B$4+4,"dd-mmm"),"")</f>
        <v>05-Sep</v>
      </c>
      <c r="G6" s="10" t="str">
        <f aca="false">IFERROR(TEXT($B$4+5,"dd-mmm"),"")</f>
        <v>06-Sep</v>
      </c>
      <c r="H6" s="10" t="str">
        <f aca="false">IFERROR(TEXT($B$4+6,"dd-mmm"),"")</f>
        <v>07-Sep</v>
      </c>
      <c r="I6" s="10" t="str">
        <f aca="false">IFERROR(TEXT($B$4+7,"dd-mmm"),"")</f>
        <v>08-Sep</v>
      </c>
      <c r="J6" s="10" t="str">
        <f aca="false">IFERROR(TEXT($B$4+8,"dd-mmm"),"")</f>
        <v>09-Sep</v>
      </c>
      <c r="K6" s="10" t="str">
        <f aca="false">IFERROR(TEXT($B$4+9,"dd-mmm"),"")</f>
        <v>10-Sep</v>
      </c>
      <c r="L6" s="10" t="str">
        <f aca="false">IFERROR(TEXT($B$4+10,"dd-mmm"),"")</f>
        <v>11-Sep</v>
      </c>
      <c r="M6" s="10" t="str">
        <f aca="false">IFERROR(TEXT($B$4+11,"dd-mmm"),"")</f>
        <v>12-Sep</v>
      </c>
      <c r="N6" s="10" t="str">
        <f aca="false">IFERROR(TEXT($B$4+12,"dd-mmm"),"")</f>
        <v>13-Sep</v>
      </c>
      <c r="O6" s="10" t="str">
        <f aca="false">IFERROR(TEXT($B$4+13,"dd-mmm"),"")</f>
        <v>14-Sep</v>
      </c>
      <c r="P6" s="10" t="str">
        <f aca="false">IFERROR(TEXT($B$4+14,"dd-mmm"),"")</f>
        <v>15-Sep</v>
      </c>
      <c r="Q6" s="10" t="str">
        <f aca="false">IFERROR(TEXT($B$4+15,"dd-mmm"),"")</f>
        <v>16-Sep</v>
      </c>
      <c r="R6" s="10" t="str">
        <f aca="false">IFERROR(TEXT($B$4+16,"dd-mmm"),"")</f>
        <v>17-Sep</v>
      </c>
      <c r="S6" s="10" t="str">
        <f aca="false">IFERROR(TEXT($B$4+17,"dd-mmm"),"")</f>
        <v>18-Sep</v>
      </c>
      <c r="T6" s="10" t="str">
        <f aca="false">IFERROR(TEXT($B$4+18,"dd-mmm"),"")</f>
        <v>19-Sep</v>
      </c>
      <c r="U6" s="10" t="str">
        <f aca="false">IFERROR(TEXT($B$4+19,"dd-mmm"),"")</f>
        <v>20-Sep</v>
      </c>
      <c r="V6" s="10" t="str">
        <f aca="false">IFERROR(TEXT($B$4+20,"dd-mmm"),"")</f>
        <v>21-Sep</v>
      </c>
      <c r="W6" s="10" t="str">
        <f aca="false">IFERROR(TEXT($B$4+21,"dd-mmm"),"")</f>
        <v>22-Sep</v>
      </c>
      <c r="X6" s="10" t="str">
        <f aca="false">IFERROR(TEXT($B$4+22,"dd-mmm"),"")</f>
        <v>23-Sep</v>
      </c>
      <c r="Y6" s="10" t="str">
        <f aca="false">IFERROR(TEXT($B$4+23,"dd-mmm"),"")</f>
        <v>24-Sep</v>
      </c>
      <c r="Z6" s="10" t="str">
        <f aca="false">IFERROR(TEXT($B$4+24,"dd-mmm"),"")</f>
        <v>25-Sep</v>
      </c>
      <c r="AA6" s="10" t="str">
        <f aca="false">IFERROR(TEXT($B$4+25,"dd-mmm"),"")</f>
        <v>26-Sep</v>
      </c>
      <c r="AB6" s="10" t="str">
        <f aca="false">IFERROR(TEXT($B$4+26,"dd-mmm"),"")</f>
        <v>27-Sep</v>
      </c>
      <c r="AC6" s="10" t="str">
        <f aca="false">IFERROR(TEXT($B$4+27,"dd-mmm"),"")</f>
        <v>28-Sep</v>
      </c>
      <c r="AD6" s="10" t="str">
        <f aca="false">IFERROR(TEXT($B$4+28,"dd-mmm"),"")</f>
        <v>29-Sep</v>
      </c>
      <c r="AE6" s="10" t="str">
        <f aca="false">IFERROR(TEXT($B$4+29,"dd-mmm"),"")</f>
        <v>30-Sep</v>
      </c>
      <c r="AF6" s="10" t="str">
        <f aca="false">IFERROR(TEXT($B$4+30,"dd-mmm"),"")</f>
        <v>01-Oct</v>
      </c>
    </row>
    <row r="7" customFormat="false" ht="15" hidden="false" customHeight="true" outlineLevel="0" collapsed="false">
      <c r="A7" s="24" t="str">
        <f aca="false">IFERROR(IF(Employees!A2="","",Employees!A2),"")</f>
        <v>Yogesh Tomar</v>
      </c>
      <c r="B7" s="25" t="str">
        <f aca="false">IF($A7="","",IF(SUMPRODUCT(('Daily Checklist'!$D$2:$D$2000=$A7)*(TEXT('Daily Checklist'!$B$2:$B$2000,"yyyy-mm-dd")=TEXT(($B$4+0),"yyyy-mm-dd")))=0,"-",IF(SUMPRODUCT(('Daily Checklist'!$D$2:$D$2000=$A7)*(TEXT('Daily Checklist'!$B$2:$B$2000,"yyyy-mm-dd")=TEXT(($B$4+0),"yyyy-mm-dd"))*('Daily Checklist'!$L$2:$L$2000="Y"))&gt;0,SUMPRODUCT(('Daily Checklist'!$D$2:$D$2000=$A7)*(TEXT('Daily Checklist'!$B$2:$B$2000,"yyyy-mm-dd")=TEXT(($B$4+0),"yyyy-mm-dd"))*('Daily Checklist'!$F$2:$F$2000="Done"))&amp;"/"&amp;SUMPRODUCT(('Daily Checklist'!$D$2:$D$2000=$A7)*(TEXT('Daily Checklist'!$B$2:$B$2000,"yyyy-mm-dd")=TEXT(($B$4+0),"yyyy-mm-dd")))&amp;" ESC",SUMPRODUCT(('Daily Checklist'!$D$2:$D$2000=$A7)*(TEXT('Daily Checklist'!$B$2:$B$2000,"yyyy-mm-dd")=TEXT(($B$4+0),"yyyy-mm-dd"))*('Daily Checklist'!$F$2:$F$2000="Done"))&amp;"/"&amp;SUMPRODUCT(('Daily Checklist'!$D$2:$D$2000=$A7)*(TEXT('Daily Checklist'!$B$2:$B$2000,"yyyy-mm-dd")=TEXT(($B$4+0),"yyyy-mm-dd"))))))</f>
        <v>-</v>
      </c>
      <c r="C7" s="25" t="str">
        <f aca="false">IF($A7="","",IF(SUMPRODUCT(('Daily Checklist'!$D$2:$D$2000=$A7)*(TEXT('Daily Checklist'!$B$2:$B$2000,"yyyy-mm-dd")=TEXT(($B$4+1),"yyyy-mm-dd")))=0,"-",IF(SUMPRODUCT(('Daily Checklist'!$D$2:$D$2000=$A7)*(TEXT('Daily Checklist'!$B$2:$B$2000,"yyyy-mm-dd")=TEXT(($B$4+1),"yyyy-mm-dd"))*('Daily Checklist'!$L$2:$L$2000="Y"))&gt;0,SUMPRODUCT(('Daily Checklist'!$D$2:$D$2000=$A7)*(TEXT('Daily Checklist'!$B$2:$B$2000,"yyyy-mm-dd")=TEXT(($B$4+1),"yyyy-mm-dd"))*('Daily Checklist'!$F$2:$F$2000="Done"))&amp;"/"&amp;SUMPRODUCT(('Daily Checklist'!$D$2:$D$2000=$A7)*(TEXT('Daily Checklist'!$B$2:$B$2000,"yyyy-mm-dd")=TEXT(($B$4+1),"yyyy-mm-dd")))&amp;" ESC",SUMPRODUCT(('Daily Checklist'!$D$2:$D$2000=$A7)*(TEXT('Daily Checklist'!$B$2:$B$2000,"yyyy-mm-dd")=TEXT(($B$4+1),"yyyy-mm-dd"))*('Daily Checklist'!$F$2:$F$2000="Done"))&amp;"/"&amp;SUMPRODUCT(('Daily Checklist'!$D$2:$D$2000=$A7)*(TEXT('Daily Checklist'!$B$2:$B$2000,"yyyy-mm-dd")=TEXT(($B$4+1),"yyyy-mm-dd"))))))</f>
        <v>-</v>
      </c>
      <c r="D7" s="25" t="str">
        <f aca="false">IF($A7="","",IF(SUMPRODUCT(('Daily Checklist'!$D$2:$D$2000=$A7)*(TEXT('Daily Checklist'!$B$2:$B$2000,"yyyy-mm-dd")=TEXT(($B$4+2),"yyyy-mm-dd")))=0,"-",IF(SUMPRODUCT(('Daily Checklist'!$D$2:$D$2000=$A7)*(TEXT('Daily Checklist'!$B$2:$B$2000,"yyyy-mm-dd")=TEXT(($B$4+2),"yyyy-mm-dd"))*('Daily Checklist'!$L$2:$L$2000="Y"))&gt;0,SUMPRODUCT(('Daily Checklist'!$D$2:$D$2000=$A7)*(TEXT('Daily Checklist'!$B$2:$B$2000,"yyyy-mm-dd")=TEXT(($B$4+2),"yyyy-mm-dd"))*('Daily Checklist'!$F$2:$F$2000="Done"))&amp;"/"&amp;SUMPRODUCT(('Daily Checklist'!$D$2:$D$2000=$A7)*(TEXT('Daily Checklist'!$B$2:$B$2000,"yyyy-mm-dd")=TEXT(($B$4+2),"yyyy-mm-dd")))&amp;" ESC",SUMPRODUCT(('Daily Checklist'!$D$2:$D$2000=$A7)*(TEXT('Daily Checklist'!$B$2:$B$2000,"yyyy-mm-dd")=TEXT(($B$4+2),"yyyy-mm-dd"))*('Daily Checklist'!$F$2:$F$2000="Done"))&amp;"/"&amp;SUMPRODUCT(('Daily Checklist'!$D$2:$D$2000=$A7)*(TEXT('Daily Checklist'!$B$2:$B$2000,"yyyy-mm-dd")=TEXT(($B$4+2),"yyyy-mm-dd"))))))</f>
        <v>-</v>
      </c>
      <c r="E7" s="25" t="str">
        <f aca="false">IF($A7="","",IF(SUMPRODUCT(('Daily Checklist'!$D$2:$D$2000=$A7)*(TEXT('Daily Checklist'!$B$2:$B$2000,"yyyy-mm-dd")=TEXT(($B$4+3),"yyyy-mm-dd")))=0,"-",IF(SUMPRODUCT(('Daily Checklist'!$D$2:$D$2000=$A7)*(TEXT('Daily Checklist'!$B$2:$B$2000,"yyyy-mm-dd")=TEXT(($B$4+3),"yyyy-mm-dd"))*('Daily Checklist'!$L$2:$L$2000="Y"))&gt;0,SUMPRODUCT(('Daily Checklist'!$D$2:$D$2000=$A7)*(TEXT('Daily Checklist'!$B$2:$B$2000,"yyyy-mm-dd")=TEXT(($B$4+3),"yyyy-mm-dd"))*('Daily Checklist'!$F$2:$F$2000="Done"))&amp;"/"&amp;SUMPRODUCT(('Daily Checklist'!$D$2:$D$2000=$A7)*(TEXT('Daily Checklist'!$B$2:$B$2000,"yyyy-mm-dd")=TEXT(($B$4+3),"yyyy-mm-dd")))&amp;" ESC",SUMPRODUCT(('Daily Checklist'!$D$2:$D$2000=$A7)*(TEXT('Daily Checklist'!$B$2:$B$2000,"yyyy-mm-dd")=TEXT(($B$4+3),"yyyy-mm-dd"))*('Daily Checklist'!$F$2:$F$2000="Done"))&amp;"/"&amp;SUMPRODUCT(('Daily Checklist'!$D$2:$D$2000=$A7)*(TEXT('Daily Checklist'!$B$2:$B$2000,"yyyy-mm-dd")=TEXT(($B$4+3),"yyyy-mm-dd"))))))</f>
        <v>-</v>
      </c>
      <c r="F7" s="25" t="str">
        <f aca="false">IF($A7="","",IF(SUMPRODUCT(('Daily Checklist'!$D$2:$D$2000=$A7)*(TEXT('Daily Checklist'!$B$2:$B$2000,"yyyy-mm-dd")=TEXT(($B$4+4),"yyyy-mm-dd")))=0,"-",IF(SUMPRODUCT(('Daily Checklist'!$D$2:$D$2000=$A7)*(TEXT('Daily Checklist'!$B$2:$B$2000,"yyyy-mm-dd")=TEXT(($B$4+4),"yyyy-mm-dd"))*('Daily Checklist'!$L$2:$L$2000="Y"))&gt;0,SUMPRODUCT(('Daily Checklist'!$D$2:$D$2000=$A7)*(TEXT('Daily Checklist'!$B$2:$B$2000,"yyyy-mm-dd")=TEXT(($B$4+4),"yyyy-mm-dd"))*('Daily Checklist'!$F$2:$F$2000="Done"))&amp;"/"&amp;SUMPRODUCT(('Daily Checklist'!$D$2:$D$2000=$A7)*(TEXT('Daily Checklist'!$B$2:$B$2000,"yyyy-mm-dd")=TEXT(($B$4+4),"yyyy-mm-dd")))&amp;" ESC",SUMPRODUCT(('Daily Checklist'!$D$2:$D$2000=$A7)*(TEXT('Daily Checklist'!$B$2:$B$2000,"yyyy-mm-dd")=TEXT(($B$4+4),"yyyy-mm-dd"))*('Daily Checklist'!$F$2:$F$2000="Done"))&amp;"/"&amp;SUMPRODUCT(('Daily Checklist'!$D$2:$D$2000=$A7)*(TEXT('Daily Checklist'!$B$2:$B$2000,"yyyy-mm-dd")=TEXT(($B$4+4),"yyyy-mm-dd"))))))</f>
        <v>-</v>
      </c>
      <c r="G7" s="25" t="str">
        <f aca="false">IF($A7="","",IF(SUMPRODUCT(('Daily Checklist'!$D$2:$D$2000=$A7)*(TEXT('Daily Checklist'!$B$2:$B$2000,"yyyy-mm-dd")=TEXT(($B$4+5),"yyyy-mm-dd")))=0,"-",IF(SUMPRODUCT(('Daily Checklist'!$D$2:$D$2000=$A7)*(TEXT('Daily Checklist'!$B$2:$B$2000,"yyyy-mm-dd")=TEXT(($B$4+5),"yyyy-mm-dd"))*('Daily Checklist'!$L$2:$L$2000="Y"))&gt;0,SUMPRODUCT(('Daily Checklist'!$D$2:$D$2000=$A7)*(TEXT('Daily Checklist'!$B$2:$B$2000,"yyyy-mm-dd")=TEXT(($B$4+5),"yyyy-mm-dd"))*('Daily Checklist'!$F$2:$F$2000="Done"))&amp;"/"&amp;SUMPRODUCT(('Daily Checklist'!$D$2:$D$2000=$A7)*(TEXT('Daily Checklist'!$B$2:$B$2000,"yyyy-mm-dd")=TEXT(($B$4+5),"yyyy-mm-dd")))&amp;" ESC",SUMPRODUCT(('Daily Checklist'!$D$2:$D$2000=$A7)*(TEXT('Daily Checklist'!$B$2:$B$2000,"yyyy-mm-dd")=TEXT(($B$4+5),"yyyy-mm-dd"))*('Daily Checklist'!$F$2:$F$2000="Done"))&amp;"/"&amp;SUMPRODUCT(('Daily Checklist'!$D$2:$D$2000=$A7)*(TEXT('Daily Checklist'!$B$2:$B$2000,"yyyy-mm-dd")=TEXT(($B$4+5),"yyyy-mm-dd"))))))</f>
        <v>-</v>
      </c>
      <c r="H7" s="25" t="str">
        <f aca="false">IF($A7="","",IF(SUMPRODUCT(('Daily Checklist'!$D$2:$D$2000=$A7)*(TEXT('Daily Checklist'!$B$2:$B$2000,"yyyy-mm-dd")=TEXT(($B$4+6),"yyyy-mm-dd")))=0,"-",IF(SUMPRODUCT(('Daily Checklist'!$D$2:$D$2000=$A7)*(TEXT('Daily Checklist'!$B$2:$B$2000,"yyyy-mm-dd")=TEXT(($B$4+6),"yyyy-mm-dd"))*('Daily Checklist'!$L$2:$L$2000="Y"))&gt;0,SUMPRODUCT(('Daily Checklist'!$D$2:$D$2000=$A7)*(TEXT('Daily Checklist'!$B$2:$B$2000,"yyyy-mm-dd")=TEXT(($B$4+6),"yyyy-mm-dd"))*('Daily Checklist'!$F$2:$F$2000="Done"))&amp;"/"&amp;SUMPRODUCT(('Daily Checklist'!$D$2:$D$2000=$A7)*(TEXT('Daily Checklist'!$B$2:$B$2000,"yyyy-mm-dd")=TEXT(($B$4+6),"yyyy-mm-dd")))&amp;" ESC",SUMPRODUCT(('Daily Checklist'!$D$2:$D$2000=$A7)*(TEXT('Daily Checklist'!$B$2:$B$2000,"yyyy-mm-dd")=TEXT(($B$4+6),"yyyy-mm-dd"))*('Daily Checklist'!$F$2:$F$2000="Done"))&amp;"/"&amp;SUMPRODUCT(('Daily Checklist'!$D$2:$D$2000=$A7)*(TEXT('Daily Checklist'!$B$2:$B$2000,"yyyy-mm-dd")=TEXT(($B$4+6),"yyyy-mm-dd"))))))</f>
        <v>-</v>
      </c>
      <c r="I7" s="25" t="str">
        <f aca="false">IF($A7="","",IF(SUMPRODUCT(('Daily Checklist'!$D$2:$D$2000=$A7)*(TEXT('Daily Checklist'!$B$2:$B$2000,"yyyy-mm-dd")=TEXT(($B$4+7),"yyyy-mm-dd")))=0,"-",IF(SUMPRODUCT(('Daily Checklist'!$D$2:$D$2000=$A7)*(TEXT('Daily Checklist'!$B$2:$B$2000,"yyyy-mm-dd")=TEXT(($B$4+7),"yyyy-mm-dd"))*('Daily Checklist'!$L$2:$L$2000="Y"))&gt;0,SUMPRODUCT(('Daily Checklist'!$D$2:$D$2000=$A7)*(TEXT('Daily Checklist'!$B$2:$B$2000,"yyyy-mm-dd")=TEXT(($B$4+7),"yyyy-mm-dd"))*('Daily Checklist'!$F$2:$F$2000="Done"))&amp;"/"&amp;SUMPRODUCT(('Daily Checklist'!$D$2:$D$2000=$A7)*(TEXT('Daily Checklist'!$B$2:$B$2000,"yyyy-mm-dd")=TEXT(($B$4+7),"yyyy-mm-dd")))&amp;" ESC",SUMPRODUCT(('Daily Checklist'!$D$2:$D$2000=$A7)*(TEXT('Daily Checklist'!$B$2:$B$2000,"yyyy-mm-dd")=TEXT(($B$4+7),"yyyy-mm-dd"))*('Daily Checklist'!$F$2:$F$2000="Done"))&amp;"/"&amp;SUMPRODUCT(('Daily Checklist'!$D$2:$D$2000=$A7)*(TEXT('Daily Checklist'!$B$2:$B$2000,"yyyy-mm-dd")=TEXT(($B$4+7),"yyyy-mm-dd"))))))</f>
        <v>-</v>
      </c>
      <c r="J7" s="25" t="str">
        <f aca="false">IF($A7="","",IF(SUMPRODUCT(('Daily Checklist'!$D$2:$D$2000=$A7)*(TEXT('Daily Checklist'!$B$2:$B$2000,"yyyy-mm-dd")=TEXT(($B$4+8),"yyyy-mm-dd")))=0,"-",IF(SUMPRODUCT(('Daily Checklist'!$D$2:$D$2000=$A7)*(TEXT('Daily Checklist'!$B$2:$B$2000,"yyyy-mm-dd")=TEXT(($B$4+8),"yyyy-mm-dd"))*('Daily Checklist'!$L$2:$L$2000="Y"))&gt;0,SUMPRODUCT(('Daily Checklist'!$D$2:$D$2000=$A7)*(TEXT('Daily Checklist'!$B$2:$B$2000,"yyyy-mm-dd")=TEXT(($B$4+8),"yyyy-mm-dd"))*('Daily Checklist'!$F$2:$F$2000="Done"))&amp;"/"&amp;SUMPRODUCT(('Daily Checklist'!$D$2:$D$2000=$A7)*(TEXT('Daily Checklist'!$B$2:$B$2000,"yyyy-mm-dd")=TEXT(($B$4+8),"yyyy-mm-dd")))&amp;" ESC",SUMPRODUCT(('Daily Checklist'!$D$2:$D$2000=$A7)*(TEXT('Daily Checklist'!$B$2:$B$2000,"yyyy-mm-dd")=TEXT(($B$4+8),"yyyy-mm-dd"))*('Daily Checklist'!$F$2:$F$2000="Done"))&amp;"/"&amp;SUMPRODUCT(('Daily Checklist'!$D$2:$D$2000=$A7)*(TEXT('Daily Checklist'!$B$2:$B$2000,"yyyy-mm-dd")=TEXT(($B$4+8),"yyyy-mm-dd"))))))</f>
        <v>-</v>
      </c>
      <c r="K7" s="25" t="str">
        <f aca="false">IF($A7="","",IF(SUMPRODUCT(('Daily Checklist'!$D$2:$D$2000=$A7)*(TEXT('Daily Checklist'!$B$2:$B$2000,"yyyy-mm-dd")=TEXT(($B$4+9),"yyyy-mm-dd")))=0,"-",IF(SUMPRODUCT(('Daily Checklist'!$D$2:$D$2000=$A7)*(TEXT('Daily Checklist'!$B$2:$B$2000,"yyyy-mm-dd")=TEXT(($B$4+9),"yyyy-mm-dd"))*('Daily Checklist'!$L$2:$L$2000="Y"))&gt;0,SUMPRODUCT(('Daily Checklist'!$D$2:$D$2000=$A7)*(TEXT('Daily Checklist'!$B$2:$B$2000,"yyyy-mm-dd")=TEXT(($B$4+9),"yyyy-mm-dd"))*('Daily Checklist'!$F$2:$F$2000="Done"))&amp;"/"&amp;SUMPRODUCT(('Daily Checklist'!$D$2:$D$2000=$A7)*(TEXT('Daily Checklist'!$B$2:$B$2000,"yyyy-mm-dd")=TEXT(($B$4+9),"yyyy-mm-dd")))&amp;" ESC",SUMPRODUCT(('Daily Checklist'!$D$2:$D$2000=$A7)*(TEXT('Daily Checklist'!$B$2:$B$2000,"yyyy-mm-dd")=TEXT(($B$4+9),"yyyy-mm-dd"))*('Daily Checklist'!$F$2:$F$2000="Done"))&amp;"/"&amp;SUMPRODUCT(('Daily Checklist'!$D$2:$D$2000=$A7)*(TEXT('Daily Checklist'!$B$2:$B$2000,"yyyy-mm-dd")=TEXT(($B$4+9),"yyyy-mm-dd"))))))</f>
        <v>-</v>
      </c>
      <c r="L7" s="25" t="str">
        <f aca="false">IF($A7="","",IF(SUMPRODUCT(('Daily Checklist'!$D$2:$D$2000=$A7)*(TEXT('Daily Checklist'!$B$2:$B$2000,"yyyy-mm-dd")=TEXT(($B$4+10),"yyyy-mm-dd")))=0,"-",IF(SUMPRODUCT(('Daily Checklist'!$D$2:$D$2000=$A7)*(TEXT('Daily Checklist'!$B$2:$B$2000,"yyyy-mm-dd")=TEXT(($B$4+10),"yyyy-mm-dd"))*('Daily Checklist'!$L$2:$L$2000="Y"))&gt;0,SUMPRODUCT(('Daily Checklist'!$D$2:$D$2000=$A7)*(TEXT('Daily Checklist'!$B$2:$B$2000,"yyyy-mm-dd")=TEXT(($B$4+10),"yyyy-mm-dd"))*('Daily Checklist'!$F$2:$F$2000="Done"))&amp;"/"&amp;SUMPRODUCT(('Daily Checklist'!$D$2:$D$2000=$A7)*(TEXT('Daily Checklist'!$B$2:$B$2000,"yyyy-mm-dd")=TEXT(($B$4+10),"yyyy-mm-dd")))&amp;" ESC",SUMPRODUCT(('Daily Checklist'!$D$2:$D$2000=$A7)*(TEXT('Daily Checklist'!$B$2:$B$2000,"yyyy-mm-dd")=TEXT(($B$4+10),"yyyy-mm-dd"))*('Daily Checklist'!$F$2:$F$2000="Done"))&amp;"/"&amp;SUMPRODUCT(('Daily Checklist'!$D$2:$D$2000=$A7)*(TEXT('Daily Checklist'!$B$2:$B$2000,"yyyy-mm-dd")=TEXT(($B$4+10),"yyyy-mm-dd"))))))</f>
        <v>-</v>
      </c>
      <c r="M7" s="25" t="str">
        <f aca="false">IF($A7="","",IF(SUMPRODUCT(('Daily Checklist'!$D$2:$D$2000=$A7)*(TEXT('Daily Checklist'!$B$2:$B$2000,"yyyy-mm-dd")=TEXT(($B$4+11),"yyyy-mm-dd")))=0,"-",IF(SUMPRODUCT(('Daily Checklist'!$D$2:$D$2000=$A7)*(TEXT('Daily Checklist'!$B$2:$B$2000,"yyyy-mm-dd")=TEXT(($B$4+11),"yyyy-mm-dd"))*('Daily Checklist'!$L$2:$L$2000="Y"))&gt;0,SUMPRODUCT(('Daily Checklist'!$D$2:$D$2000=$A7)*(TEXT('Daily Checklist'!$B$2:$B$2000,"yyyy-mm-dd")=TEXT(($B$4+11),"yyyy-mm-dd"))*('Daily Checklist'!$F$2:$F$2000="Done"))&amp;"/"&amp;SUMPRODUCT(('Daily Checklist'!$D$2:$D$2000=$A7)*(TEXT('Daily Checklist'!$B$2:$B$2000,"yyyy-mm-dd")=TEXT(($B$4+11),"yyyy-mm-dd")))&amp;" ESC",SUMPRODUCT(('Daily Checklist'!$D$2:$D$2000=$A7)*(TEXT('Daily Checklist'!$B$2:$B$2000,"yyyy-mm-dd")=TEXT(($B$4+11),"yyyy-mm-dd"))*('Daily Checklist'!$F$2:$F$2000="Done"))&amp;"/"&amp;SUMPRODUCT(('Daily Checklist'!$D$2:$D$2000=$A7)*(TEXT('Daily Checklist'!$B$2:$B$2000,"yyyy-mm-dd")=TEXT(($B$4+11),"yyyy-mm-dd"))))))</f>
        <v>-</v>
      </c>
      <c r="N7" s="25" t="str">
        <f aca="false">IF($A7="","",IF(SUMPRODUCT(('Daily Checklist'!$D$2:$D$2000=$A7)*(TEXT('Daily Checklist'!$B$2:$B$2000,"yyyy-mm-dd")=TEXT(($B$4+12),"yyyy-mm-dd")))=0,"-",IF(SUMPRODUCT(('Daily Checklist'!$D$2:$D$2000=$A7)*(TEXT('Daily Checklist'!$B$2:$B$2000,"yyyy-mm-dd")=TEXT(($B$4+12),"yyyy-mm-dd"))*('Daily Checklist'!$L$2:$L$2000="Y"))&gt;0,SUMPRODUCT(('Daily Checklist'!$D$2:$D$2000=$A7)*(TEXT('Daily Checklist'!$B$2:$B$2000,"yyyy-mm-dd")=TEXT(($B$4+12),"yyyy-mm-dd"))*('Daily Checklist'!$F$2:$F$2000="Done"))&amp;"/"&amp;SUMPRODUCT(('Daily Checklist'!$D$2:$D$2000=$A7)*(TEXT('Daily Checklist'!$B$2:$B$2000,"yyyy-mm-dd")=TEXT(($B$4+12),"yyyy-mm-dd")))&amp;" ESC",SUMPRODUCT(('Daily Checklist'!$D$2:$D$2000=$A7)*(TEXT('Daily Checklist'!$B$2:$B$2000,"yyyy-mm-dd")=TEXT(($B$4+12),"yyyy-mm-dd"))*('Daily Checklist'!$F$2:$F$2000="Done"))&amp;"/"&amp;SUMPRODUCT(('Daily Checklist'!$D$2:$D$2000=$A7)*(TEXT('Daily Checklist'!$B$2:$B$2000,"yyyy-mm-dd")=TEXT(($B$4+12),"yyyy-mm-dd"))))))</f>
        <v>-</v>
      </c>
      <c r="O7" s="25" t="str">
        <f aca="false">IF($A7="","",IF(SUMPRODUCT(('Daily Checklist'!$D$2:$D$2000=$A7)*(TEXT('Daily Checklist'!$B$2:$B$2000,"yyyy-mm-dd")=TEXT(($B$4+13),"yyyy-mm-dd")))=0,"-",IF(SUMPRODUCT(('Daily Checklist'!$D$2:$D$2000=$A7)*(TEXT('Daily Checklist'!$B$2:$B$2000,"yyyy-mm-dd")=TEXT(($B$4+13),"yyyy-mm-dd"))*('Daily Checklist'!$L$2:$L$2000="Y"))&gt;0,SUMPRODUCT(('Daily Checklist'!$D$2:$D$2000=$A7)*(TEXT('Daily Checklist'!$B$2:$B$2000,"yyyy-mm-dd")=TEXT(($B$4+13),"yyyy-mm-dd"))*('Daily Checklist'!$F$2:$F$2000="Done"))&amp;"/"&amp;SUMPRODUCT(('Daily Checklist'!$D$2:$D$2000=$A7)*(TEXT('Daily Checklist'!$B$2:$B$2000,"yyyy-mm-dd")=TEXT(($B$4+13),"yyyy-mm-dd")))&amp;" ESC",SUMPRODUCT(('Daily Checklist'!$D$2:$D$2000=$A7)*(TEXT('Daily Checklist'!$B$2:$B$2000,"yyyy-mm-dd")=TEXT(($B$4+13),"yyyy-mm-dd"))*('Daily Checklist'!$F$2:$F$2000="Done"))&amp;"/"&amp;SUMPRODUCT(('Daily Checklist'!$D$2:$D$2000=$A7)*(TEXT('Daily Checklist'!$B$2:$B$2000,"yyyy-mm-dd")=TEXT(($B$4+13),"yyyy-mm-dd"))))))</f>
        <v>-</v>
      </c>
      <c r="P7" s="25" t="str">
        <f aca="false">IF($A7="","",IF(SUMPRODUCT(('Daily Checklist'!$D$2:$D$2000=$A7)*(TEXT('Daily Checklist'!$B$2:$B$2000,"yyyy-mm-dd")=TEXT(($B$4+14),"yyyy-mm-dd")))=0,"-",IF(SUMPRODUCT(('Daily Checklist'!$D$2:$D$2000=$A7)*(TEXT('Daily Checklist'!$B$2:$B$2000,"yyyy-mm-dd")=TEXT(($B$4+14),"yyyy-mm-dd"))*('Daily Checklist'!$L$2:$L$2000="Y"))&gt;0,SUMPRODUCT(('Daily Checklist'!$D$2:$D$2000=$A7)*(TEXT('Daily Checklist'!$B$2:$B$2000,"yyyy-mm-dd")=TEXT(($B$4+14),"yyyy-mm-dd"))*('Daily Checklist'!$F$2:$F$2000="Done"))&amp;"/"&amp;SUMPRODUCT(('Daily Checklist'!$D$2:$D$2000=$A7)*(TEXT('Daily Checklist'!$B$2:$B$2000,"yyyy-mm-dd")=TEXT(($B$4+14),"yyyy-mm-dd")))&amp;" ESC",SUMPRODUCT(('Daily Checklist'!$D$2:$D$2000=$A7)*(TEXT('Daily Checklist'!$B$2:$B$2000,"yyyy-mm-dd")=TEXT(($B$4+14),"yyyy-mm-dd"))*('Daily Checklist'!$F$2:$F$2000="Done"))&amp;"/"&amp;SUMPRODUCT(('Daily Checklist'!$D$2:$D$2000=$A7)*(TEXT('Daily Checklist'!$B$2:$B$2000,"yyyy-mm-dd")=TEXT(($B$4+14),"yyyy-mm-dd"))))))</f>
        <v>-</v>
      </c>
      <c r="Q7" s="25" t="str">
        <f aca="false">IF($A7="","",IF(SUMPRODUCT(('Daily Checklist'!$D$2:$D$2000=$A7)*(TEXT('Daily Checklist'!$B$2:$B$2000,"yyyy-mm-dd")=TEXT(($B$4+15),"yyyy-mm-dd")))=0,"-",IF(SUMPRODUCT(('Daily Checklist'!$D$2:$D$2000=$A7)*(TEXT('Daily Checklist'!$B$2:$B$2000,"yyyy-mm-dd")=TEXT(($B$4+15),"yyyy-mm-dd"))*('Daily Checklist'!$L$2:$L$2000="Y"))&gt;0,SUMPRODUCT(('Daily Checklist'!$D$2:$D$2000=$A7)*(TEXT('Daily Checklist'!$B$2:$B$2000,"yyyy-mm-dd")=TEXT(($B$4+15),"yyyy-mm-dd"))*('Daily Checklist'!$F$2:$F$2000="Done"))&amp;"/"&amp;SUMPRODUCT(('Daily Checklist'!$D$2:$D$2000=$A7)*(TEXT('Daily Checklist'!$B$2:$B$2000,"yyyy-mm-dd")=TEXT(($B$4+15),"yyyy-mm-dd")))&amp;" ESC",SUMPRODUCT(('Daily Checklist'!$D$2:$D$2000=$A7)*(TEXT('Daily Checklist'!$B$2:$B$2000,"yyyy-mm-dd")=TEXT(($B$4+15),"yyyy-mm-dd"))*('Daily Checklist'!$F$2:$F$2000="Done"))&amp;"/"&amp;SUMPRODUCT(('Daily Checklist'!$D$2:$D$2000=$A7)*(TEXT('Daily Checklist'!$B$2:$B$2000,"yyyy-mm-dd")=TEXT(($B$4+15),"yyyy-mm-dd"))))))</f>
        <v>-</v>
      </c>
      <c r="R7" s="25" t="str">
        <f aca="false">IF($A7="","",IF(SUMPRODUCT(('Daily Checklist'!$D$2:$D$2000=$A7)*(TEXT('Daily Checklist'!$B$2:$B$2000,"yyyy-mm-dd")=TEXT(($B$4+16),"yyyy-mm-dd")))=0,"-",IF(SUMPRODUCT(('Daily Checklist'!$D$2:$D$2000=$A7)*(TEXT('Daily Checklist'!$B$2:$B$2000,"yyyy-mm-dd")=TEXT(($B$4+16),"yyyy-mm-dd"))*('Daily Checklist'!$L$2:$L$2000="Y"))&gt;0,SUMPRODUCT(('Daily Checklist'!$D$2:$D$2000=$A7)*(TEXT('Daily Checklist'!$B$2:$B$2000,"yyyy-mm-dd")=TEXT(($B$4+16),"yyyy-mm-dd"))*('Daily Checklist'!$F$2:$F$2000="Done"))&amp;"/"&amp;SUMPRODUCT(('Daily Checklist'!$D$2:$D$2000=$A7)*(TEXT('Daily Checklist'!$B$2:$B$2000,"yyyy-mm-dd")=TEXT(($B$4+16),"yyyy-mm-dd")))&amp;" ESC",SUMPRODUCT(('Daily Checklist'!$D$2:$D$2000=$A7)*(TEXT('Daily Checklist'!$B$2:$B$2000,"yyyy-mm-dd")=TEXT(($B$4+16),"yyyy-mm-dd"))*('Daily Checklist'!$F$2:$F$2000="Done"))&amp;"/"&amp;SUMPRODUCT(('Daily Checklist'!$D$2:$D$2000=$A7)*(TEXT('Daily Checklist'!$B$2:$B$2000,"yyyy-mm-dd")=TEXT(($B$4+16),"yyyy-mm-dd"))))))</f>
        <v>-</v>
      </c>
      <c r="S7" s="25" t="str">
        <f aca="false">IF($A7="","",IF(SUMPRODUCT(('Daily Checklist'!$D$2:$D$2000=$A7)*(TEXT('Daily Checklist'!$B$2:$B$2000,"yyyy-mm-dd")=TEXT(($B$4+17),"yyyy-mm-dd")))=0,"-",IF(SUMPRODUCT(('Daily Checklist'!$D$2:$D$2000=$A7)*(TEXT('Daily Checklist'!$B$2:$B$2000,"yyyy-mm-dd")=TEXT(($B$4+17),"yyyy-mm-dd"))*('Daily Checklist'!$L$2:$L$2000="Y"))&gt;0,SUMPRODUCT(('Daily Checklist'!$D$2:$D$2000=$A7)*(TEXT('Daily Checklist'!$B$2:$B$2000,"yyyy-mm-dd")=TEXT(($B$4+17),"yyyy-mm-dd"))*('Daily Checklist'!$F$2:$F$2000="Done"))&amp;"/"&amp;SUMPRODUCT(('Daily Checklist'!$D$2:$D$2000=$A7)*(TEXT('Daily Checklist'!$B$2:$B$2000,"yyyy-mm-dd")=TEXT(($B$4+17),"yyyy-mm-dd")))&amp;" ESC",SUMPRODUCT(('Daily Checklist'!$D$2:$D$2000=$A7)*(TEXT('Daily Checklist'!$B$2:$B$2000,"yyyy-mm-dd")=TEXT(($B$4+17),"yyyy-mm-dd"))*('Daily Checklist'!$F$2:$F$2000="Done"))&amp;"/"&amp;SUMPRODUCT(('Daily Checklist'!$D$2:$D$2000=$A7)*(TEXT('Daily Checklist'!$B$2:$B$2000,"yyyy-mm-dd")=TEXT(($B$4+17),"yyyy-mm-dd"))))))</f>
        <v>-</v>
      </c>
      <c r="T7" s="25" t="str">
        <f aca="false">IF($A7="","",IF(SUMPRODUCT(('Daily Checklist'!$D$2:$D$2000=$A7)*(TEXT('Daily Checklist'!$B$2:$B$2000,"yyyy-mm-dd")=TEXT(($B$4+18),"yyyy-mm-dd")))=0,"-",IF(SUMPRODUCT(('Daily Checklist'!$D$2:$D$2000=$A7)*(TEXT('Daily Checklist'!$B$2:$B$2000,"yyyy-mm-dd")=TEXT(($B$4+18),"yyyy-mm-dd"))*('Daily Checklist'!$L$2:$L$2000="Y"))&gt;0,SUMPRODUCT(('Daily Checklist'!$D$2:$D$2000=$A7)*(TEXT('Daily Checklist'!$B$2:$B$2000,"yyyy-mm-dd")=TEXT(($B$4+18),"yyyy-mm-dd"))*('Daily Checklist'!$F$2:$F$2000="Done"))&amp;"/"&amp;SUMPRODUCT(('Daily Checklist'!$D$2:$D$2000=$A7)*(TEXT('Daily Checklist'!$B$2:$B$2000,"yyyy-mm-dd")=TEXT(($B$4+18),"yyyy-mm-dd")))&amp;" ESC",SUMPRODUCT(('Daily Checklist'!$D$2:$D$2000=$A7)*(TEXT('Daily Checklist'!$B$2:$B$2000,"yyyy-mm-dd")=TEXT(($B$4+18),"yyyy-mm-dd"))*('Daily Checklist'!$F$2:$F$2000="Done"))&amp;"/"&amp;SUMPRODUCT(('Daily Checklist'!$D$2:$D$2000=$A7)*(TEXT('Daily Checklist'!$B$2:$B$2000,"yyyy-mm-dd")=TEXT(($B$4+18),"yyyy-mm-dd"))))))</f>
        <v>-</v>
      </c>
      <c r="U7" s="25" t="str">
        <f aca="false">IF($A7="","",IF(SUMPRODUCT(('Daily Checklist'!$D$2:$D$2000=$A7)*(TEXT('Daily Checklist'!$B$2:$B$2000,"yyyy-mm-dd")=TEXT(($B$4+19),"yyyy-mm-dd")))=0,"-",IF(SUMPRODUCT(('Daily Checklist'!$D$2:$D$2000=$A7)*(TEXT('Daily Checklist'!$B$2:$B$2000,"yyyy-mm-dd")=TEXT(($B$4+19),"yyyy-mm-dd"))*('Daily Checklist'!$L$2:$L$2000="Y"))&gt;0,SUMPRODUCT(('Daily Checklist'!$D$2:$D$2000=$A7)*(TEXT('Daily Checklist'!$B$2:$B$2000,"yyyy-mm-dd")=TEXT(($B$4+19),"yyyy-mm-dd"))*('Daily Checklist'!$F$2:$F$2000="Done"))&amp;"/"&amp;SUMPRODUCT(('Daily Checklist'!$D$2:$D$2000=$A7)*(TEXT('Daily Checklist'!$B$2:$B$2000,"yyyy-mm-dd")=TEXT(($B$4+19),"yyyy-mm-dd")))&amp;" ESC",SUMPRODUCT(('Daily Checklist'!$D$2:$D$2000=$A7)*(TEXT('Daily Checklist'!$B$2:$B$2000,"yyyy-mm-dd")=TEXT(($B$4+19),"yyyy-mm-dd"))*('Daily Checklist'!$F$2:$F$2000="Done"))&amp;"/"&amp;SUMPRODUCT(('Daily Checklist'!$D$2:$D$2000=$A7)*(TEXT('Daily Checklist'!$B$2:$B$2000,"yyyy-mm-dd")=TEXT(($B$4+19),"yyyy-mm-dd"))))))</f>
        <v>-</v>
      </c>
      <c r="V7" s="25" t="str">
        <f aca="false">IF($A7="","",IF(SUMPRODUCT(('Daily Checklist'!$D$2:$D$2000=$A7)*(TEXT('Daily Checklist'!$B$2:$B$2000,"yyyy-mm-dd")=TEXT(($B$4+20),"yyyy-mm-dd")))=0,"-",IF(SUMPRODUCT(('Daily Checklist'!$D$2:$D$2000=$A7)*(TEXT('Daily Checklist'!$B$2:$B$2000,"yyyy-mm-dd")=TEXT(($B$4+20),"yyyy-mm-dd"))*('Daily Checklist'!$L$2:$L$2000="Y"))&gt;0,SUMPRODUCT(('Daily Checklist'!$D$2:$D$2000=$A7)*(TEXT('Daily Checklist'!$B$2:$B$2000,"yyyy-mm-dd")=TEXT(($B$4+20),"yyyy-mm-dd"))*('Daily Checklist'!$F$2:$F$2000="Done"))&amp;"/"&amp;SUMPRODUCT(('Daily Checklist'!$D$2:$D$2000=$A7)*(TEXT('Daily Checklist'!$B$2:$B$2000,"yyyy-mm-dd")=TEXT(($B$4+20),"yyyy-mm-dd")))&amp;" ESC",SUMPRODUCT(('Daily Checklist'!$D$2:$D$2000=$A7)*(TEXT('Daily Checklist'!$B$2:$B$2000,"yyyy-mm-dd")=TEXT(($B$4+20),"yyyy-mm-dd"))*('Daily Checklist'!$F$2:$F$2000="Done"))&amp;"/"&amp;SUMPRODUCT(('Daily Checklist'!$D$2:$D$2000=$A7)*(TEXT('Daily Checklist'!$B$2:$B$2000,"yyyy-mm-dd")=TEXT(($B$4+20),"yyyy-mm-dd"))))))</f>
        <v>-</v>
      </c>
      <c r="W7" s="25" t="str">
        <f aca="false">IF($A7="","",IF(SUMPRODUCT(('Daily Checklist'!$D$2:$D$2000=$A7)*(TEXT('Daily Checklist'!$B$2:$B$2000,"yyyy-mm-dd")=TEXT(($B$4+21),"yyyy-mm-dd")))=0,"-",IF(SUMPRODUCT(('Daily Checklist'!$D$2:$D$2000=$A7)*(TEXT('Daily Checklist'!$B$2:$B$2000,"yyyy-mm-dd")=TEXT(($B$4+21),"yyyy-mm-dd"))*('Daily Checklist'!$L$2:$L$2000="Y"))&gt;0,SUMPRODUCT(('Daily Checklist'!$D$2:$D$2000=$A7)*(TEXT('Daily Checklist'!$B$2:$B$2000,"yyyy-mm-dd")=TEXT(($B$4+21),"yyyy-mm-dd"))*('Daily Checklist'!$F$2:$F$2000="Done"))&amp;"/"&amp;SUMPRODUCT(('Daily Checklist'!$D$2:$D$2000=$A7)*(TEXT('Daily Checklist'!$B$2:$B$2000,"yyyy-mm-dd")=TEXT(($B$4+21),"yyyy-mm-dd")))&amp;" ESC",SUMPRODUCT(('Daily Checklist'!$D$2:$D$2000=$A7)*(TEXT('Daily Checklist'!$B$2:$B$2000,"yyyy-mm-dd")=TEXT(($B$4+21),"yyyy-mm-dd"))*('Daily Checklist'!$F$2:$F$2000="Done"))&amp;"/"&amp;SUMPRODUCT(('Daily Checklist'!$D$2:$D$2000=$A7)*(TEXT('Daily Checklist'!$B$2:$B$2000,"yyyy-mm-dd")=TEXT(($B$4+21),"yyyy-mm-dd"))))))</f>
        <v>-</v>
      </c>
      <c r="X7" s="25" t="str">
        <f aca="false">IF($A7="","",IF(SUMPRODUCT(('Daily Checklist'!$D$2:$D$2000=$A7)*(TEXT('Daily Checklist'!$B$2:$B$2000,"yyyy-mm-dd")=TEXT(($B$4+22),"yyyy-mm-dd")))=0,"-",IF(SUMPRODUCT(('Daily Checklist'!$D$2:$D$2000=$A7)*(TEXT('Daily Checklist'!$B$2:$B$2000,"yyyy-mm-dd")=TEXT(($B$4+22),"yyyy-mm-dd"))*('Daily Checklist'!$L$2:$L$2000="Y"))&gt;0,SUMPRODUCT(('Daily Checklist'!$D$2:$D$2000=$A7)*(TEXT('Daily Checklist'!$B$2:$B$2000,"yyyy-mm-dd")=TEXT(($B$4+22),"yyyy-mm-dd"))*('Daily Checklist'!$F$2:$F$2000="Done"))&amp;"/"&amp;SUMPRODUCT(('Daily Checklist'!$D$2:$D$2000=$A7)*(TEXT('Daily Checklist'!$B$2:$B$2000,"yyyy-mm-dd")=TEXT(($B$4+22),"yyyy-mm-dd")))&amp;" ESC",SUMPRODUCT(('Daily Checklist'!$D$2:$D$2000=$A7)*(TEXT('Daily Checklist'!$B$2:$B$2000,"yyyy-mm-dd")=TEXT(($B$4+22),"yyyy-mm-dd"))*('Daily Checklist'!$F$2:$F$2000="Done"))&amp;"/"&amp;SUMPRODUCT(('Daily Checklist'!$D$2:$D$2000=$A7)*(TEXT('Daily Checklist'!$B$2:$B$2000,"yyyy-mm-dd")=TEXT(($B$4+22),"yyyy-mm-dd"))))))</f>
        <v>-</v>
      </c>
      <c r="Y7" s="25" t="str">
        <f aca="false">IF($A7="","",IF(SUMPRODUCT(('Daily Checklist'!$D$2:$D$2000=$A7)*(TEXT('Daily Checklist'!$B$2:$B$2000,"yyyy-mm-dd")=TEXT(($B$4+23),"yyyy-mm-dd")))=0,"-",IF(SUMPRODUCT(('Daily Checklist'!$D$2:$D$2000=$A7)*(TEXT('Daily Checklist'!$B$2:$B$2000,"yyyy-mm-dd")=TEXT(($B$4+23),"yyyy-mm-dd"))*('Daily Checklist'!$L$2:$L$2000="Y"))&gt;0,SUMPRODUCT(('Daily Checklist'!$D$2:$D$2000=$A7)*(TEXT('Daily Checklist'!$B$2:$B$2000,"yyyy-mm-dd")=TEXT(($B$4+23),"yyyy-mm-dd"))*('Daily Checklist'!$F$2:$F$2000="Done"))&amp;"/"&amp;SUMPRODUCT(('Daily Checklist'!$D$2:$D$2000=$A7)*(TEXT('Daily Checklist'!$B$2:$B$2000,"yyyy-mm-dd")=TEXT(($B$4+23),"yyyy-mm-dd")))&amp;" ESC",SUMPRODUCT(('Daily Checklist'!$D$2:$D$2000=$A7)*(TEXT('Daily Checklist'!$B$2:$B$2000,"yyyy-mm-dd")=TEXT(($B$4+23),"yyyy-mm-dd"))*('Daily Checklist'!$F$2:$F$2000="Done"))&amp;"/"&amp;SUMPRODUCT(('Daily Checklist'!$D$2:$D$2000=$A7)*(TEXT('Daily Checklist'!$B$2:$B$2000,"yyyy-mm-dd")=TEXT(($B$4+23),"yyyy-mm-dd"))))))</f>
        <v>-</v>
      </c>
      <c r="Z7" s="25" t="str">
        <f aca="false">IF($A7="","",IF(SUMPRODUCT(('Daily Checklist'!$D$2:$D$2000=$A7)*(TEXT('Daily Checklist'!$B$2:$B$2000,"yyyy-mm-dd")=TEXT(($B$4+24),"yyyy-mm-dd")))=0,"-",IF(SUMPRODUCT(('Daily Checklist'!$D$2:$D$2000=$A7)*(TEXT('Daily Checklist'!$B$2:$B$2000,"yyyy-mm-dd")=TEXT(($B$4+24),"yyyy-mm-dd"))*('Daily Checklist'!$L$2:$L$2000="Y"))&gt;0,SUMPRODUCT(('Daily Checklist'!$D$2:$D$2000=$A7)*(TEXT('Daily Checklist'!$B$2:$B$2000,"yyyy-mm-dd")=TEXT(($B$4+24),"yyyy-mm-dd"))*('Daily Checklist'!$F$2:$F$2000="Done"))&amp;"/"&amp;SUMPRODUCT(('Daily Checklist'!$D$2:$D$2000=$A7)*(TEXT('Daily Checklist'!$B$2:$B$2000,"yyyy-mm-dd")=TEXT(($B$4+24),"yyyy-mm-dd")))&amp;" ESC",SUMPRODUCT(('Daily Checklist'!$D$2:$D$2000=$A7)*(TEXT('Daily Checklist'!$B$2:$B$2000,"yyyy-mm-dd")=TEXT(($B$4+24),"yyyy-mm-dd"))*('Daily Checklist'!$F$2:$F$2000="Done"))&amp;"/"&amp;SUMPRODUCT(('Daily Checklist'!$D$2:$D$2000=$A7)*(TEXT('Daily Checklist'!$B$2:$B$2000,"yyyy-mm-dd")=TEXT(($B$4+24),"yyyy-mm-dd"))))))</f>
        <v>-</v>
      </c>
      <c r="AA7" s="25" t="str">
        <f aca="false">IF($A7="","",IF(SUMPRODUCT(('Daily Checklist'!$D$2:$D$2000=$A7)*(TEXT('Daily Checklist'!$B$2:$B$2000,"yyyy-mm-dd")=TEXT(($B$4+25),"yyyy-mm-dd")))=0,"-",IF(SUMPRODUCT(('Daily Checklist'!$D$2:$D$2000=$A7)*(TEXT('Daily Checklist'!$B$2:$B$2000,"yyyy-mm-dd")=TEXT(($B$4+25),"yyyy-mm-dd"))*('Daily Checklist'!$L$2:$L$2000="Y"))&gt;0,SUMPRODUCT(('Daily Checklist'!$D$2:$D$2000=$A7)*(TEXT('Daily Checklist'!$B$2:$B$2000,"yyyy-mm-dd")=TEXT(($B$4+25),"yyyy-mm-dd"))*('Daily Checklist'!$F$2:$F$2000="Done"))&amp;"/"&amp;SUMPRODUCT(('Daily Checklist'!$D$2:$D$2000=$A7)*(TEXT('Daily Checklist'!$B$2:$B$2000,"yyyy-mm-dd")=TEXT(($B$4+25),"yyyy-mm-dd")))&amp;" ESC",SUMPRODUCT(('Daily Checklist'!$D$2:$D$2000=$A7)*(TEXT('Daily Checklist'!$B$2:$B$2000,"yyyy-mm-dd")=TEXT(($B$4+25),"yyyy-mm-dd"))*('Daily Checklist'!$F$2:$F$2000="Done"))&amp;"/"&amp;SUMPRODUCT(('Daily Checklist'!$D$2:$D$2000=$A7)*(TEXT('Daily Checklist'!$B$2:$B$2000,"yyyy-mm-dd")=TEXT(($B$4+25),"yyyy-mm-dd"))))))</f>
        <v>-</v>
      </c>
      <c r="AB7" s="25" t="str">
        <f aca="false">IF($A7="","",IF(SUMPRODUCT(('Daily Checklist'!$D$2:$D$2000=$A7)*(TEXT('Daily Checklist'!$B$2:$B$2000,"yyyy-mm-dd")=TEXT(($B$4+26),"yyyy-mm-dd")))=0,"-",IF(SUMPRODUCT(('Daily Checklist'!$D$2:$D$2000=$A7)*(TEXT('Daily Checklist'!$B$2:$B$2000,"yyyy-mm-dd")=TEXT(($B$4+26),"yyyy-mm-dd"))*('Daily Checklist'!$L$2:$L$2000="Y"))&gt;0,SUMPRODUCT(('Daily Checklist'!$D$2:$D$2000=$A7)*(TEXT('Daily Checklist'!$B$2:$B$2000,"yyyy-mm-dd")=TEXT(($B$4+26),"yyyy-mm-dd"))*('Daily Checklist'!$F$2:$F$2000="Done"))&amp;"/"&amp;SUMPRODUCT(('Daily Checklist'!$D$2:$D$2000=$A7)*(TEXT('Daily Checklist'!$B$2:$B$2000,"yyyy-mm-dd")=TEXT(($B$4+26),"yyyy-mm-dd")))&amp;" ESC",SUMPRODUCT(('Daily Checklist'!$D$2:$D$2000=$A7)*(TEXT('Daily Checklist'!$B$2:$B$2000,"yyyy-mm-dd")=TEXT(($B$4+26),"yyyy-mm-dd"))*('Daily Checklist'!$F$2:$F$2000="Done"))&amp;"/"&amp;SUMPRODUCT(('Daily Checklist'!$D$2:$D$2000=$A7)*(TEXT('Daily Checklist'!$B$2:$B$2000,"yyyy-mm-dd")=TEXT(($B$4+26),"yyyy-mm-dd"))))))</f>
        <v>-</v>
      </c>
      <c r="AC7" s="25" t="str">
        <f aca="false">IF($A7="","",IF(SUMPRODUCT(('Daily Checklist'!$D$2:$D$2000=$A7)*(TEXT('Daily Checklist'!$B$2:$B$2000,"yyyy-mm-dd")=TEXT(($B$4+27),"yyyy-mm-dd")))=0,"-",IF(SUMPRODUCT(('Daily Checklist'!$D$2:$D$2000=$A7)*(TEXT('Daily Checklist'!$B$2:$B$2000,"yyyy-mm-dd")=TEXT(($B$4+27),"yyyy-mm-dd"))*('Daily Checklist'!$L$2:$L$2000="Y"))&gt;0,SUMPRODUCT(('Daily Checklist'!$D$2:$D$2000=$A7)*(TEXT('Daily Checklist'!$B$2:$B$2000,"yyyy-mm-dd")=TEXT(($B$4+27),"yyyy-mm-dd"))*('Daily Checklist'!$F$2:$F$2000="Done"))&amp;"/"&amp;SUMPRODUCT(('Daily Checklist'!$D$2:$D$2000=$A7)*(TEXT('Daily Checklist'!$B$2:$B$2000,"yyyy-mm-dd")=TEXT(($B$4+27),"yyyy-mm-dd")))&amp;" ESC",SUMPRODUCT(('Daily Checklist'!$D$2:$D$2000=$A7)*(TEXT('Daily Checklist'!$B$2:$B$2000,"yyyy-mm-dd")=TEXT(($B$4+27),"yyyy-mm-dd"))*('Daily Checklist'!$F$2:$F$2000="Done"))&amp;"/"&amp;SUMPRODUCT(('Daily Checklist'!$D$2:$D$2000=$A7)*(TEXT('Daily Checklist'!$B$2:$B$2000,"yyyy-mm-dd")=TEXT(($B$4+27),"yyyy-mm-dd"))))))</f>
        <v>-</v>
      </c>
      <c r="AD7" s="25" t="str">
        <f aca="false">IF($A7="","",IF(SUMPRODUCT(('Daily Checklist'!$D$2:$D$2000=$A7)*(TEXT('Daily Checklist'!$B$2:$B$2000,"yyyy-mm-dd")=TEXT(($B$4+28),"yyyy-mm-dd")))=0,"-",IF(SUMPRODUCT(('Daily Checklist'!$D$2:$D$2000=$A7)*(TEXT('Daily Checklist'!$B$2:$B$2000,"yyyy-mm-dd")=TEXT(($B$4+28),"yyyy-mm-dd"))*('Daily Checklist'!$L$2:$L$2000="Y"))&gt;0,SUMPRODUCT(('Daily Checklist'!$D$2:$D$2000=$A7)*(TEXT('Daily Checklist'!$B$2:$B$2000,"yyyy-mm-dd")=TEXT(($B$4+28),"yyyy-mm-dd"))*('Daily Checklist'!$F$2:$F$2000="Done"))&amp;"/"&amp;SUMPRODUCT(('Daily Checklist'!$D$2:$D$2000=$A7)*(TEXT('Daily Checklist'!$B$2:$B$2000,"yyyy-mm-dd")=TEXT(($B$4+28),"yyyy-mm-dd")))&amp;" ESC",SUMPRODUCT(('Daily Checklist'!$D$2:$D$2000=$A7)*(TEXT('Daily Checklist'!$B$2:$B$2000,"yyyy-mm-dd")=TEXT(($B$4+28),"yyyy-mm-dd"))*('Daily Checklist'!$F$2:$F$2000="Done"))&amp;"/"&amp;SUMPRODUCT(('Daily Checklist'!$D$2:$D$2000=$A7)*(TEXT('Daily Checklist'!$B$2:$B$2000,"yyyy-mm-dd")=TEXT(($B$4+28),"yyyy-mm-dd"))))))</f>
        <v>-</v>
      </c>
      <c r="AE7" s="25" t="str">
        <f aca="false">IF($A7="","",IF(SUMPRODUCT(('Daily Checklist'!$D$2:$D$2000=$A7)*(TEXT('Daily Checklist'!$B$2:$B$2000,"yyyy-mm-dd")=TEXT(($B$4+29),"yyyy-mm-dd")))=0,"-",IF(SUMPRODUCT(('Daily Checklist'!$D$2:$D$2000=$A7)*(TEXT('Daily Checklist'!$B$2:$B$2000,"yyyy-mm-dd")=TEXT(($B$4+29),"yyyy-mm-dd"))*('Daily Checklist'!$L$2:$L$2000="Y"))&gt;0,SUMPRODUCT(('Daily Checklist'!$D$2:$D$2000=$A7)*(TEXT('Daily Checklist'!$B$2:$B$2000,"yyyy-mm-dd")=TEXT(($B$4+29),"yyyy-mm-dd"))*('Daily Checklist'!$F$2:$F$2000="Done"))&amp;"/"&amp;SUMPRODUCT(('Daily Checklist'!$D$2:$D$2000=$A7)*(TEXT('Daily Checklist'!$B$2:$B$2000,"yyyy-mm-dd")=TEXT(($B$4+29),"yyyy-mm-dd")))&amp;" ESC",SUMPRODUCT(('Daily Checklist'!$D$2:$D$2000=$A7)*(TEXT('Daily Checklist'!$B$2:$B$2000,"yyyy-mm-dd")=TEXT(($B$4+29),"yyyy-mm-dd"))*('Daily Checklist'!$F$2:$F$2000="Done"))&amp;"/"&amp;SUMPRODUCT(('Daily Checklist'!$D$2:$D$2000=$A7)*(TEXT('Daily Checklist'!$B$2:$B$2000,"yyyy-mm-dd")=TEXT(($B$4+29),"yyyy-mm-dd"))))))</f>
        <v>-</v>
      </c>
      <c r="AF7" s="25" t="str">
        <f aca="false">IF($A7="","",IF(SUMPRODUCT(('Daily Checklist'!$D$2:$D$2000=$A7)*(TEXT('Daily Checklist'!$B$2:$B$2000,"yyyy-mm-dd")=TEXT(($B$4+30),"yyyy-mm-dd")))=0,"-",IF(SUMPRODUCT(('Daily Checklist'!$D$2:$D$2000=$A7)*(TEXT('Daily Checklist'!$B$2:$B$2000,"yyyy-mm-dd")=TEXT(($B$4+30),"yyyy-mm-dd"))*('Daily Checklist'!$L$2:$L$2000="Y"))&gt;0,SUMPRODUCT(('Daily Checklist'!$D$2:$D$2000=$A7)*(TEXT('Daily Checklist'!$B$2:$B$2000,"yyyy-mm-dd")=TEXT(($B$4+30),"yyyy-mm-dd"))*('Daily Checklist'!$F$2:$F$2000="Done"))&amp;"/"&amp;SUMPRODUCT(('Daily Checklist'!$D$2:$D$2000=$A7)*(TEXT('Daily Checklist'!$B$2:$B$2000,"yyyy-mm-dd")=TEXT(($B$4+30),"yyyy-mm-dd")))&amp;" ESC",SUMPRODUCT(('Daily Checklist'!$D$2:$D$2000=$A7)*(TEXT('Daily Checklist'!$B$2:$B$2000,"yyyy-mm-dd")=TEXT(($B$4+30),"yyyy-mm-dd"))*('Daily Checklist'!$F$2:$F$2000="Done"))&amp;"/"&amp;SUMPRODUCT(('Daily Checklist'!$D$2:$D$2000=$A7)*(TEXT('Daily Checklist'!$B$2:$B$2000,"yyyy-mm-dd")=TEXT(($B$4+30),"yyyy-mm-dd"))))))</f>
        <v>-</v>
      </c>
    </row>
    <row r="8" customFormat="false" ht="15" hidden="false" customHeight="true" outlineLevel="0" collapsed="false">
      <c r="A8" s="24" t="str">
        <f aca="false">IFERROR(IF(Employees!A3="","",Employees!A3),"")</f>
        <v>Santosh Guddu</v>
      </c>
      <c r="B8" s="25" t="str">
        <f aca="false">IF($A8="","",IF(SUMPRODUCT(('Daily Checklist'!$D$2:$D$2000=$A8)*(TEXT('Daily Checklist'!$B$2:$B$2000,"yyyy-mm-dd")=TEXT(($B$4+0),"yyyy-mm-dd")))=0,"-",IF(SUMPRODUCT(('Daily Checklist'!$D$2:$D$2000=$A8)*(TEXT('Daily Checklist'!$B$2:$B$2000,"yyyy-mm-dd")=TEXT(($B$4+0),"yyyy-mm-dd"))*('Daily Checklist'!$L$2:$L$2000="Y"))&gt;0,SUMPRODUCT(('Daily Checklist'!$D$2:$D$2000=$A8)*(TEXT('Daily Checklist'!$B$2:$B$2000,"yyyy-mm-dd")=TEXT(($B$4+0),"yyyy-mm-dd"))*('Daily Checklist'!$F$2:$F$2000="Done"))&amp;"/"&amp;SUMPRODUCT(('Daily Checklist'!$D$2:$D$2000=$A8)*(TEXT('Daily Checklist'!$B$2:$B$2000,"yyyy-mm-dd")=TEXT(($B$4+0),"yyyy-mm-dd")))&amp;" ESC",SUMPRODUCT(('Daily Checklist'!$D$2:$D$2000=$A8)*(TEXT('Daily Checklist'!$B$2:$B$2000,"yyyy-mm-dd")=TEXT(($B$4+0),"yyyy-mm-dd"))*('Daily Checklist'!$F$2:$F$2000="Done"))&amp;"/"&amp;SUMPRODUCT(('Daily Checklist'!$D$2:$D$2000=$A8)*(TEXT('Daily Checklist'!$B$2:$B$2000,"yyyy-mm-dd")=TEXT(($B$4+0),"yyyy-mm-dd"))))))</f>
        <v>2/2</v>
      </c>
      <c r="C8" s="25" t="str">
        <f aca="false">IF($A8="","",IF(SUMPRODUCT(('Daily Checklist'!$D$2:$D$2000=$A8)*(TEXT('Daily Checklist'!$B$2:$B$2000,"yyyy-mm-dd")=TEXT(($B$4+1),"yyyy-mm-dd")))=0,"-",IF(SUMPRODUCT(('Daily Checklist'!$D$2:$D$2000=$A8)*(TEXT('Daily Checklist'!$B$2:$B$2000,"yyyy-mm-dd")=TEXT(($B$4+1),"yyyy-mm-dd"))*('Daily Checklist'!$L$2:$L$2000="Y"))&gt;0,SUMPRODUCT(('Daily Checklist'!$D$2:$D$2000=$A8)*(TEXT('Daily Checklist'!$B$2:$B$2000,"yyyy-mm-dd")=TEXT(($B$4+1),"yyyy-mm-dd"))*('Daily Checklist'!$F$2:$F$2000="Done"))&amp;"/"&amp;SUMPRODUCT(('Daily Checklist'!$D$2:$D$2000=$A8)*(TEXT('Daily Checklist'!$B$2:$B$2000,"yyyy-mm-dd")=TEXT(($B$4+1),"yyyy-mm-dd")))&amp;" ESC",SUMPRODUCT(('Daily Checklist'!$D$2:$D$2000=$A8)*(TEXT('Daily Checklist'!$B$2:$B$2000,"yyyy-mm-dd")=TEXT(($B$4+1),"yyyy-mm-dd"))*('Daily Checklist'!$F$2:$F$2000="Done"))&amp;"/"&amp;SUMPRODUCT(('Daily Checklist'!$D$2:$D$2000=$A8)*(TEXT('Daily Checklist'!$B$2:$B$2000,"yyyy-mm-dd")=TEXT(($B$4+1),"yyyy-mm-dd"))))))</f>
        <v>1/2</v>
      </c>
      <c r="D8" s="25" t="str">
        <f aca="false">IF($A8="","",IF(SUMPRODUCT(('Daily Checklist'!$D$2:$D$2000=$A8)*(TEXT('Daily Checklist'!$B$2:$B$2000,"yyyy-mm-dd")=TEXT(($B$4+2),"yyyy-mm-dd")))=0,"-",IF(SUMPRODUCT(('Daily Checklist'!$D$2:$D$2000=$A8)*(TEXT('Daily Checklist'!$B$2:$B$2000,"yyyy-mm-dd")=TEXT(($B$4+2),"yyyy-mm-dd"))*('Daily Checklist'!$L$2:$L$2000="Y"))&gt;0,SUMPRODUCT(('Daily Checklist'!$D$2:$D$2000=$A8)*(TEXT('Daily Checklist'!$B$2:$B$2000,"yyyy-mm-dd")=TEXT(($B$4+2),"yyyy-mm-dd"))*('Daily Checklist'!$F$2:$F$2000="Done"))&amp;"/"&amp;SUMPRODUCT(('Daily Checklist'!$D$2:$D$2000=$A8)*(TEXT('Daily Checklist'!$B$2:$B$2000,"yyyy-mm-dd")=TEXT(($B$4+2),"yyyy-mm-dd")))&amp;" ESC",SUMPRODUCT(('Daily Checklist'!$D$2:$D$2000=$A8)*(TEXT('Daily Checklist'!$B$2:$B$2000,"yyyy-mm-dd")=TEXT(($B$4+2),"yyyy-mm-dd"))*('Daily Checklist'!$F$2:$F$2000="Done"))&amp;"/"&amp;SUMPRODUCT(('Daily Checklist'!$D$2:$D$2000=$A8)*(TEXT('Daily Checklist'!$B$2:$B$2000,"yyyy-mm-dd")=TEXT(($B$4+2),"yyyy-mm-dd"))))))</f>
        <v>2/2</v>
      </c>
      <c r="E8" s="25" t="str">
        <f aca="false">IF($A8="","",IF(SUMPRODUCT(('Daily Checklist'!$D$2:$D$2000=$A8)*(TEXT('Daily Checklist'!$B$2:$B$2000,"yyyy-mm-dd")=TEXT(($B$4+3),"yyyy-mm-dd")))=0,"-",IF(SUMPRODUCT(('Daily Checklist'!$D$2:$D$2000=$A8)*(TEXT('Daily Checklist'!$B$2:$B$2000,"yyyy-mm-dd")=TEXT(($B$4+3),"yyyy-mm-dd"))*('Daily Checklist'!$L$2:$L$2000="Y"))&gt;0,SUMPRODUCT(('Daily Checklist'!$D$2:$D$2000=$A8)*(TEXT('Daily Checklist'!$B$2:$B$2000,"yyyy-mm-dd")=TEXT(($B$4+3),"yyyy-mm-dd"))*('Daily Checklist'!$F$2:$F$2000="Done"))&amp;"/"&amp;SUMPRODUCT(('Daily Checklist'!$D$2:$D$2000=$A8)*(TEXT('Daily Checklist'!$B$2:$B$2000,"yyyy-mm-dd")=TEXT(($B$4+3),"yyyy-mm-dd")))&amp;" ESC",SUMPRODUCT(('Daily Checklist'!$D$2:$D$2000=$A8)*(TEXT('Daily Checklist'!$B$2:$B$2000,"yyyy-mm-dd")=TEXT(($B$4+3),"yyyy-mm-dd"))*('Daily Checklist'!$F$2:$F$2000="Done"))&amp;"/"&amp;SUMPRODUCT(('Daily Checklist'!$D$2:$D$2000=$A8)*(TEXT('Daily Checklist'!$B$2:$B$2000,"yyyy-mm-dd")=TEXT(($B$4+3),"yyyy-mm-dd"))))))</f>
        <v>0/2</v>
      </c>
      <c r="F8" s="25" t="str">
        <f aca="false">IF($A8="","",IF(SUMPRODUCT(('Daily Checklist'!$D$2:$D$2000=$A8)*(TEXT('Daily Checklist'!$B$2:$B$2000,"yyyy-mm-dd")=TEXT(($B$4+4),"yyyy-mm-dd")))=0,"-",IF(SUMPRODUCT(('Daily Checklist'!$D$2:$D$2000=$A8)*(TEXT('Daily Checklist'!$B$2:$B$2000,"yyyy-mm-dd")=TEXT(($B$4+4),"yyyy-mm-dd"))*('Daily Checklist'!$L$2:$L$2000="Y"))&gt;0,SUMPRODUCT(('Daily Checklist'!$D$2:$D$2000=$A8)*(TEXT('Daily Checklist'!$B$2:$B$2000,"yyyy-mm-dd")=TEXT(($B$4+4),"yyyy-mm-dd"))*('Daily Checklist'!$F$2:$F$2000="Done"))&amp;"/"&amp;SUMPRODUCT(('Daily Checklist'!$D$2:$D$2000=$A8)*(TEXT('Daily Checklist'!$B$2:$B$2000,"yyyy-mm-dd")=TEXT(($B$4+4),"yyyy-mm-dd")))&amp;" ESC",SUMPRODUCT(('Daily Checklist'!$D$2:$D$2000=$A8)*(TEXT('Daily Checklist'!$B$2:$B$2000,"yyyy-mm-dd")=TEXT(($B$4+4),"yyyy-mm-dd"))*('Daily Checklist'!$F$2:$F$2000="Done"))&amp;"/"&amp;SUMPRODUCT(('Daily Checklist'!$D$2:$D$2000=$A8)*(TEXT('Daily Checklist'!$B$2:$B$2000,"yyyy-mm-dd")=TEXT(($B$4+4),"yyyy-mm-dd"))))))</f>
        <v>2/2</v>
      </c>
      <c r="G8" s="25" t="str">
        <f aca="false">IF($A8="","",IF(SUMPRODUCT(('Daily Checklist'!$D$2:$D$2000=$A8)*(TEXT('Daily Checklist'!$B$2:$B$2000,"yyyy-mm-dd")=TEXT(($B$4+5),"yyyy-mm-dd")))=0,"-",IF(SUMPRODUCT(('Daily Checklist'!$D$2:$D$2000=$A8)*(TEXT('Daily Checklist'!$B$2:$B$2000,"yyyy-mm-dd")=TEXT(($B$4+5),"yyyy-mm-dd"))*('Daily Checklist'!$L$2:$L$2000="Y"))&gt;0,SUMPRODUCT(('Daily Checklist'!$D$2:$D$2000=$A8)*(TEXT('Daily Checklist'!$B$2:$B$2000,"yyyy-mm-dd")=TEXT(($B$4+5),"yyyy-mm-dd"))*('Daily Checklist'!$F$2:$F$2000="Done"))&amp;"/"&amp;SUMPRODUCT(('Daily Checklist'!$D$2:$D$2000=$A8)*(TEXT('Daily Checklist'!$B$2:$B$2000,"yyyy-mm-dd")=TEXT(($B$4+5),"yyyy-mm-dd")))&amp;" ESC",SUMPRODUCT(('Daily Checklist'!$D$2:$D$2000=$A8)*(TEXT('Daily Checklist'!$B$2:$B$2000,"yyyy-mm-dd")=TEXT(($B$4+5),"yyyy-mm-dd"))*('Daily Checklist'!$F$2:$F$2000="Done"))&amp;"/"&amp;SUMPRODUCT(('Daily Checklist'!$D$2:$D$2000=$A8)*(TEXT('Daily Checklist'!$B$2:$B$2000,"yyyy-mm-dd")=TEXT(($B$4+5),"yyyy-mm-dd"))))))</f>
        <v>-</v>
      </c>
      <c r="H8" s="25" t="str">
        <f aca="false">IF($A8="","",IF(SUMPRODUCT(('Daily Checklist'!$D$2:$D$2000=$A8)*(TEXT('Daily Checklist'!$B$2:$B$2000,"yyyy-mm-dd")=TEXT(($B$4+6),"yyyy-mm-dd")))=0,"-",IF(SUMPRODUCT(('Daily Checklist'!$D$2:$D$2000=$A8)*(TEXT('Daily Checklist'!$B$2:$B$2000,"yyyy-mm-dd")=TEXT(($B$4+6),"yyyy-mm-dd"))*('Daily Checklist'!$L$2:$L$2000="Y"))&gt;0,SUMPRODUCT(('Daily Checklist'!$D$2:$D$2000=$A8)*(TEXT('Daily Checklist'!$B$2:$B$2000,"yyyy-mm-dd")=TEXT(($B$4+6),"yyyy-mm-dd"))*('Daily Checklist'!$F$2:$F$2000="Done"))&amp;"/"&amp;SUMPRODUCT(('Daily Checklist'!$D$2:$D$2000=$A8)*(TEXT('Daily Checklist'!$B$2:$B$2000,"yyyy-mm-dd")=TEXT(($B$4+6),"yyyy-mm-dd")))&amp;" ESC",SUMPRODUCT(('Daily Checklist'!$D$2:$D$2000=$A8)*(TEXT('Daily Checklist'!$B$2:$B$2000,"yyyy-mm-dd")=TEXT(($B$4+6),"yyyy-mm-dd"))*('Daily Checklist'!$F$2:$F$2000="Done"))&amp;"/"&amp;SUMPRODUCT(('Daily Checklist'!$D$2:$D$2000=$A8)*(TEXT('Daily Checklist'!$B$2:$B$2000,"yyyy-mm-dd")=TEXT(($B$4+6),"yyyy-mm-dd"))))))</f>
        <v>-</v>
      </c>
      <c r="I8" s="25" t="str">
        <f aca="false">IF($A8="","",IF(SUMPRODUCT(('Daily Checklist'!$D$2:$D$2000=$A8)*(TEXT('Daily Checklist'!$B$2:$B$2000,"yyyy-mm-dd")=TEXT(($B$4+7),"yyyy-mm-dd")))=0,"-",IF(SUMPRODUCT(('Daily Checklist'!$D$2:$D$2000=$A8)*(TEXT('Daily Checklist'!$B$2:$B$2000,"yyyy-mm-dd")=TEXT(($B$4+7),"yyyy-mm-dd"))*('Daily Checklist'!$L$2:$L$2000="Y"))&gt;0,SUMPRODUCT(('Daily Checklist'!$D$2:$D$2000=$A8)*(TEXT('Daily Checklist'!$B$2:$B$2000,"yyyy-mm-dd")=TEXT(($B$4+7),"yyyy-mm-dd"))*('Daily Checklist'!$F$2:$F$2000="Done"))&amp;"/"&amp;SUMPRODUCT(('Daily Checklist'!$D$2:$D$2000=$A8)*(TEXT('Daily Checklist'!$B$2:$B$2000,"yyyy-mm-dd")=TEXT(($B$4+7),"yyyy-mm-dd")))&amp;" ESC",SUMPRODUCT(('Daily Checklist'!$D$2:$D$2000=$A8)*(TEXT('Daily Checklist'!$B$2:$B$2000,"yyyy-mm-dd")=TEXT(($B$4+7),"yyyy-mm-dd"))*('Daily Checklist'!$F$2:$F$2000="Done"))&amp;"/"&amp;SUMPRODUCT(('Daily Checklist'!$D$2:$D$2000=$A8)*(TEXT('Daily Checklist'!$B$2:$B$2000,"yyyy-mm-dd")=TEXT(($B$4+7),"yyyy-mm-dd"))))))</f>
        <v>-</v>
      </c>
      <c r="J8" s="25" t="str">
        <f aca="false">IF($A8="","",IF(SUMPRODUCT(('Daily Checklist'!$D$2:$D$2000=$A8)*(TEXT('Daily Checklist'!$B$2:$B$2000,"yyyy-mm-dd")=TEXT(($B$4+8),"yyyy-mm-dd")))=0,"-",IF(SUMPRODUCT(('Daily Checklist'!$D$2:$D$2000=$A8)*(TEXT('Daily Checklist'!$B$2:$B$2000,"yyyy-mm-dd")=TEXT(($B$4+8),"yyyy-mm-dd"))*('Daily Checklist'!$L$2:$L$2000="Y"))&gt;0,SUMPRODUCT(('Daily Checklist'!$D$2:$D$2000=$A8)*(TEXT('Daily Checklist'!$B$2:$B$2000,"yyyy-mm-dd")=TEXT(($B$4+8),"yyyy-mm-dd"))*('Daily Checklist'!$F$2:$F$2000="Done"))&amp;"/"&amp;SUMPRODUCT(('Daily Checklist'!$D$2:$D$2000=$A8)*(TEXT('Daily Checklist'!$B$2:$B$2000,"yyyy-mm-dd")=TEXT(($B$4+8),"yyyy-mm-dd")))&amp;" ESC",SUMPRODUCT(('Daily Checklist'!$D$2:$D$2000=$A8)*(TEXT('Daily Checklist'!$B$2:$B$2000,"yyyy-mm-dd")=TEXT(($B$4+8),"yyyy-mm-dd"))*('Daily Checklist'!$F$2:$F$2000="Done"))&amp;"/"&amp;SUMPRODUCT(('Daily Checklist'!$D$2:$D$2000=$A8)*(TEXT('Daily Checklist'!$B$2:$B$2000,"yyyy-mm-dd")=TEXT(($B$4+8),"yyyy-mm-dd"))))))</f>
        <v>-</v>
      </c>
      <c r="K8" s="25" t="str">
        <f aca="false">IF($A8="","",IF(SUMPRODUCT(('Daily Checklist'!$D$2:$D$2000=$A8)*(TEXT('Daily Checklist'!$B$2:$B$2000,"yyyy-mm-dd")=TEXT(($B$4+9),"yyyy-mm-dd")))=0,"-",IF(SUMPRODUCT(('Daily Checklist'!$D$2:$D$2000=$A8)*(TEXT('Daily Checklist'!$B$2:$B$2000,"yyyy-mm-dd")=TEXT(($B$4+9),"yyyy-mm-dd"))*('Daily Checklist'!$L$2:$L$2000="Y"))&gt;0,SUMPRODUCT(('Daily Checklist'!$D$2:$D$2000=$A8)*(TEXT('Daily Checklist'!$B$2:$B$2000,"yyyy-mm-dd")=TEXT(($B$4+9),"yyyy-mm-dd"))*('Daily Checklist'!$F$2:$F$2000="Done"))&amp;"/"&amp;SUMPRODUCT(('Daily Checklist'!$D$2:$D$2000=$A8)*(TEXT('Daily Checklist'!$B$2:$B$2000,"yyyy-mm-dd")=TEXT(($B$4+9),"yyyy-mm-dd")))&amp;" ESC",SUMPRODUCT(('Daily Checklist'!$D$2:$D$2000=$A8)*(TEXT('Daily Checklist'!$B$2:$B$2000,"yyyy-mm-dd")=TEXT(($B$4+9),"yyyy-mm-dd"))*('Daily Checklist'!$F$2:$F$2000="Done"))&amp;"/"&amp;SUMPRODUCT(('Daily Checklist'!$D$2:$D$2000=$A8)*(TEXT('Daily Checklist'!$B$2:$B$2000,"yyyy-mm-dd")=TEXT(($B$4+9),"yyyy-mm-dd"))))))</f>
        <v>-</v>
      </c>
      <c r="L8" s="25" t="str">
        <f aca="false">IF($A8="","",IF(SUMPRODUCT(('Daily Checklist'!$D$2:$D$2000=$A8)*(TEXT('Daily Checklist'!$B$2:$B$2000,"yyyy-mm-dd")=TEXT(($B$4+10),"yyyy-mm-dd")))=0,"-",IF(SUMPRODUCT(('Daily Checklist'!$D$2:$D$2000=$A8)*(TEXT('Daily Checklist'!$B$2:$B$2000,"yyyy-mm-dd")=TEXT(($B$4+10),"yyyy-mm-dd"))*('Daily Checklist'!$L$2:$L$2000="Y"))&gt;0,SUMPRODUCT(('Daily Checklist'!$D$2:$D$2000=$A8)*(TEXT('Daily Checklist'!$B$2:$B$2000,"yyyy-mm-dd")=TEXT(($B$4+10),"yyyy-mm-dd"))*('Daily Checklist'!$F$2:$F$2000="Done"))&amp;"/"&amp;SUMPRODUCT(('Daily Checklist'!$D$2:$D$2000=$A8)*(TEXT('Daily Checklist'!$B$2:$B$2000,"yyyy-mm-dd")=TEXT(($B$4+10),"yyyy-mm-dd")))&amp;" ESC",SUMPRODUCT(('Daily Checklist'!$D$2:$D$2000=$A8)*(TEXT('Daily Checklist'!$B$2:$B$2000,"yyyy-mm-dd")=TEXT(($B$4+10),"yyyy-mm-dd"))*('Daily Checklist'!$F$2:$F$2000="Done"))&amp;"/"&amp;SUMPRODUCT(('Daily Checklist'!$D$2:$D$2000=$A8)*(TEXT('Daily Checklist'!$B$2:$B$2000,"yyyy-mm-dd")=TEXT(($B$4+10),"yyyy-mm-dd"))))))</f>
        <v>-</v>
      </c>
      <c r="M8" s="25" t="str">
        <f aca="false">IF($A8="","",IF(SUMPRODUCT(('Daily Checklist'!$D$2:$D$2000=$A8)*(TEXT('Daily Checklist'!$B$2:$B$2000,"yyyy-mm-dd")=TEXT(($B$4+11),"yyyy-mm-dd")))=0,"-",IF(SUMPRODUCT(('Daily Checklist'!$D$2:$D$2000=$A8)*(TEXT('Daily Checklist'!$B$2:$B$2000,"yyyy-mm-dd")=TEXT(($B$4+11),"yyyy-mm-dd"))*('Daily Checklist'!$L$2:$L$2000="Y"))&gt;0,SUMPRODUCT(('Daily Checklist'!$D$2:$D$2000=$A8)*(TEXT('Daily Checklist'!$B$2:$B$2000,"yyyy-mm-dd")=TEXT(($B$4+11),"yyyy-mm-dd"))*('Daily Checklist'!$F$2:$F$2000="Done"))&amp;"/"&amp;SUMPRODUCT(('Daily Checklist'!$D$2:$D$2000=$A8)*(TEXT('Daily Checklist'!$B$2:$B$2000,"yyyy-mm-dd")=TEXT(($B$4+11),"yyyy-mm-dd")))&amp;" ESC",SUMPRODUCT(('Daily Checklist'!$D$2:$D$2000=$A8)*(TEXT('Daily Checklist'!$B$2:$B$2000,"yyyy-mm-dd")=TEXT(($B$4+11),"yyyy-mm-dd"))*('Daily Checklist'!$F$2:$F$2000="Done"))&amp;"/"&amp;SUMPRODUCT(('Daily Checklist'!$D$2:$D$2000=$A8)*(TEXT('Daily Checklist'!$B$2:$B$2000,"yyyy-mm-dd")=TEXT(($B$4+11),"yyyy-mm-dd"))))))</f>
        <v>-</v>
      </c>
      <c r="N8" s="25" t="str">
        <f aca="false">IF($A8="","",IF(SUMPRODUCT(('Daily Checklist'!$D$2:$D$2000=$A8)*(TEXT('Daily Checklist'!$B$2:$B$2000,"yyyy-mm-dd")=TEXT(($B$4+12),"yyyy-mm-dd")))=0,"-",IF(SUMPRODUCT(('Daily Checklist'!$D$2:$D$2000=$A8)*(TEXT('Daily Checklist'!$B$2:$B$2000,"yyyy-mm-dd")=TEXT(($B$4+12),"yyyy-mm-dd"))*('Daily Checklist'!$L$2:$L$2000="Y"))&gt;0,SUMPRODUCT(('Daily Checklist'!$D$2:$D$2000=$A8)*(TEXT('Daily Checklist'!$B$2:$B$2000,"yyyy-mm-dd")=TEXT(($B$4+12),"yyyy-mm-dd"))*('Daily Checklist'!$F$2:$F$2000="Done"))&amp;"/"&amp;SUMPRODUCT(('Daily Checklist'!$D$2:$D$2000=$A8)*(TEXT('Daily Checklist'!$B$2:$B$2000,"yyyy-mm-dd")=TEXT(($B$4+12),"yyyy-mm-dd")))&amp;" ESC",SUMPRODUCT(('Daily Checklist'!$D$2:$D$2000=$A8)*(TEXT('Daily Checklist'!$B$2:$B$2000,"yyyy-mm-dd")=TEXT(($B$4+12),"yyyy-mm-dd"))*('Daily Checklist'!$F$2:$F$2000="Done"))&amp;"/"&amp;SUMPRODUCT(('Daily Checklist'!$D$2:$D$2000=$A8)*(TEXT('Daily Checklist'!$B$2:$B$2000,"yyyy-mm-dd")=TEXT(($B$4+12),"yyyy-mm-dd"))))))</f>
        <v>-</v>
      </c>
      <c r="O8" s="25" t="str">
        <f aca="false">IF($A8="","",IF(SUMPRODUCT(('Daily Checklist'!$D$2:$D$2000=$A8)*(TEXT('Daily Checklist'!$B$2:$B$2000,"yyyy-mm-dd")=TEXT(($B$4+13),"yyyy-mm-dd")))=0,"-",IF(SUMPRODUCT(('Daily Checklist'!$D$2:$D$2000=$A8)*(TEXT('Daily Checklist'!$B$2:$B$2000,"yyyy-mm-dd")=TEXT(($B$4+13),"yyyy-mm-dd"))*('Daily Checklist'!$L$2:$L$2000="Y"))&gt;0,SUMPRODUCT(('Daily Checklist'!$D$2:$D$2000=$A8)*(TEXT('Daily Checklist'!$B$2:$B$2000,"yyyy-mm-dd")=TEXT(($B$4+13),"yyyy-mm-dd"))*('Daily Checklist'!$F$2:$F$2000="Done"))&amp;"/"&amp;SUMPRODUCT(('Daily Checklist'!$D$2:$D$2000=$A8)*(TEXT('Daily Checklist'!$B$2:$B$2000,"yyyy-mm-dd")=TEXT(($B$4+13),"yyyy-mm-dd")))&amp;" ESC",SUMPRODUCT(('Daily Checklist'!$D$2:$D$2000=$A8)*(TEXT('Daily Checklist'!$B$2:$B$2000,"yyyy-mm-dd")=TEXT(($B$4+13),"yyyy-mm-dd"))*('Daily Checklist'!$F$2:$F$2000="Done"))&amp;"/"&amp;SUMPRODUCT(('Daily Checklist'!$D$2:$D$2000=$A8)*(TEXT('Daily Checklist'!$B$2:$B$2000,"yyyy-mm-dd")=TEXT(($B$4+13),"yyyy-mm-dd"))))))</f>
        <v>-</v>
      </c>
      <c r="P8" s="25" t="str">
        <f aca="false">IF($A8="","",IF(SUMPRODUCT(('Daily Checklist'!$D$2:$D$2000=$A8)*(TEXT('Daily Checklist'!$B$2:$B$2000,"yyyy-mm-dd")=TEXT(($B$4+14),"yyyy-mm-dd")))=0,"-",IF(SUMPRODUCT(('Daily Checklist'!$D$2:$D$2000=$A8)*(TEXT('Daily Checklist'!$B$2:$B$2000,"yyyy-mm-dd")=TEXT(($B$4+14),"yyyy-mm-dd"))*('Daily Checklist'!$L$2:$L$2000="Y"))&gt;0,SUMPRODUCT(('Daily Checklist'!$D$2:$D$2000=$A8)*(TEXT('Daily Checklist'!$B$2:$B$2000,"yyyy-mm-dd")=TEXT(($B$4+14),"yyyy-mm-dd"))*('Daily Checklist'!$F$2:$F$2000="Done"))&amp;"/"&amp;SUMPRODUCT(('Daily Checklist'!$D$2:$D$2000=$A8)*(TEXT('Daily Checklist'!$B$2:$B$2000,"yyyy-mm-dd")=TEXT(($B$4+14),"yyyy-mm-dd")))&amp;" ESC",SUMPRODUCT(('Daily Checklist'!$D$2:$D$2000=$A8)*(TEXT('Daily Checklist'!$B$2:$B$2000,"yyyy-mm-dd")=TEXT(($B$4+14),"yyyy-mm-dd"))*('Daily Checklist'!$F$2:$F$2000="Done"))&amp;"/"&amp;SUMPRODUCT(('Daily Checklist'!$D$2:$D$2000=$A8)*(TEXT('Daily Checklist'!$B$2:$B$2000,"yyyy-mm-dd")=TEXT(($B$4+14),"yyyy-mm-dd"))))))</f>
        <v>-</v>
      </c>
      <c r="Q8" s="25" t="str">
        <f aca="false">IF($A8="","",IF(SUMPRODUCT(('Daily Checklist'!$D$2:$D$2000=$A8)*(TEXT('Daily Checklist'!$B$2:$B$2000,"yyyy-mm-dd")=TEXT(($B$4+15),"yyyy-mm-dd")))=0,"-",IF(SUMPRODUCT(('Daily Checklist'!$D$2:$D$2000=$A8)*(TEXT('Daily Checklist'!$B$2:$B$2000,"yyyy-mm-dd")=TEXT(($B$4+15),"yyyy-mm-dd"))*('Daily Checklist'!$L$2:$L$2000="Y"))&gt;0,SUMPRODUCT(('Daily Checklist'!$D$2:$D$2000=$A8)*(TEXT('Daily Checklist'!$B$2:$B$2000,"yyyy-mm-dd")=TEXT(($B$4+15),"yyyy-mm-dd"))*('Daily Checklist'!$F$2:$F$2000="Done"))&amp;"/"&amp;SUMPRODUCT(('Daily Checklist'!$D$2:$D$2000=$A8)*(TEXT('Daily Checklist'!$B$2:$B$2000,"yyyy-mm-dd")=TEXT(($B$4+15),"yyyy-mm-dd")))&amp;" ESC",SUMPRODUCT(('Daily Checklist'!$D$2:$D$2000=$A8)*(TEXT('Daily Checklist'!$B$2:$B$2000,"yyyy-mm-dd")=TEXT(($B$4+15),"yyyy-mm-dd"))*('Daily Checklist'!$F$2:$F$2000="Done"))&amp;"/"&amp;SUMPRODUCT(('Daily Checklist'!$D$2:$D$2000=$A8)*(TEXT('Daily Checklist'!$B$2:$B$2000,"yyyy-mm-dd")=TEXT(($B$4+15),"yyyy-mm-dd"))))))</f>
        <v>-</v>
      </c>
      <c r="R8" s="25" t="str">
        <f aca="false">IF($A8="","",IF(SUMPRODUCT(('Daily Checklist'!$D$2:$D$2000=$A8)*(TEXT('Daily Checklist'!$B$2:$B$2000,"yyyy-mm-dd")=TEXT(($B$4+16),"yyyy-mm-dd")))=0,"-",IF(SUMPRODUCT(('Daily Checklist'!$D$2:$D$2000=$A8)*(TEXT('Daily Checklist'!$B$2:$B$2000,"yyyy-mm-dd")=TEXT(($B$4+16),"yyyy-mm-dd"))*('Daily Checklist'!$L$2:$L$2000="Y"))&gt;0,SUMPRODUCT(('Daily Checklist'!$D$2:$D$2000=$A8)*(TEXT('Daily Checklist'!$B$2:$B$2000,"yyyy-mm-dd")=TEXT(($B$4+16),"yyyy-mm-dd"))*('Daily Checklist'!$F$2:$F$2000="Done"))&amp;"/"&amp;SUMPRODUCT(('Daily Checklist'!$D$2:$D$2000=$A8)*(TEXT('Daily Checklist'!$B$2:$B$2000,"yyyy-mm-dd")=TEXT(($B$4+16),"yyyy-mm-dd")))&amp;" ESC",SUMPRODUCT(('Daily Checklist'!$D$2:$D$2000=$A8)*(TEXT('Daily Checklist'!$B$2:$B$2000,"yyyy-mm-dd")=TEXT(($B$4+16),"yyyy-mm-dd"))*('Daily Checklist'!$F$2:$F$2000="Done"))&amp;"/"&amp;SUMPRODUCT(('Daily Checklist'!$D$2:$D$2000=$A8)*(TEXT('Daily Checklist'!$B$2:$B$2000,"yyyy-mm-dd")=TEXT(($B$4+16),"yyyy-mm-dd"))))))</f>
        <v>-</v>
      </c>
      <c r="S8" s="25" t="str">
        <f aca="false">IF($A8="","",IF(SUMPRODUCT(('Daily Checklist'!$D$2:$D$2000=$A8)*(TEXT('Daily Checklist'!$B$2:$B$2000,"yyyy-mm-dd")=TEXT(($B$4+17),"yyyy-mm-dd")))=0,"-",IF(SUMPRODUCT(('Daily Checklist'!$D$2:$D$2000=$A8)*(TEXT('Daily Checklist'!$B$2:$B$2000,"yyyy-mm-dd")=TEXT(($B$4+17),"yyyy-mm-dd"))*('Daily Checklist'!$L$2:$L$2000="Y"))&gt;0,SUMPRODUCT(('Daily Checklist'!$D$2:$D$2000=$A8)*(TEXT('Daily Checklist'!$B$2:$B$2000,"yyyy-mm-dd")=TEXT(($B$4+17),"yyyy-mm-dd"))*('Daily Checklist'!$F$2:$F$2000="Done"))&amp;"/"&amp;SUMPRODUCT(('Daily Checklist'!$D$2:$D$2000=$A8)*(TEXT('Daily Checklist'!$B$2:$B$2000,"yyyy-mm-dd")=TEXT(($B$4+17),"yyyy-mm-dd")))&amp;" ESC",SUMPRODUCT(('Daily Checklist'!$D$2:$D$2000=$A8)*(TEXT('Daily Checklist'!$B$2:$B$2000,"yyyy-mm-dd")=TEXT(($B$4+17),"yyyy-mm-dd"))*('Daily Checklist'!$F$2:$F$2000="Done"))&amp;"/"&amp;SUMPRODUCT(('Daily Checklist'!$D$2:$D$2000=$A8)*(TEXT('Daily Checklist'!$B$2:$B$2000,"yyyy-mm-dd")=TEXT(($B$4+17),"yyyy-mm-dd"))))))</f>
        <v>-</v>
      </c>
      <c r="T8" s="25" t="str">
        <f aca="false">IF($A8="","",IF(SUMPRODUCT(('Daily Checklist'!$D$2:$D$2000=$A8)*(TEXT('Daily Checklist'!$B$2:$B$2000,"yyyy-mm-dd")=TEXT(($B$4+18),"yyyy-mm-dd")))=0,"-",IF(SUMPRODUCT(('Daily Checklist'!$D$2:$D$2000=$A8)*(TEXT('Daily Checklist'!$B$2:$B$2000,"yyyy-mm-dd")=TEXT(($B$4+18),"yyyy-mm-dd"))*('Daily Checklist'!$L$2:$L$2000="Y"))&gt;0,SUMPRODUCT(('Daily Checklist'!$D$2:$D$2000=$A8)*(TEXT('Daily Checklist'!$B$2:$B$2000,"yyyy-mm-dd")=TEXT(($B$4+18),"yyyy-mm-dd"))*('Daily Checklist'!$F$2:$F$2000="Done"))&amp;"/"&amp;SUMPRODUCT(('Daily Checklist'!$D$2:$D$2000=$A8)*(TEXT('Daily Checklist'!$B$2:$B$2000,"yyyy-mm-dd")=TEXT(($B$4+18),"yyyy-mm-dd")))&amp;" ESC",SUMPRODUCT(('Daily Checklist'!$D$2:$D$2000=$A8)*(TEXT('Daily Checklist'!$B$2:$B$2000,"yyyy-mm-dd")=TEXT(($B$4+18),"yyyy-mm-dd"))*('Daily Checklist'!$F$2:$F$2000="Done"))&amp;"/"&amp;SUMPRODUCT(('Daily Checklist'!$D$2:$D$2000=$A8)*(TEXT('Daily Checklist'!$B$2:$B$2000,"yyyy-mm-dd")=TEXT(($B$4+18),"yyyy-mm-dd"))))))</f>
        <v>-</v>
      </c>
      <c r="U8" s="25" t="str">
        <f aca="false">IF($A8="","",IF(SUMPRODUCT(('Daily Checklist'!$D$2:$D$2000=$A8)*(TEXT('Daily Checklist'!$B$2:$B$2000,"yyyy-mm-dd")=TEXT(($B$4+19),"yyyy-mm-dd")))=0,"-",IF(SUMPRODUCT(('Daily Checklist'!$D$2:$D$2000=$A8)*(TEXT('Daily Checklist'!$B$2:$B$2000,"yyyy-mm-dd")=TEXT(($B$4+19),"yyyy-mm-dd"))*('Daily Checklist'!$L$2:$L$2000="Y"))&gt;0,SUMPRODUCT(('Daily Checklist'!$D$2:$D$2000=$A8)*(TEXT('Daily Checklist'!$B$2:$B$2000,"yyyy-mm-dd")=TEXT(($B$4+19),"yyyy-mm-dd"))*('Daily Checklist'!$F$2:$F$2000="Done"))&amp;"/"&amp;SUMPRODUCT(('Daily Checklist'!$D$2:$D$2000=$A8)*(TEXT('Daily Checklist'!$B$2:$B$2000,"yyyy-mm-dd")=TEXT(($B$4+19),"yyyy-mm-dd")))&amp;" ESC",SUMPRODUCT(('Daily Checklist'!$D$2:$D$2000=$A8)*(TEXT('Daily Checklist'!$B$2:$B$2000,"yyyy-mm-dd")=TEXT(($B$4+19),"yyyy-mm-dd"))*('Daily Checklist'!$F$2:$F$2000="Done"))&amp;"/"&amp;SUMPRODUCT(('Daily Checklist'!$D$2:$D$2000=$A8)*(TEXT('Daily Checklist'!$B$2:$B$2000,"yyyy-mm-dd")=TEXT(($B$4+19),"yyyy-mm-dd"))))))</f>
        <v>-</v>
      </c>
      <c r="V8" s="25" t="str">
        <f aca="false">IF($A8="","",IF(SUMPRODUCT(('Daily Checklist'!$D$2:$D$2000=$A8)*(TEXT('Daily Checklist'!$B$2:$B$2000,"yyyy-mm-dd")=TEXT(($B$4+20),"yyyy-mm-dd")))=0,"-",IF(SUMPRODUCT(('Daily Checklist'!$D$2:$D$2000=$A8)*(TEXT('Daily Checklist'!$B$2:$B$2000,"yyyy-mm-dd")=TEXT(($B$4+20),"yyyy-mm-dd"))*('Daily Checklist'!$L$2:$L$2000="Y"))&gt;0,SUMPRODUCT(('Daily Checklist'!$D$2:$D$2000=$A8)*(TEXT('Daily Checklist'!$B$2:$B$2000,"yyyy-mm-dd")=TEXT(($B$4+20),"yyyy-mm-dd"))*('Daily Checklist'!$F$2:$F$2000="Done"))&amp;"/"&amp;SUMPRODUCT(('Daily Checklist'!$D$2:$D$2000=$A8)*(TEXT('Daily Checklist'!$B$2:$B$2000,"yyyy-mm-dd")=TEXT(($B$4+20),"yyyy-mm-dd")))&amp;" ESC",SUMPRODUCT(('Daily Checklist'!$D$2:$D$2000=$A8)*(TEXT('Daily Checklist'!$B$2:$B$2000,"yyyy-mm-dd")=TEXT(($B$4+20),"yyyy-mm-dd"))*('Daily Checklist'!$F$2:$F$2000="Done"))&amp;"/"&amp;SUMPRODUCT(('Daily Checklist'!$D$2:$D$2000=$A8)*(TEXT('Daily Checklist'!$B$2:$B$2000,"yyyy-mm-dd")=TEXT(($B$4+20),"yyyy-mm-dd"))))))</f>
        <v>-</v>
      </c>
      <c r="W8" s="25" t="str">
        <f aca="false">IF($A8="","",IF(SUMPRODUCT(('Daily Checklist'!$D$2:$D$2000=$A8)*(TEXT('Daily Checklist'!$B$2:$B$2000,"yyyy-mm-dd")=TEXT(($B$4+21),"yyyy-mm-dd")))=0,"-",IF(SUMPRODUCT(('Daily Checklist'!$D$2:$D$2000=$A8)*(TEXT('Daily Checklist'!$B$2:$B$2000,"yyyy-mm-dd")=TEXT(($B$4+21),"yyyy-mm-dd"))*('Daily Checklist'!$L$2:$L$2000="Y"))&gt;0,SUMPRODUCT(('Daily Checklist'!$D$2:$D$2000=$A8)*(TEXT('Daily Checklist'!$B$2:$B$2000,"yyyy-mm-dd")=TEXT(($B$4+21),"yyyy-mm-dd"))*('Daily Checklist'!$F$2:$F$2000="Done"))&amp;"/"&amp;SUMPRODUCT(('Daily Checklist'!$D$2:$D$2000=$A8)*(TEXT('Daily Checklist'!$B$2:$B$2000,"yyyy-mm-dd")=TEXT(($B$4+21),"yyyy-mm-dd")))&amp;" ESC",SUMPRODUCT(('Daily Checklist'!$D$2:$D$2000=$A8)*(TEXT('Daily Checklist'!$B$2:$B$2000,"yyyy-mm-dd")=TEXT(($B$4+21),"yyyy-mm-dd"))*('Daily Checklist'!$F$2:$F$2000="Done"))&amp;"/"&amp;SUMPRODUCT(('Daily Checklist'!$D$2:$D$2000=$A8)*(TEXT('Daily Checklist'!$B$2:$B$2000,"yyyy-mm-dd")=TEXT(($B$4+21),"yyyy-mm-dd"))))))</f>
        <v>-</v>
      </c>
      <c r="X8" s="25" t="str">
        <f aca="false">IF($A8="","",IF(SUMPRODUCT(('Daily Checklist'!$D$2:$D$2000=$A8)*(TEXT('Daily Checklist'!$B$2:$B$2000,"yyyy-mm-dd")=TEXT(($B$4+22),"yyyy-mm-dd")))=0,"-",IF(SUMPRODUCT(('Daily Checklist'!$D$2:$D$2000=$A8)*(TEXT('Daily Checklist'!$B$2:$B$2000,"yyyy-mm-dd")=TEXT(($B$4+22),"yyyy-mm-dd"))*('Daily Checklist'!$L$2:$L$2000="Y"))&gt;0,SUMPRODUCT(('Daily Checklist'!$D$2:$D$2000=$A8)*(TEXT('Daily Checklist'!$B$2:$B$2000,"yyyy-mm-dd")=TEXT(($B$4+22),"yyyy-mm-dd"))*('Daily Checklist'!$F$2:$F$2000="Done"))&amp;"/"&amp;SUMPRODUCT(('Daily Checklist'!$D$2:$D$2000=$A8)*(TEXT('Daily Checklist'!$B$2:$B$2000,"yyyy-mm-dd")=TEXT(($B$4+22),"yyyy-mm-dd")))&amp;" ESC",SUMPRODUCT(('Daily Checklist'!$D$2:$D$2000=$A8)*(TEXT('Daily Checklist'!$B$2:$B$2000,"yyyy-mm-dd")=TEXT(($B$4+22),"yyyy-mm-dd"))*('Daily Checklist'!$F$2:$F$2000="Done"))&amp;"/"&amp;SUMPRODUCT(('Daily Checklist'!$D$2:$D$2000=$A8)*(TEXT('Daily Checklist'!$B$2:$B$2000,"yyyy-mm-dd")=TEXT(($B$4+22),"yyyy-mm-dd"))))))</f>
        <v>-</v>
      </c>
      <c r="Y8" s="25" t="str">
        <f aca="false">IF($A8="","",IF(SUMPRODUCT(('Daily Checklist'!$D$2:$D$2000=$A8)*(TEXT('Daily Checklist'!$B$2:$B$2000,"yyyy-mm-dd")=TEXT(($B$4+23),"yyyy-mm-dd")))=0,"-",IF(SUMPRODUCT(('Daily Checklist'!$D$2:$D$2000=$A8)*(TEXT('Daily Checklist'!$B$2:$B$2000,"yyyy-mm-dd")=TEXT(($B$4+23),"yyyy-mm-dd"))*('Daily Checklist'!$L$2:$L$2000="Y"))&gt;0,SUMPRODUCT(('Daily Checklist'!$D$2:$D$2000=$A8)*(TEXT('Daily Checklist'!$B$2:$B$2000,"yyyy-mm-dd")=TEXT(($B$4+23),"yyyy-mm-dd"))*('Daily Checklist'!$F$2:$F$2000="Done"))&amp;"/"&amp;SUMPRODUCT(('Daily Checklist'!$D$2:$D$2000=$A8)*(TEXT('Daily Checklist'!$B$2:$B$2000,"yyyy-mm-dd")=TEXT(($B$4+23),"yyyy-mm-dd")))&amp;" ESC",SUMPRODUCT(('Daily Checklist'!$D$2:$D$2000=$A8)*(TEXT('Daily Checklist'!$B$2:$B$2000,"yyyy-mm-dd")=TEXT(($B$4+23),"yyyy-mm-dd"))*('Daily Checklist'!$F$2:$F$2000="Done"))&amp;"/"&amp;SUMPRODUCT(('Daily Checklist'!$D$2:$D$2000=$A8)*(TEXT('Daily Checklist'!$B$2:$B$2000,"yyyy-mm-dd")=TEXT(($B$4+23),"yyyy-mm-dd"))))))</f>
        <v>-</v>
      </c>
      <c r="Z8" s="25" t="str">
        <f aca="false">IF($A8="","",IF(SUMPRODUCT(('Daily Checklist'!$D$2:$D$2000=$A8)*(TEXT('Daily Checklist'!$B$2:$B$2000,"yyyy-mm-dd")=TEXT(($B$4+24),"yyyy-mm-dd")))=0,"-",IF(SUMPRODUCT(('Daily Checklist'!$D$2:$D$2000=$A8)*(TEXT('Daily Checklist'!$B$2:$B$2000,"yyyy-mm-dd")=TEXT(($B$4+24),"yyyy-mm-dd"))*('Daily Checklist'!$L$2:$L$2000="Y"))&gt;0,SUMPRODUCT(('Daily Checklist'!$D$2:$D$2000=$A8)*(TEXT('Daily Checklist'!$B$2:$B$2000,"yyyy-mm-dd")=TEXT(($B$4+24),"yyyy-mm-dd"))*('Daily Checklist'!$F$2:$F$2000="Done"))&amp;"/"&amp;SUMPRODUCT(('Daily Checklist'!$D$2:$D$2000=$A8)*(TEXT('Daily Checklist'!$B$2:$B$2000,"yyyy-mm-dd")=TEXT(($B$4+24),"yyyy-mm-dd")))&amp;" ESC",SUMPRODUCT(('Daily Checklist'!$D$2:$D$2000=$A8)*(TEXT('Daily Checklist'!$B$2:$B$2000,"yyyy-mm-dd")=TEXT(($B$4+24),"yyyy-mm-dd"))*('Daily Checklist'!$F$2:$F$2000="Done"))&amp;"/"&amp;SUMPRODUCT(('Daily Checklist'!$D$2:$D$2000=$A8)*(TEXT('Daily Checklist'!$B$2:$B$2000,"yyyy-mm-dd")=TEXT(($B$4+24),"yyyy-mm-dd"))))))</f>
        <v>-</v>
      </c>
      <c r="AA8" s="25" t="str">
        <f aca="false">IF($A8="","",IF(SUMPRODUCT(('Daily Checklist'!$D$2:$D$2000=$A8)*(TEXT('Daily Checklist'!$B$2:$B$2000,"yyyy-mm-dd")=TEXT(($B$4+25),"yyyy-mm-dd")))=0,"-",IF(SUMPRODUCT(('Daily Checklist'!$D$2:$D$2000=$A8)*(TEXT('Daily Checklist'!$B$2:$B$2000,"yyyy-mm-dd")=TEXT(($B$4+25),"yyyy-mm-dd"))*('Daily Checklist'!$L$2:$L$2000="Y"))&gt;0,SUMPRODUCT(('Daily Checklist'!$D$2:$D$2000=$A8)*(TEXT('Daily Checklist'!$B$2:$B$2000,"yyyy-mm-dd")=TEXT(($B$4+25),"yyyy-mm-dd"))*('Daily Checklist'!$F$2:$F$2000="Done"))&amp;"/"&amp;SUMPRODUCT(('Daily Checklist'!$D$2:$D$2000=$A8)*(TEXT('Daily Checklist'!$B$2:$B$2000,"yyyy-mm-dd")=TEXT(($B$4+25),"yyyy-mm-dd")))&amp;" ESC",SUMPRODUCT(('Daily Checklist'!$D$2:$D$2000=$A8)*(TEXT('Daily Checklist'!$B$2:$B$2000,"yyyy-mm-dd")=TEXT(($B$4+25),"yyyy-mm-dd"))*('Daily Checklist'!$F$2:$F$2000="Done"))&amp;"/"&amp;SUMPRODUCT(('Daily Checklist'!$D$2:$D$2000=$A8)*(TEXT('Daily Checklist'!$B$2:$B$2000,"yyyy-mm-dd")=TEXT(($B$4+25),"yyyy-mm-dd"))))))</f>
        <v>-</v>
      </c>
      <c r="AB8" s="25" t="str">
        <f aca="false">IF($A8="","",IF(SUMPRODUCT(('Daily Checklist'!$D$2:$D$2000=$A8)*(TEXT('Daily Checklist'!$B$2:$B$2000,"yyyy-mm-dd")=TEXT(($B$4+26),"yyyy-mm-dd")))=0,"-",IF(SUMPRODUCT(('Daily Checklist'!$D$2:$D$2000=$A8)*(TEXT('Daily Checklist'!$B$2:$B$2000,"yyyy-mm-dd")=TEXT(($B$4+26),"yyyy-mm-dd"))*('Daily Checklist'!$L$2:$L$2000="Y"))&gt;0,SUMPRODUCT(('Daily Checklist'!$D$2:$D$2000=$A8)*(TEXT('Daily Checklist'!$B$2:$B$2000,"yyyy-mm-dd")=TEXT(($B$4+26),"yyyy-mm-dd"))*('Daily Checklist'!$F$2:$F$2000="Done"))&amp;"/"&amp;SUMPRODUCT(('Daily Checklist'!$D$2:$D$2000=$A8)*(TEXT('Daily Checklist'!$B$2:$B$2000,"yyyy-mm-dd")=TEXT(($B$4+26),"yyyy-mm-dd")))&amp;" ESC",SUMPRODUCT(('Daily Checklist'!$D$2:$D$2000=$A8)*(TEXT('Daily Checklist'!$B$2:$B$2000,"yyyy-mm-dd")=TEXT(($B$4+26),"yyyy-mm-dd"))*('Daily Checklist'!$F$2:$F$2000="Done"))&amp;"/"&amp;SUMPRODUCT(('Daily Checklist'!$D$2:$D$2000=$A8)*(TEXT('Daily Checklist'!$B$2:$B$2000,"yyyy-mm-dd")=TEXT(($B$4+26),"yyyy-mm-dd"))))))</f>
        <v>-</v>
      </c>
      <c r="AC8" s="25" t="str">
        <f aca="false">IF($A8="","",IF(SUMPRODUCT(('Daily Checklist'!$D$2:$D$2000=$A8)*(TEXT('Daily Checklist'!$B$2:$B$2000,"yyyy-mm-dd")=TEXT(($B$4+27),"yyyy-mm-dd")))=0,"-",IF(SUMPRODUCT(('Daily Checklist'!$D$2:$D$2000=$A8)*(TEXT('Daily Checklist'!$B$2:$B$2000,"yyyy-mm-dd")=TEXT(($B$4+27),"yyyy-mm-dd"))*('Daily Checklist'!$L$2:$L$2000="Y"))&gt;0,SUMPRODUCT(('Daily Checklist'!$D$2:$D$2000=$A8)*(TEXT('Daily Checklist'!$B$2:$B$2000,"yyyy-mm-dd")=TEXT(($B$4+27),"yyyy-mm-dd"))*('Daily Checklist'!$F$2:$F$2000="Done"))&amp;"/"&amp;SUMPRODUCT(('Daily Checklist'!$D$2:$D$2000=$A8)*(TEXT('Daily Checklist'!$B$2:$B$2000,"yyyy-mm-dd")=TEXT(($B$4+27),"yyyy-mm-dd")))&amp;" ESC",SUMPRODUCT(('Daily Checklist'!$D$2:$D$2000=$A8)*(TEXT('Daily Checklist'!$B$2:$B$2000,"yyyy-mm-dd")=TEXT(($B$4+27),"yyyy-mm-dd"))*('Daily Checklist'!$F$2:$F$2000="Done"))&amp;"/"&amp;SUMPRODUCT(('Daily Checklist'!$D$2:$D$2000=$A8)*(TEXT('Daily Checklist'!$B$2:$B$2000,"yyyy-mm-dd")=TEXT(($B$4+27),"yyyy-mm-dd"))))))</f>
        <v>-</v>
      </c>
      <c r="AD8" s="25" t="str">
        <f aca="false">IF($A8="","",IF(SUMPRODUCT(('Daily Checklist'!$D$2:$D$2000=$A8)*(TEXT('Daily Checklist'!$B$2:$B$2000,"yyyy-mm-dd")=TEXT(($B$4+28),"yyyy-mm-dd")))=0,"-",IF(SUMPRODUCT(('Daily Checklist'!$D$2:$D$2000=$A8)*(TEXT('Daily Checklist'!$B$2:$B$2000,"yyyy-mm-dd")=TEXT(($B$4+28),"yyyy-mm-dd"))*('Daily Checklist'!$L$2:$L$2000="Y"))&gt;0,SUMPRODUCT(('Daily Checklist'!$D$2:$D$2000=$A8)*(TEXT('Daily Checklist'!$B$2:$B$2000,"yyyy-mm-dd")=TEXT(($B$4+28),"yyyy-mm-dd"))*('Daily Checklist'!$F$2:$F$2000="Done"))&amp;"/"&amp;SUMPRODUCT(('Daily Checklist'!$D$2:$D$2000=$A8)*(TEXT('Daily Checklist'!$B$2:$B$2000,"yyyy-mm-dd")=TEXT(($B$4+28),"yyyy-mm-dd")))&amp;" ESC",SUMPRODUCT(('Daily Checklist'!$D$2:$D$2000=$A8)*(TEXT('Daily Checklist'!$B$2:$B$2000,"yyyy-mm-dd")=TEXT(($B$4+28),"yyyy-mm-dd"))*('Daily Checklist'!$F$2:$F$2000="Done"))&amp;"/"&amp;SUMPRODUCT(('Daily Checklist'!$D$2:$D$2000=$A8)*(TEXT('Daily Checklist'!$B$2:$B$2000,"yyyy-mm-dd")=TEXT(($B$4+28),"yyyy-mm-dd"))))))</f>
        <v>-</v>
      </c>
      <c r="AE8" s="25" t="str">
        <f aca="false">IF($A8="","",IF(SUMPRODUCT(('Daily Checklist'!$D$2:$D$2000=$A8)*(TEXT('Daily Checklist'!$B$2:$B$2000,"yyyy-mm-dd")=TEXT(($B$4+29),"yyyy-mm-dd")))=0,"-",IF(SUMPRODUCT(('Daily Checklist'!$D$2:$D$2000=$A8)*(TEXT('Daily Checklist'!$B$2:$B$2000,"yyyy-mm-dd")=TEXT(($B$4+29),"yyyy-mm-dd"))*('Daily Checklist'!$L$2:$L$2000="Y"))&gt;0,SUMPRODUCT(('Daily Checklist'!$D$2:$D$2000=$A8)*(TEXT('Daily Checklist'!$B$2:$B$2000,"yyyy-mm-dd")=TEXT(($B$4+29),"yyyy-mm-dd"))*('Daily Checklist'!$F$2:$F$2000="Done"))&amp;"/"&amp;SUMPRODUCT(('Daily Checklist'!$D$2:$D$2000=$A8)*(TEXT('Daily Checklist'!$B$2:$B$2000,"yyyy-mm-dd")=TEXT(($B$4+29),"yyyy-mm-dd")))&amp;" ESC",SUMPRODUCT(('Daily Checklist'!$D$2:$D$2000=$A8)*(TEXT('Daily Checklist'!$B$2:$B$2000,"yyyy-mm-dd")=TEXT(($B$4+29),"yyyy-mm-dd"))*('Daily Checklist'!$F$2:$F$2000="Done"))&amp;"/"&amp;SUMPRODUCT(('Daily Checklist'!$D$2:$D$2000=$A8)*(TEXT('Daily Checklist'!$B$2:$B$2000,"yyyy-mm-dd")=TEXT(($B$4+29),"yyyy-mm-dd"))))))</f>
        <v>-</v>
      </c>
      <c r="AF8" s="25" t="str">
        <f aca="false">IF($A8="","",IF(SUMPRODUCT(('Daily Checklist'!$D$2:$D$2000=$A8)*(TEXT('Daily Checklist'!$B$2:$B$2000,"yyyy-mm-dd")=TEXT(($B$4+30),"yyyy-mm-dd")))=0,"-",IF(SUMPRODUCT(('Daily Checklist'!$D$2:$D$2000=$A8)*(TEXT('Daily Checklist'!$B$2:$B$2000,"yyyy-mm-dd")=TEXT(($B$4+30),"yyyy-mm-dd"))*('Daily Checklist'!$L$2:$L$2000="Y"))&gt;0,SUMPRODUCT(('Daily Checklist'!$D$2:$D$2000=$A8)*(TEXT('Daily Checklist'!$B$2:$B$2000,"yyyy-mm-dd")=TEXT(($B$4+30),"yyyy-mm-dd"))*('Daily Checklist'!$F$2:$F$2000="Done"))&amp;"/"&amp;SUMPRODUCT(('Daily Checklist'!$D$2:$D$2000=$A8)*(TEXT('Daily Checklist'!$B$2:$B$2000,"yyyy-mm-dd")=TEXT(($B$4+30),"yyyy-mm-dd")))&amp;" ESC",SUMPRODUCT(('Daily Checklist'!$D$2:$D$2000=$A8)*(TEXT('Daily Checklist'!$B$2:$B$2000,"yyyy-mm-dd")=TEXT(($B$4+30),"yyyy-mm-dd"))*('Daily Checklist'!$F$2:$F$2000="Done"))&amp;"/"&amp;SUMPRODUCT(('Daily Checklist'!$D$2:$D$2000=$A8)*(TEXT('Daily Checklist'!$B$2:$B$2000,"yyyy-mm-dd")=TEXT(($B$4+30),"yyyy-mm-dd"))))))</f>
        <v>-</v>
      </c>
    </row>
    <row r="9" customFormat="false" ht="15" hidden="false" customHeight="true" outlineLevel="0" collapsed="false">
      <c r="A9" s="24" t="str">
        <f aca="false">IFERROR(IF(Employees!A4="","",Employees!A4),"")</f>
        <v>Satish Bhumihar</v>
      </c>
      <c r="B9" s="25" t="str">
        <f aca="false">IF($A9="","",IF(SUMPRODUCT(('Daily Checklist'!$D$2:$D$2000=$A9)*(TEXT('Daily Checklist'!$B$2:$B$2000,"yyyy-mm-dd")=TEXT(($B$4+0),"yyyy-mm-dd")))=0,"-",IF(SUMPRODUCT(('Daily Checklist'!$D$2:$D$2000=$A9)*(TEXT('Daily Checklist'!$B$2:$B$2000,"yyyy-mm-dd")=TEXT(($B$4+0),"yyyy-mm-dd"))*('Daily Checklist'!$L$2:$L$2000="Y"))&gt;0,SUMPRODUCT(('Daily Checklist'!$D$2:$D$2000=$A9)*(TEXT('Daily Checklist'!$B$2:$B$2000,"yyyy-mm-dd")=TEXT(($B$4+0),"yyyy-mm-dd"))*('Daily Checklist'!$F$2:$F$2000="Done"))&amp;"/"&amp;SUMPRODUCT(('Daily Checklist'!$D$2:$D$2000=$A9)*(TEXT('Daily Checklist'!$B$2:$B$2000,"yyyy-mm-dd")=TEXT(($B$4+0),"yyyy-mm-dd")))&amp;" ESC",SUMPRODUCT(('Daily Checklist'!$D$2:$D$2000=$A9)*(TEXT('Daily Checklist'!$B$2:$B$2000,"yyyy-mm-dd")=TEXT(($B$4+0),"yyyy-mm-dd"))*('Daily Checklist'!$F$2:$F$2000="Done"))&amp;"/"&amp;SUMPRODUCT(('Daily Checklist'!$D$2:$D$2000=$A9)*(TEXT('Daily Checklist'!$B$2:$B$2000,"yyyy-mm-dd")=TEXT(($B$4+0),"yyyy-mm-dd"))))))</f>
        <v>-</v>
      </c>
      <c r="C9" s="25" t="str">
        <f aca="false">IF($A9="","",IF(SUMPRODUCT(('Daily Checklist'!$D$2:$D$2000=$A9)*(TEXT('Daily Checklist'!$B$2:$B$2000,"yyyy-mm-dd")=TEXT(($B$4+1),"yyyy-mm-dd")))=0,"-",IF(SUMPRODUCT(('Daily Checklist'!$D$2:$D$2000=$A9)*(TEXT('Daily Checklist'!$B$2:$B$2000,"yyyy-mm-dd")=TEXT(($B$4+1),"yyyy-mm-dd"))*('Daily Checklist'!$L$2:$L$2000="Y"))&gt;0,SUMPRODUCT(('Daily Checklist'!$D$2:$D$2000=$A9)*(TEXT('Daily Checklist'!$B$2:$B$2000,"yyyy-mm-dd")=TEXT(($B$4+1),"yyyy-mm-dd"))*('Daily Checklist'!$F$2:$F$2000="Done"))&amp;"/"&amp;SUMPRODUCT(('Daily Checklist'!$D$2:$D$2000=$A9)*(TEXT('Daily Checklist'!$B$2:$B$2000,"yyyy-mm-dd")=TEXT(($B$4+1),"yyyy-mm-dd")))&amp;" ESC",SUMPRODUCT(('Daily Checklist'!$D$2:$D$2000=$A9)*(TEXT('Daily Checklist'!$B$2:$B$2000,"yyyy-mm-dd")=TEXT(($B$4+1),"yyyy-mm-dd"))*('Daily Checklist'!$F$2:$F$2000="Done"))&amp;"/"&amp;SUMPRODUCT(('Daily Checklist'!$D$2:$D$2000=$A9)*(TEXT('Daily Checklist'!$B$2:$B$2000,"yyyy-mm-dd")=TEXT(($B$4+1),"yyyy-mm-dd"))))))</f>
        <v>-</v>
      </c>
      <c r="D9" s="25" t="str">
        <f aca="false">IF($A9="","",IF(SUMPRODUCT(('Daily Checklist'!$D$2:$D$2000=$A9)*(TEXT('Daily Checklist'!$B$2:$B$2000,"yyyy-mm-dd")=TEXT(($B$4+2),"yyyy-mm-dd")))=0,"-",IF(SUMPRODUCT(('Daily Checklist'!$D$2:$D$2000=$A9)*(TEXT('Daily Checklist'!$B$2:$B$2000,"yyyy-mm-dd")=TEXT(($B$4+2),"yyyy-mm-dd"))*('Daily Checklist'!$L$2:$L$2000="Y"))&gt;0,SUMPRODUCT(('Daily Checklist'!$D$2:$D$2000=$A9)*(TEXT('Daily Checklist'!$B$2:$B$2000,"yyyy-mm-dd")=TEXT(($B$4+2),"yyyy-mm-dd"))*('Daily Checklist'!$F$2:$F$2000="Done"))&amp;"/"&amp;SUMPRODUCT(('Daily Checklist'!$D$2:$D$2000=$A9)*(TEXT('Daily Checklist'!$B$2:$B$2000,"yyyy-mm-dd")=TEXT(($B$4+2),"yyyy-mm-dd")))&amp;" ESC",SUMPRODUCT(('Daily Checklist'!$D$2:$D$2000=$A9)*(TEXT('Daily Checklist'!$B$2:$B$2000,"yyyy-mm-dd")=TEXT(($B$4+2),"yyyy-mm-dd"))*('Daily Checklist'!$F$2:$F$2000="Done"))&amp;"/"&amp;SUMPRODUCT(('Daily Checklist'!$D$2:$D$2000=$A9)*(TEXT('Daily Checklist'!$B$2:$B$2000,"yyyy-mm-dd")=TEXT(($B$4+2),"yyyy-mm-dd"))))))</f>
        <v>-</v>
      </c>
      <c r="E9" s="25" t="str">
        <f aca="false">IF($A9="","",IF(SUMPRODUCT(('Daily Checklist'!$D$2:$D$2000=$A9)*(TEXT('Daily Checklist'!$B$2:$B$2000,"yyyy-mm-dd")=TEXT(($B$4+3),"yyyy-mm-dd")))=0,"-",IF(SUMPRODUCT(('Daily Checklist'!$D$2:$D$2000=$A9)*(TEXT('Daily Checklist'!$B$2:$B$2000,"yyyy-mm-dd")=TEXT(($B$4+3),"yyyy-mm-dd"))*('Daily Checklist'!$L$2:$L$2000="Y"))&gt;0,SUMPRODUCT(('Daily Checklist'!$D$2:$D$2000=$A9)*(TEXT('Daily Checklist'!$B$2:$B$2000,"yyyy-mm-dd")=TEXT(($B$4+3),"yyyy-mm-dd"))*('Daily Checklist'!$F$2:$F$2000="Done"))&amp;"/"&amp;SUMPRODUCT(('Daily Checklist'!$D$2:$D$2000=$A9)*(TEXT('Daily Checklist'!$B$2:$B$2000,"yyyy-mm-dd")=TEXT(($B$4+3),"yyyy-mm-dd")))&amp;" ESC",SUMPRODUCT(('Daily Checklist'!$D$2:$D$2000=$A9)*(TEXT('Daily Checklist'!$B$2:$B$2000,"yyyy-mm-dd")=TEXT(($B$4+3),"yyyy-mm-dd"))*('Daily Checklist'!$F$2:$F$2000="Done"))&amp;"/"&amp;SUMPRODUCT(('Daily Checklist'!$D$2:$D$2000=$A9)*(TEXT('Daily Checklist'!$B$2:$B$2000,"yyyy-mm-dd")=TEXT(($B$4+3),"yyyy-mm-dd"))))))</f>
        <v>-</v>
      </c>
      <c r="F9" s="25" t="str">
        <f aca="false">IF($A9="","",IF(SUMPRODUCT(('Daily Checklist'!$D$2:$D$2000=$A9)*(TEXT('Daily Checklist'!$B$2:$B$2000,"yyyy-mm-dd")=TEXT(($B$4+4),"yyyy-mm-dd")))=0,"-",IF(SUMPRODUCT(('Daily Checklist'!$D$2:$D$2000=$A9)*(TEXT('Daily Checklist'!$B$2:$B$2000,"yyyy-mm-dd")=TEXT(($B$4+4),"yyyy-mm-dd"))*('Daily Checklist'!$L$2:$L$2000="Y"))&gt;0,SUMPRODUCT(('Daily Checklist'!$D$2:$D$2000=$A9)*(TEXT('Daily Checklist'!$B$2:$B$2000,"yyyy-mm-dd")=TEXT(($B$4+4),"yyyy-mm-dd"))*('Daily Checklist'!$F$2:$F$2000="Done"))&amp;"/"&amp;SUMPRODUCT(('Daily Checklist'!$D$2:$D$2000=$A9)*(TEXT('Daily Checklist'!$B$2:$B$2000,"yyyy-mm-dd")=TEXT(($B$4+4),"yyyy-mm-dd")))&amp;" ESC",SUMPRODUCT(('Daily Checklist'!$D$2:$D$2000=$A9)*(TEXT('Daily Checklist'!$B$2:$B$2000,"yyyy-mm-dd")=TEXT(($B$4+4),"yyyy-mm-dd"))*('Daily Checklist'!$F$2:$F$2000="Done"))&amp;"/"&amp;SUMPRODUCT(('Daily Checklist'!$D$2:$D$2000=$A9)*(TEXT('Daily Checklist'!$B$2:$B$2000,"yyyy-mm-dd")=TEXT(($B$4+4),"yyyy-mm-dd"))))))</f>
        <v>-</v>
      </c>
      <c r="G9" s="25" t="str">
        <f aca="false">IF($A9="","",IF(SUMPRODUCT(('Daily Checklist'!$D$2:$D$2000=$A9)*(TEXT('Daily Checklist'!$B$2:$B$2000,"yyyy-mm-dd")=TEXT(($B$4+5),"yyyy-mm-dd")))=0,"-",IF(SUMPRODUCT(('Daily Checklist'!$D$2:$D$2000=$A9)*(TEXT('Daily Checklist'!$B$2:$B$2000,"yyyy-mm-dd")=TEXT(($B$4+5),"yyyy-mm-dd"))*('Daily Checklist'!$L$2:$L$2000="Y"))&gt;0,SUMPRODUCT(('Daily Checklist'!$D$2:$D$2000=$A9)*(TEXT('Daily Checklist'!$B$2:$B$2000,"yyyy-mm-dd")=TEXT(($B$4+5),"yyyy-mm-dd"))*('Daily Checklist'!$F$2:$F$2000="Done"))&amp;"/"&amp;SUMPRODUCT(('Daily Checklist'!$D$2:$D$2000=$A9)*(TEXT('Daily Checklist'!$B$2:$B$2000,"yyyy-mm-dd")=TEXT(($B$4+5),"yyyy-mm-dd")))&amp;" ESC",SUMPRODUCT(('Daily Checklist'!$D$2:$D$2000=$A9)*(TEXT('Daily Checklist'!$B$2:$B$2000,"yyyy-mm-dd")=TEXT(($B$4+5),"yyyy-mm-dd"))*('Daily Checklist'!$F$2:$F$2000="Done"))&amp;"/"&amp;SUMPRODUCT(('Daily Checklist'!$D$2:$D$2000=$A9)*(TEXT('Daily Checklist'!$B$2:$B$2000,"yyyy-mm-dd")=TEXT(($B$4+5),"yyyy-mm-dd"))))))</f>
        <v>-</v>
      </c>
      <c r="H9" s="25" t="str">
        <f aca="false">IF($A9="","",IF(SUMPRODUCT(('Daily Checklist'!$D$2:$D$2000=$A9)*(TEXT('Daily Checklist'!$B$2:$B$2000,"yyyy-mm-dd")=TEXT(($B$4+6),"yyyy-mm-dd")))=0,"-",IF(SUMPRODUCT(('Daily Checklist'!$D$2:$D$2000=$A9)*(TEXT('Daily Checklist'!$B$2:$B$2000,"yyyy-mm-dd")=TEXT(($B$4+6),"yyyy-mm-dd"))*('Daily Checklist'!$L$2:$L$2000="Y"))&gt;0,SUMPRODUCT(('Daily Checklist'!$D$2:$D$2000=$A9)*(TEXT('Daily Checklist'!$B$2:$B$2000,"yyyy-mm-dd")=TEXT(($B$4+6),"yyyy-mm-dd"))*('Daily Checklist'!$F$2:$F$2000="Done"))&amp;"/"&amp;SUMPRODUCT(('Daily Checklist'!$D$2:$D$2000=$A9)*(TEXT('Daily Checklist'!$B$2:$B$2000,"yyyy-mm-dd")=TEXT(($B$4+6),"yyyy-mm-dd")))&amp;" ESC",SUMPRODUCT(('Daily Checklist'!$D$2:$D$2000=$A9)*(TEXT('Daily Checklist'!$B$2:$B$2000,"yyyy-mm-dd")=TEXT(($B$4+6),"yyyy-mm-dd"))*('Daily Checklist'!$F$2:$F$2000="Done"))&amp;"/"&amp;SUMPRODUCT(('Daily Checklist'!$D$2:$D$2000=$A9)*(TEXT('Daily Checklist'!$B$2:$B$2000,"yyyy-mm-dd")=TEXT(($B$4+6),"yyyy-mm-dd"))))))</f>
        <v>-</v>
      </c>
      <c r="I9" s="25" t="str">
        <f aca="false">IF($A9="","",IF(SUMPRODUCT(('Daily Checklist'!$D$2:$D$2000=$A9)*(TEXT('Daily Checklist'!$B$2:$B$2000,"yyyy-mm-dd")=TEXT(($B$4+7),"yyyy-mm-dd")))=0,"-",IF(SUMPRODUCT(('Daily Checklist'!$D$2:$D$2000=$A9)*(TEXT('Daily Checklist'!$B$2:$B$2000,"yyyy-mm-dd")=TEXT(($B$4+7),"yyyy-mm-dd"))*('Daily Checklist'!$L$2:$L$2000="Y"))&gt;0,SUMPRODUCT(('Daily Checklist'!$D$2:$D$2000=$A9)*(TEXT('Daily Checklist'!$B$2:$B$2000,"yyyy-mm-dd")=TEXT(($B$4+7),"yyyy-mm-dd"))*('Daily Checklist'!$F$2:$F$2000="Done"))&amp;"/"&amp;SUMPRODUCT(('Daily Checklist'!$D$2:$D$2000=$A9)*(TEXT('Daily Checklist'!$B$2:$B$2000,"yyyy-mm-dd")=TEXT(($B$4+7),"yyyy-mm-dd")))&amp;" ESC",SUMPRODUCT(('Daily Checklist'!$D$2:$D$2000=$A9)*(TEXT('Daily Checklist'!$B$2:$B$2000,"yyyy-mm-dd")=TEXT(($B$4+7),"yyyy-mm-dd"))*('Daily Checklist'!$F$2:$F$2000="Done"))&amp;"/"&amp;SUMPRODUCT(('Daily Checklist'!$D$2:$D$2000=$A9)*(TEXT('Daily Checklist'!$B$2:$B$2000,"yyyy-mm-dd")=TEXT(($B$4+7),"yyyy-mm-dd"))))))</f>
        <v>-</v>
      </c>
      <c r="J9" s="25" t="str">
        <f aca="false">IF($A9="","",IF(SUMPRODUCT(('Daily Checklist'!$D$2:$D$2000=$A9)*(TEXT('Daily Checklist'!$B$2:$B$2000,"yyyy-mm-dd")=TEXT(($B$4+8),"yyyy-mm-dd")))=0,"-",IF(SUMPRODUCT(('Daily Checklist'!$D$2:$D$2000=$A9)*(TEXT('Daily Checklist'!$B$2:$B$2000,"yyyy-mm-dd")=TEXT(($B$4+8),"yyyy-mm-dd"))*('Daily Checklist'!$L$2:$L$2000="Y"))&gt;0,SUMPRODUCT(('Daily Checklist'!$D$2:$D$2000=$A9)*(TEXT('Daily Checklist'!$B$2:$B$2000,"yyyy-mm-dd")=TEXT(($B$4+8),"yyyy-mm-dd"))*('Daily Checklist'!$F$2:$F$2000="Done"))&amp;"/"&amp;SUMPRODUCT(('Daily Checklist'!$D$2:$D$2000=$A9)*(TEXT('Daily Checklist'!$B$2:$B$2000,"yyyy-mm-dd")=TEXT(($B$4+8),"yyyy-mm-dd")))&amp;" ESC",SUMPRODUCT(('Daily Checklist'!$D$2:$D$2000=$A9)*(TEXT('Daily Checklist'!$B$2:$B$2000,"yyyy-mm-dd")=TEXT(($B$4+8),"yyyy-mm-dd"))*('Daily Checklist'!$F$2:$F$2000="Done"))&amp;"/"&amp;SUMPRODUCT(('Daily Checklist'!$D$2:$D$2000=$A9)*(TEXT('Daily Checklist'!$B$2:$B$2000,"yyyy-mm-dd")=TEXT(($B$4+8),"yyyy-mm-dd"))))))</f>
        <v>-</v>
      </c>
      <c r="K9" s="25" t="str">
        <f aca="false">IF($A9="","",IF(SUMPRODUCT(('Daily Checklist'!$D$2:$D$2000=$A9)*(TEXT('Daily Checklist'!$B$2:$B$2000,"yyyy-mm-dd")=TEXT(($B$4+9),"yyyy-mm-dd")))=0,"-",IF(SUMPRODUCT(('Daily Checklist'!$D$2:$D$2000=$A9)*(TEXT('Daily Checklist'!$B$2:$B$2000,"yyyy-mm-dd")=TEXT(($B$4+9),"yyyy-mm-dd"))*('Daily Checklist'!$L$2:$L$2000="Y"))&gt;0,SUMPRODUCT(('Daily Checklist'!$D$2:$D$2000=$A9)*(TEXT('Daily Checklist'!$B$2:$B$2000,"yyyy-mm-dd")=TEXT(($B$4+9),"yyyy-mm-dd"))*('Daily Checklist'!$F$2:$F$2000="Done"))&amp;"/"&amp;SUMPRODUCT(('Daily Checklist'!$D$2:$D$2000=$A9)*(TEXT('Daily Checklist'!$B$2:$B$2000,"yyyy-mm-dd")=TEXT(($B$4+9),"yyyy-mm-dd")))&amp;" ESC",SUMPRODUCT(('Daily Checklist'!$D$2:$D$2000=$A9)*(TEXT('Daily Checklist'!$B$2:$B$2000,"yyyy-mm-dd")=TEXT(($B$4+9),"yyyy-mm-dd"))*('Daily Checklist'!$F$2:$F$2000="Done"))&amp;"/"&amp;SUMPRODUCT(('Daily Checklist'!$D$2:$D$2000=$A9)*(TEXT('Daily Checklist'!$B$2:$B$2000,"yyyy-mm-dd")=TEXT(($B$4+9),"yyyy-mm-dd"))))))</f>
        <v>-</v>
      </c>
      <c r="L9" s="25" t="str">
        <f aca="false">IF($A9="","",IF(SUMPRODUCT(('Daily Checklist'!$D$2:$D$2000=$A9)*(TEXT('Daily Checklist'!$B$2:$B$2000,"yyyy-mm-dd")=TEXT(($B$4+10),"yyyy-mm-dd")))=0,"-",IF(SUMPRODUCT(('Daily Checklist'!$D$2:$D$2000=$A9)*(TEXT('Daily Checklist'!$B$2:$B$2000,"yyyy-mm-dd")=TEXT(($B$4+10),"yyyy-mm-dd"))*('Daily Checklist'!$L$2:$L$2000="Y"))&gt;0,SUMPRODUCT(('Daily Checklist'!$D$2:$D$2000=$A9)*(TEXT('Daily Checklist'!$B$2:$B$2000,"yyyy-mm-dd")=TEXT(($B$4+10),"yyyy-mm-dd"))*('Daily Checklist'!$F$2:$F$2000="Done"))&amp;"/"&amp;SUMPRODUCT(('Daily Checklist'!$D$2:$D$2000=$A9)*(TEXT('Daily Checklist'!$B$2:$B$2000,"yyyy-mm-dd")=TEXT(($B$4+10),"yyyy-mm-dd")))&amp;" ESC",SUMPRODUCT(('Daily Checklist'!$D$2:$D$2000=$A9)*(TEXT('Daily Checklist'!$B$2:$B$2000,"yyyy-mm-dd")=TEXT(($B$4+10),"yyyy-mm-dd"))*('Daily Checklist'!$F$2:$F$2000="Done"))&amp;"/"&amp;SUMPRODUCT(('Daily Checklist'!$D$2:$D$2000=$A9)*(TEXT('Daily Checklist'!$B$2:$B$2000,"yyyy-mm-dd")=TEXT(($B$4+10),"yyyy-mm-dd"))))))</f>
        <v>-</v>
      </c>
      <c r="M9" s="25" t="str">
        <f aca="false">IF($A9="","",IF(SUMPRODUCT(('Daily Checklist'!$D$2:$D$2000=$A9)*(TEXT('Daily Checklist'!$B$2:$B$2000,"yyyy-mm-dd")=TEXT(($B$4+11),"yyyy-mm-dd")))=0,"-",IF(SUMPRODUCT(('Daily Checklist'!$D$2:$D$2000=$A9)*(TEXT('Daily Checklist'!$B$2:$B$2000,"yyyy-mm-dd")=TEXT(($B$4+11),"yyyy-mm-dd"))*('Daily Checklist'!$L$2:$L$2000="Y"))&gt;0,SUMPRODUCT(('Daily Checklist'!$D$2:$D$2000=$A9)*(TEXT('Daily Checklist'!$B$2:$B$2000,"yyyy-mm-dd")=TEXT(($B$4+11),"yyyy-mm-dd"))*('Daily Checklist'!$F$2:$F$2000="Done"))&amp;"/"&amp;SUMPRODUCT(('Daily Checklist'!$D$2:$D$2000=$A9)*(TEXT('Daily Checklist'!$B$2:$B$2000,"yyyy-mm-dd")=TEXT(($B$4+11),"yyyy-mm-dd")))&amp;" ESC",SUMPRODUCT(('Daily Checklist'!$D$2:$D$2000=$A9)*(TEXT('Daily Checklist'!$B$2:$B$2000,"yyyy-mm-dd")=TEXT(($B$4+11),"yyyy-mm-dd"))*('Daily Checklist'!$F$2:$F$2000="Done"))&amp;"/"&amp;SUMPRODUCT(('Daily Checklist'!$D$2:$D$2000=$A9)*(TEXT('Daily Checklist'!$B$2:$B$2000,"yyyy-mm-dd")=TEXT(($B$4+11),"yyyy-mm-dd"))))))</f>
        <v>-</v>
      </c>
      <c r="N9" s="25" t="str">
        <f aca="false">IF($A9="","",IF(SUMPRODUCT(('Daily Checklist'!$D$2:$D$2000=$A9)*(TEXT('Daily Checklist'!$B$2:$B$2000,"yyyy-mm-dd")=TEXT(($B$4+12),"yyyy-mm-dd")))=0,"-",IF(SUMPRODUCT(('Daily Checklist'!$D$2:$D$2000=$A9)*(TEXT('Daily Checklist'!$B$2:$B$2000,"yyyy-mm-dd")=TEXT(($B$4+12),"yyyy-mm-dd"))*('Daily Checklist'!$L$2:$L$2000="Y"))&gt;0,SUMPRODUCT(('Daily Checklist'!$D$2:$D$2000=$A9)*(TEXT('Daily Checklist'!$B$2:$B$2000,"yyyy-mm-dd")=TEXT(($B$4+12),"yyyy-mm-dd"))*('Daily Checklist'!$F$2:$F$2000="Done"))&amp;"/"&amp;SUMPRODUCT(('Daily Checklist'!$D$2:$D$2000=$A9)*(TEXT('Daily Checklist'!$B$2:$B$2000,"yyyy-mm-dd")=TEXT(($B$4+12),"yyyy-mm-dd")))&amp;" ESC",SUMPRODUCT(('Daily Checklist'!$D$2:$D$2000=$A9)*(TEXT('Daily Checklist'!$B$2:$B$2000,"yyyy-mm-dd")=TEXT(($B$4+12),"yyyy-mm-dd"))*('Daily Checklist'!$F$2:$F$2000="Done"))&amp;"/"&amp;SUMPRODUCT(('Daily Checklist'!$D$2:$D$2000=$A9)*(TEXT('Daily Checklist'!$B$2:$B$2000,"yyyy-mm-dd")=TEXT(($B$4+12),"yyyy-mm-dd"))))))</f>
        <v>-</v>
      </c>
      <c r="O9" s="25" t="str">
        <f aca="false">IF($A9="","",IF(SUMPRODUCT(('Daily Checklist'!$D$2:$D$2000=$A9)*(TEXT('Daily Checklist'!$B$2:$B$2000,"yyyy-mm-dd")=TEXT(($B$4+13),"yyyy-mm-dd")))=0,"-",IF(SUMPRODUCT(('Daily Checklist'!$D$2:$D$2000=$A9)*(TEXT('Daily Checklist'!$B$2:$B$2000,"yyyy-mm-dd")=TEXT(($B$4+13),"yyyy-mm-dd"))*('Daily Checklist'!$L$2:$L$2000="Y"))&gt;0,SUMPRODUCT(('Daily Checklist'!$D$2:$D$2000=$A9)*(TEXT('Daily Checklist'!$B$2:$B$2000,"yyyy-mm-dd")=TEXT(($B$4+13),"yyyy-mm-dd"))*('Daily Checklist'!$F$2:$F$2000="Done"))&amp;"/"&amp;SUMPRODUCT(('Daily Checklist'!$D$2:$D$2000=$A9)*(TEXT('Daily Checklist'!$B$2:$B$2000,"yyyy-mm-dd")=TEXT(($B$4+13),"yyyy-mm-dd")))&amp;" ESC",SUMPRODUCT(('Daily Checklist'!$D$2:$D$2000=$A9)*(TEXT('Daily Checklist'!$B$2:$B$2000,"yyyy-mm-dd")=TEXT(($B$4+13),"yyyy-mm-dd"))*('Daily Checklist'!$F$2:$F$2000="Done"))&amp;"/"&amp;SUMPRODUCT(('Daily Checklist'!$D$2:$D$2000=$A9)*(TEXT('Daily Checklist'!$B$2:$B$2000,"yyyy-mm-dd")=TEXT(($B$4+13),"yyyy-mm-dd"))))))</f>
        <v>-</v>
      </c>
      <c r="P9" s="25" t="str">
        <f aca="false">IF($A9="","",IF(SUMPRODUCT(('Daily Checklist'!$D$2:$D$2000=$A9)*(TEXT('Daily Checklist'!$B$2:$B$2000,"yyyy-mm-dd")=TEXT(($B$4+14),"yyyy-mm-dd")))=0,"-",IF(SUMPRODUCT(('Daily Checklist'!$D$2:$D$2000=$A9)*(TEXT('Daily Checklist'!$B$2:$B$2000,"yyyy-mm-dd")=TEXT(($B$4+14),"yyyy-mm-dd"))*('Daily Checklist'!$L$2:$L$2000="Y"))&gt;0,SUMPRODUCT(('Daily Checklist'!$D$2:$D$2000=$A9)*(TEXT('Daily Checklist'!$B$2:$B$2000,"yyyy-mm-dd")=TEXT(($B$4+14),"yyyy-mm-dd"))*('Daily Checklist'!$F$2:$F$2000="Done"))&amp;"/"&amp;SUMPRODUCT(('Daily Checklist'!$D$2:$D$2000=$A9)*(TEXT('Daily Checklist'!$B$2:$B$2000,"yyyy-mm-dd")=TEXT(($B$4+14),"yyyy-mm-dd")))&amp;" ESC",SUMPRODUCT(('Daily Checklist'!$D$2:$D$2000=$A9)*(TEXT('Daily Checklist'!$B$2:$B$2000,"yyyy-mm-dd")=TEXT(($B$4+14),"yyyy-mm-dd"))*('Daily Checklist'!$F$2:$F$2000="Done"))&amp;"/"&amp;SUMPRODUCT(('Daily Checklist'!$D$2:$D$2000=$A9)*(TEXT('Daily Checklist'!$B$2:$B$2000,"yyyy-mm-dd")=TEXT(($B$4+14),"yyyy-mm-dd"))))))</f>
        <v>-</v>
      </c>
      <c r="Q9" s="25" t="str">
        <f aca="false">IF($A9="","",IF(SUMPRODUCT(('Daily Checklist'!$D$2:$D$2000=$A9)*(TEXT('Daily Checklist'!$B$2:$B$2000,"yyyy-mm-dd")=TEXT(($B$4+15),"yyyy-mm-dd")))=0,"-",IF(SUMPRODUCT(('Daily Checklist'!$D$2:$D$2000=$A9)*(TEXT('Daily Checklist'!$B$2:$B$2000,"yyyy-mm-dd")=TEXT(($B$4+15),"yyyy-mm-dd"))*('Daily Checklist'!$L$2:$L$2000="Y"))&gt;0,SUMPRODUCT(('Daily Checklist'!$D$2:$D$2000=$A9)*(TEXT('Daily Checklist'!$B$2:$B$2000,"yyyy-mm-dd")=TEXT(($B$4+15),"yyyy-mm-dd"))*('Daily Checklist'!$F$2:$F$2000="Done"))&amp;"/"&amp;SUMPRODUCT(('Daily Checklist'!$D$2:$D$2000=$A9)*(TEXT('Daily Checklist'!$B$2:$B$2000,"yyyy-mm-dd")=TEXT(($B$4+15),"yyyy-mm-dd")))&amp;" ESC",SUMPRODUCT(('Daily Checklist'!$D$2:$D$2000=$A9)*(TEXT('Daily Checklist'!$B$2:$B$2000,"yyyy-mm-dd")=TEXT(($B$4+15),"yyyy-mm-dd"))*('Daily Checklist'!$F$2:$F$2000="Done"))&amp;"/"&amp;SUMPRODUCT(('Daily Checklist'!$D$2:$D$2000=$A9)*(TEXT('Daily Checklist'!$B$2:$B$2000,"yyyy-mm-dd")=TEXT(($B$4+15),"yyyy-mm-dd"))))))</f>
        <v>-</v>
      </c>
      <c r="R9" s="25" t="str">
        <f aca="false">IF($A9="","",IF(SUMPRODUCT(('Daily Checklist'!$D$2:$D$2000=$A9)*(TEXT('Daily Checklist'!$B$2:$B$2000,"yyyy-mm-dd")=TEXT(($B$4+16),"yyyy-mm-dd")))=0,"-",IF(SUMPRODUCT(('Daily Checklist'!$D$2:$D$2000=$A9)*(TEXT('Daily Checklist'!$B$2:$B$2000,"yyyy-mm-dd")=TEXT(($B$4+16),"yyyy-mm-dd"))*('Daily Checklist'!$L$2:$L$2000="Y"))&gt;0,SUMPRODUCT(('Daily Checklist'!$D$2:$D$2000=$A9)*(TEXT('Daily Checklist'!$B$2:$B$2000,"yyyy-mm-dd")=TEXT(($B$4+16),"yyyy-mm-dd"))*('Daily Checklist'!$F$2:$F$2000="Done"))&amp;"/"&amp;SUMPRODUCT(('Daily Checklist'!$D$2:$D$2000=$A9)*(TEXT('Daily Checklist'!$B$2:$B$2000,"yyyy-mm-dd")=TEXT(($B$4+16),"yyyy-mm-dd")))&amp;" ESC",SUMPRODUCT(('Daily Checklist'!$D$2:$D$2000=$A9)*(TEXT('Daily Checklist'!$B$2:$B$2000,"yyyy-mm-dd")=TEXT(($B$4+16),"yyyy-mm-dd"))*('Daily Checklist'!$F$2:$F$2000="Done"))&amp;"/"&amp;SUMPRODUCT(('Daily Checklist'!$D$2:$D$2000=$A9)*(TEXT('Daily Checklist'!$B$2:$B$2000,"yyyy-mm-dd")=TEXT(($B$4+16),"yyyy-mm-dd"))))))</f>
        <v>-</v>
      </c>
      <c r="S9" s="25" t="str">
        <f aca="false">IF($A9="","",IF(SUMPRODUCT(('Daily Checklist'!$D$2:$D$2000=$A9)*(TEXT('Daily Checklist'!$B$2:$B$2000,"yyyy-mm-dd")=TEXT(($B$4+17),"yyyy-mm-dd")))=0,"-",IF(SUMPRODUCT(('Daily Checklist'!$D$2:$D$2000=$A9)*(TEXT('Daily Checklist'!$B$2:$B$2000,"yyyy-mm-dd")=TEXT(($B$4+17),"yyyy-mm-dd"))*('Daily Checklist'!$L$2:$L$2000="Y"))&gt;0,SUMPRODUCT(('Daily Checklist'!$D$2:$D$2000=$A9)*(TEXT('Daily Checklist'!$B$2:$B$2000,"yyyy-mm-dd")=TEXT(($B$4+17),"yyyy-mm-dd"))*('Daily Checklist'!$F$2:$F$2000="Done"))&amp;"/"&amp;SUMPRODUCT(('Daily Checklist'!$D$2:$D$2000=$A9)*(TEXT('Daily Checklist'!$B$2:$B$2000,"yyyy-mm-dd")=TEXT(($B$4+17),"yyyy-mm-dd")))&amp;" ESC",SUMPRODUCT(('Daily Checklist'!$D$2:$D$2000=$A9)*(TEXT('Daily Checklist'!$B$2:$B$2000,"yyyy-mm-dd")=TEXT(($B$4+17),"yyyy-mm-dd"))*('Daily Checklist'!$F$2:$F$2000="Done"))&amp;"/"&amp;SUMPRODUCT(('Daily Checklist'!$D$2:$D$2000=$A9)*(TEXT('Daily Checklist'!$B$2:$B$2000,"yyyy-mm-dd")=TEXT(($B$4+17),"yyyy-mm-dd"))))))</f>
        <v>-</v>
      </c>
      <c r="T9" s="25" t="str">
        <f aca="false">IF($A9="","",IF(SUMPRODUCT(('Daily Checklist'!$D$2:$D$2000=$A9)*(TEXT('Daily Checklist'!$B$2:$B$2000,"yyyy-mm-dd")=TEXT(($B$4+18),"yyyy-mm-dd")))=0,"-",IF(SUMPRODUCT(('Daily Checklist'!$D$2:$D$2000=$A9)*(TEXT('Daily Checklist'!$B$2:$B$2000,"yyyy-mm-dd")=TEXT(($B$4+18),"yyyy-mm-dd"))*('Daily Checklist'!$L$2:$L$2000="Y"))&gt;0,SUMPRODUCT(('Daily Checklist'!$D$2:$D$2000=$A9)*(TEXT('Daily Checklist'!$B$2:$B$2000,"yyyy-mm-dd")=TEXT(($B$4+18),"yyyy-mm-dd"))*('Daily Checklist'!$F$2:$F$2000="Done"))&amp;"/"&amp;SUMPRODUCT(('Daily Checklist'!$D$2:$D$2000=$A9)*(TEXT('Daily Checklist'!$B$2:$B$2000,"yyyy-mm-dd")=TEXT(($B$4+18),"yyyy-mm-dd")))&amp;" ESC",SUMPRODUCT(('Daily Checklist'!$D$2:$D$2000=$A9)*(TEXT('Daily Checklist'!$B$2:$B$2000,"yyyy-mm-dd")=TEXT(($B$4+18),"yyyy-mm-dd"))*('Daily Checklist'!$F$2:$F$2000="Done"))&amp;"/"&amp;SUMPRODUCT(('Daily Checklist'!$D$2:$D$2000=$A9)*(TEXT('Daily Checklist'!$B$2:$B$2000,"yyyy-mm-dd")=TEXT(($B$4+18),"yyyy-mm-dd"))))))</f>
        <v>-</v>
      </c>
      <c r="U9" s="25" t="str">
        <f aca="false">IF($A9="","",IF(SUMPRODUCT(('Daily Checklist'!$D$2:$D$2000=$A9)*(TEXT('Daily Checklist'!$B$2:$B$2000,"yyyy-mm-dd")=TEXT(($B$4+19),"yyyy-mm-dd")))=0,"-",IF(SUMPRODUCT(('Daily Checklist'!$D$2:$D$2000=$A9)*(TEXT('Daily Checklist'!$B$2:$B$2000,"yyyy-mm-dd")=TEXT(($B$4+19),"yyyy-mm-dd"))*('Daily Checklist'!$L$2:$L$2000="Y"))&gt;0,SUMPRODUCT(('Daily Checklist'!$D$2:$D$2000=$A9)*(TEXT('Daily Checklist'!$B$2:$B$2000,"yyyy-mm-dd")=TEXT(($B$4+19),"yyyy-mm-dd"))*('Daily Checklist'!$F$2:$F$2000="Done"))&amp;"/"&amp;SUMPRODUCT(('Daily Checklist'!$D$2:$D$2000=$A9)*(TEXT('Daily Checklist'!$B$2:$B$2000,"yyyy-mm-dd")=TEXT(($B$4+19),"yyyy-mm-dd")))&amp;" ESC",SUMPRODUCT(('Daily Checklist'!$D$2:$D$2000=$A9)*(TEXT('Daily Checklist'!$B$2:$B$2000,"yyyy-mm-dd")=TEXT(($B$4+19),"yyyy-mm-dd"))*('Daily Checklist'!$F$2:$F$2000="Done"))&amp;"/"&amp;SUMPRODUCT(('Daily Checklist'!$D$2:$D$2000=$A9)*(TEXT('Daily Checklist'!$B$2:$B$2000,"yyyy-mm-dd")=TEXT(($B$4+19),"yyyy-mm-dd"))))))</f>
        <v>-</v>
      </c>
      <c r="V9" s="25" t="str">
        <f aca="false">IF($A9="","",IF(SUMPRODUCT(('Daily Checklist'!$D$2:$D$2000=$A9)*(TEXT('Daily Checklist'!$B$2:$B$2000,"yyyy-mm-dd")=TEXT(($B$4+20),"yyyy-mm-dd")))=0,"-",IF(SUMPRODUCT(('Daily Checklist'!$D$2:$D$2000=$A9)*(TEXT('Daily Checklist'!$B$2:$B$2000,"yyyy-mm-dd")=TEXT(($B$4+20),"yyyy-mm-dd"))*('Daily Checklist'!$L$2:$L$2000="Y"))&gt;0,SUMPRODUCT(('Daily Checklist'!$D$2:$D$2000=$A9)*(TEXT('Daily Checklist'!$B$2:$B$2000,"yyyy-mm-dd")=TEXT(($B$4+20),"yyyy-mm-dd"))*('Daily Checklist'!$F$2:$F$2000="Done"))&amp;"/"&amp;SUMPRODUCT(('Daily Checklist'!$D$2:$D$2000=$A9)*(TEXT('Daily Checklist'!$B$2:$B$2000,"yyyy-mm-dd")=TEXT(($B$4+20),"yyyy-mm-dd")))&amp;" ESC",SUMPRODUCT(('Daily Checklist'!$D$2:$D$2000=$A9)*(TEXT('Daily Checklist'!$B$2:$B$2000,"yyyy-mm-dd")=TEXT(($B$4+20),"yyyy-mm-dd"))*('Daily Checklist'!$F$2:$F$2000="Done"))&amp;"/"&amp;SUMPRODUCT(('Daily Checklist'!$D$2:$D$2000=$A9)*(TEXT('Daily Checklist'!$B$2:$B$2000,"yyyy-mm-dd")=TEXT(($B$4+20),"yyyy-mm-dd"))))))</f>
        <v>-</v>
      </c>
      <c r="W9" s="25" t="str">
        <f aca="false">IF($A9="","",IF(SUMPRODUCT(('Daily Checklist'!$D$2:$D$2000=$A9)*(TEXT('Daily Checklist'!$B$2:$B$2000,"yyyy-mm-dd")=TEXT(($B$4+21),"yyyy-mm-dd")))=0,"-",IF(SUMPRODUCT(('Daily Checklist'!$D$2:$D$2000=$A9)*(TEXT('Daily Checklist'!$B$2:$B$2000,"yyyy-mm-dd")=TEXT(($B$4+21),"yyyy-mm-dd"))*('Daily Checklist'!$L$2:$L$2000="Y"))&gt;0,SUMPRODUCT(('Daily Checklist'!$D$2:$D$2000=$A9)*(TEXT('Daily Checklist'!$B$2:$B$2000,"yyyy-mm-dd")=TEXT(($B$4+21),"yyyy-mm-dd"))*('Daily Checklist'!$F$2:$F$2000="Done"))&amp;"/"&amp;SUMPRODUCT(('Daily Checklist'!$D$2:$D$2000=$A9)*(TEXT('Daily Checklist'!$B$2:$B$2000,"yyyy-mm-dd")=TEXT(($B$4+21),"yyyy-mm-dd")))&amp;" ESC",SUMPRODUCT(('Daily Checklist'!$D$2:$D$2000=$A9)*(TEXT('Daily Checklist'!$B$2:$B$2000,"yyyy-mm-dd")=TEXT(($B$4+21),"yyyy-mm-dd"))*('Daily Checklist'!$F$2:$F$2000="Done"))&amp;"/"&amp;SUMPRODUCT(('Daily Checklist'!$D$2:$D$2000=$A9)*(TEXT('Daily Checklist'!$B$2:$B$2000,"yyyy-mm-dd")=TEXT(($B$4+21),"yyyy-mm-dd"))))))</f>
        <v>-</v>
      </c>
      <c r="X9" s="25" t="str">
        <f aca="false">IF($A9="","",IF(SUMPRODUCT(('Daily Checklist'!$D$2:$D$2000=$A9)*(TEXT('Daily Checklist'!$B$2:$B$2000,"yyyy-mm-dd")=TEXT(($B$4+22),"yyyy-mm-dd")))=0,"-",IF(SUMPRODUCT(('Daily Checklist'!$D$2:$D$2000=$A9)*(TEXT('Daily Checklist'!$B$2:$B$2000,"yyyy-mm-dd")=TEXT(($B$4+22),"yyyy-mm-dd"))*('Daily Checklist'!$L$2:$L$2000="Y"))&gt;0,SUMPRODUCT(('Daily Checklist'!$D$2:$D$2000=$A9)*(TEXT('Daily Checklist'!$B$2:$B$2000,"yyyy-mm-dd")=TEXT(($B$4+22),"yyyy-mm-dd"))*('Daily Checklist'!$F$2:$F$2000="Done"))&amp;"/"&amp;SUMPRODUCT(('Daily Checklist'!$D$2:$D$2000=$A9)*(TEXT('Daily Checklist'!$B$2:$B$2000,"yyyy-mm-dd")=TEXT(($B$4+22),"yyyy-mm-dd")))&amp;" ESC",SUMPRODUCT(('Daily Checklist'!$D$2:$D$2000=$A9)*(TEXT('Daily Checklist'!$B$2:$B$2000,"yyyy-mm-dd")=TEXT(($B$4+22),"yyyy-mm-dd"))*('Daily Checklist'!$F$2:$F$2000="Done"))&amp;"/"&amp;SUMPRODUCT(('Daily Checklist'!$D$2:$D$2000=$A9)*(TEXT('Daily Checklist'!$B$2:$B$2000,"yyyy-mm-dd")=TEXT(($B$4+22),"yyyy-mm-dd"))))))</f>
        <v>-</v>
      </c>
      <c r="Y9" s="25" t="str">
        <f aca="false">IF($A9="","",IF(SUMPRODUCT(('Daily Checklist'!$D$2:$D$2000=$A9)*(TEXT('Daily Checklist'!$B$2:$B$2000,"yyyy-mm-dd")=TEXT(($B$4+23),"yyyy-mm-dd")))=0,"-",IF(SUMPRODUCT(('Daily Checklist'!$D$2:$D$2000=$A9)*(TEXT('Daily Checklist'!$B$2:$B$2000,"yyyy-mm-dd")=TEXT(($B$4+23),"yyyy-mm-dd"))*('Daily Checklist'!$L$2:$L$2000="Y"))&gt;0,SUMPRODUCT(('Daily Checklist'!$D$2:$D$2000=$A9)*(TEXT('Daily Checklist'!$B$2:$B$2000,"yyyy-mm-dd")=TEXT(($B$4+23),"yyyy-mm-dd"))*('Daily Checklist'!$F$2:$F$2000="Done"))&amp;"/"&amp;SUMPRODUCT(('Daily Checklist'!$D$2:$D$2000=$A9)*(TEXT('Daily Checklist'!$B$2:$B$2000,"yyyy-mm-dd")=TEXT(($B$4+23),"yyyy-mm-dd")))&amp;" ESC",SUMPRODUCT(('Daily Checklist'!$D$2:$D$2000=$A9)*(TEXT('Daily Checklist'!$B$2:$B$2000,"yyyy-mm-dd")=TEXT(($B$4+23),"yyyy-mm-dd"))*('Daily Checklist'!$F$2:$F$2000="Done"))&amp;"/"&amp;SUMPRODUCT(('Daily Checklist'!$D$2:$D$2000=$A9)*(TEXT('Daily Checklist'!$B$2:$B$2000,"yyyy-mm-dd")=TEXT(($B$4+23),"yyyy-mm-dd"))))))</f>
        <v>-</v>
      </c>
      <c r="Z9" s="25" t="str">
        <f aca="false">IF($A9="","",IF(SUMPRODUCT(('Daily Checklist'!$D$2:$D$2000=$A9)*(TEXT('Daily Checklist'!$B$2:$B$2000,"yyyy-mm-dd")=TEXT(($B$4+24),"yyyy-mm-dd")))=0,"-",IF(SUMPRODUCT(('Daily Checklist'!$D$2:$D$2000=$A9)*(TEXT('Daily Checklist'!$B$2:$B$2000,"yyyy-mm-dd")=TEXT(($B$4+24),"yyyy-mm-dd"))*('Daily Checklist'!$L$2:$L$2000="Y"))&gt;0,SUMPRODUCT(('Daily Checklist'!$D$2:$D$2000=$A9)*(TEXT('Daily Checklist'!$B$2:$B$2000,"yyyy-mm-dd")=TEXT(($B$4+24),"yyyy-mm-dd"))*('Daily Checklist'!$F$2:$F$2000="Done"))&amp;"/"&amp;SUMPRODUCT(('Daily Checklist'!$D$2:$D$2000=$A9)*(TEXT('Daily Checklist'!$B$2:$B$2000,"yyyy-mm-dd")=TEXT(($B$4+24),"yyyy-mm-dd")))&amp;" ESC",SUMPRODUCT(('Daily Checklist'!$D$2:$D$2000=$A9)*(TEXT('Daily Checklist'!$B$2:$B$2000,"yyyy-mm-dd")=TEXT(($B$4+24),"yyyy-mm-dd"))*('Daily Checklist'!$F$2:$F$2000="Done"))&amp;"/"&amp;SUMPRODUCT(('Daily Checklist'!$D$2:$D$2000=$A9)*(TEXT('Daily Checklist'!$B$2:$B$2000,"yyyy-mm-dd")=TEXT(($B$4+24),"yyyy-mm-dd"))))))</f>
        <v>-</v>
      </c>
      <c r="AA9" s="25" t="str">
        <f aca="false">IF($A9="","",IF(SUMPRODUCT(('Daily Checklist'!$D$2:$D$2000=$A9)*(TEXT('Daily Checklist'!$B$2:$B$2000,"yyyy-mm-dd")=TEXT(($B$4+25),"yyyy-mm-dd")))=0,"-",IF(SUMPRODUCT(('Daily Checklist'!$D$2:$D$2000=$A9)*(TEXT('Daily Checklist'!$B$2:$B$2000,"yyyy-mm-dd")=TEXT(($B$4+25),"yyyy-mm-dd"))*('Daily Checklist'!$L$2:$L$2000="Y"))&gt;0,SUMPRODUCT(('Daily Checklist'!$D$2:$D$2000=$A9)*(TEXT('Daily Checklist'!$B$2:$B$2000,"yyyy-mm-dd")=TEXT(($B$4+25),"yyyy-mm-dd"))*('Daily Checklist'!$F$2:$F$2000="Done"))&amp;"/"&amp;SUMPRODUCT(('Daily Checklist'!$D$2:$D$2000=$A9)*(TEXT('Daily Checklist'!$B$2:$B$2000,"yyyy-mm-dd")=TEXT(($B$4+25),"yyyy-mm-dd")))&amp;" ESC",SUMPRODUCT(('Daily Checklist'!$D$2:$D$2000=$A9)*(TEXT('Daily Checklist'!$B$2:$B$2000,"yyyy-mm-dd")=TEXT(($B$4+25),"yyyy-mm-dd"))*('Daily Checklist'!$F$2:$F$2000="Done"))&amp;"/"&amp;SUMPRODUCT(('Daily Checklist'!$D$2:$D$2000=$A9)*(TEXT('Daily Checklist'!$B$2:$B$2000,"yyyy-mm-dd")=TEXT(($B$4+25),"yyyy-mm-dd"))))))</f>
        <v>-</v>
      </c>
      <c r="AB9" s="25" t="str">
        <f aca="false">IF($A9="","",IF(SUMPRODUCT(('Daily Checklist'!$D$2:$D$2000=$A9)*(TEXT('Daily Checklist'!$B$2:$B$2000,"yyyy-mm-dd")=TEXT(($B$4+26),"yyyy-mm-dd")))=0,"-",IF(SUMPRODUCT(('Daily Checklist'!$D$2:$D$2000=$A9)*(TEXT('Daily Checklist'!$B$2:$B$2000,"yyyy-mm-dd")=TEXT(($B$4+26),"yyyy-mm-dd"))*('Daily Checklist'!$L$2:$L$2000="Y"))&gt;0,SUMPRODUCT(('Daily Checklist'!$D$2:$D$2000=$A9)*(TEXT('Daily Checklist'!$B$2:$B$2000,"yyyy-mm-dd")=TEXT(($B$4+26),"yyyy-mm-dd"))*('Daily Checklist'!$F$2:$F$2000="Done"))&amp;"/"&amp;SUMPRODUCT(('Daily Checklist'!$D$2:$D$2000=$A9)*(TEXT('Daily Checklist'!$B$2:$B$2000,"yyyy-mm-dd")=TEXT(($B$4+26),"yyyy-mm-dd")))&amp;" ESC",SUMPRODUCT(('Daily Checklist'!$D$2:$D$2000=$A9)*(TEXT('Daily Checklist'!$B$2:$B$2000,"yyyy-mm-dd")=TEXT(($B$4+26),"yyyy-mm-dd"))*('Daily Checklist'!$F$2:$F$2000="Done"))&amp;"/"&amp;SUMPRODUCT(('Daily Checklist'!$D$2:$D$2000=$A9)*(TEXT('Daily Checklist'!$B$2:$B$2000,"yyyy-mm-dd")=TEXT(($B$4+26),"yyyy-mm-dd"))))))</f>
        <v>-</v>
      </c>
      <c r="AC9" s="25" t="str">
        <f aca="false">IF($A9="","",IF(SUMPRODUCT(('Daily Checklist'!$D$2:$D$2000=$A9)*(TEXT('Daily Checklist'!$B$2:$B$2000,"yyyy-mm-dd")=TEXT(($B$4+27),"yyyy-mm-dd")))=0,"-",IF(SUMPRODUCT(('Daily Checklist'!$D$2:$D$2000=$A9)*(TEXT('Daily Checklist'!$B$2:$B$2000,"yyyy-mm-dd")=TEXT(($B$4+27),"yyyy-mm-dd"))*('Daily Checklist'!$L$2:$L$2000="Y"))&gt;0,SUMPRODUCT(('Daily Checklist'!$D$2:$D$2000=$A9)*(TEXT('Daily Checklist'!$B$2:$B$2000,"yyyy-mm-dd")=TEXT(($B$4+27),"yyyy-mm-dd"))*('Daily Checklist'!$F$2:$F$2000="Done"))&amp;"/"&amp;SUMPRODUCT(('Daily Checklist'!$D$2:$D$2000=$A9)*(TEXT('Daily Checklist'!$B$2:$B$2000,"yyyy-mm-dd")=TEXT(($B$4+27),"yyyy-mm-dd")))&amp;" ESC",SUMPRODUCT(('Daily Checklist'!$D$2:$D$2000=$A9)*(TEXT('Daily Checklist'!$B$2:$B$2000,"yyyy-mm-dd")=TEXT(($B$4+27),"yyyy-mm-dd"))*('Daily Checklist'!$F$2:$F$2000="Done"))&amp;"/"&amp;SUMPRODUCT(('Daily Checklist'!$D$2:$D$2000=$A9)*(TEXT('Daily Checklist'!$B$2:$B$2000,"yyyy-mm-dd")=TEXT(($B$4+27),"yyyy-mm-dd"))))))</f>
        <v>-</v>
      </c>
      <c r="AD9" s="25" t="str">
        <f aca="false">IF($A9="","",IF(SUMPRODUCT(('Daily Checklist'!$D$2:$D$2000=$A9)*(TEXT('Daily Checklist'!$B$2:$B$2000,"yyyy-mm-dd")=TEXT(($B$4+28),"yyyy-mm-dd")))=0,"-",IF(SUMPRODUCT(('Daily Checklist'!$D$2:$D$2000=$A9)*(TEXT('Daily Checklist'!$B$2:$B$2000,"yyyy-mm-dd")=TEXT(($B$4+28),"yyyy-mm-dd"))*('Daily Checklist'!$L$2:$L$2000="Y"))&gt;0,SUMPRODUCT(('Daily Checklist'!$D$2:$D$2000=$A9)*(TEXT('Daily Checklist'!$B$2:$B$2000,"yyyy-mm-dd")=TEXT(($B$4+28),"yyyy-mm-dd"))*('Daily Checklist'!$F$2:$F$2000="Done"))&amp;"/"&amp;SUMPRODUCT(('Daily Checklist'!$D$2:$D$2000=$A9)*(TEXT('Daily Checklist'!$B$2:$B$2000,"yyyy-mm-dd")=TEXT(($B$4+28),"yyyy-mm-dd")))&amp;" ESC",SUMPRODUCT(('Daily Checklist'!$D$2:$D$2000=$A9)*(TEXT('Daily Checklist'!$B$2:$B$2000,"yyyy-mm-dd")=TEXT(($B$4+28),"yyyy-mm-dd"))*('Daily Checklist'!$F$2:$F$2000="Done"))&amp;"/"&amp;SUMPRODUCT(('Daily Checklist'!$D$2:$D$2000=$A9)*(TEXT('Daily Checklist'!$B$2:$B$2000,"yyyy-mm-dd")=TEXT(($B$4+28),"yyyy-mm-dd"))))))</f>
        <v>-</v>
      </c>
      <c r="AE9" s="25" t="str">
        <f aca="false">IF($A9="","",IF(SUMPRODUCT(('Daily Checklist'!$D$2:$D$2000=$A9)*(TEXT('Daily Checklist'!$B$2:$B$2000,"yyyy-mm-dd")=TEXT(($B$4+29),"yyyy-mm-dd")))=0,"-",IF(SUMPRODUCT(('Daily Checklist'!$D$2:$D$2000=$A9)*(TEXT('Daily Checklist'!$B$2:$B$2000,"yyyy-mm-dd")=TEXT(($B$4+29),"yyyy-mm-dd"))*('Daily Checklist'!$L$2:$L$2000="Y"))&gt;0,SUMPRODUCT(('Daily Checklist'!$D$2:$D$2000=$A9)*(TEXT('Daily Checklist'!$B$2:$B$2000,"yyyy-mm-dd")=TEXT(($B$4+29),"yyyy-mm-dd"))*('Daily Checklist'!$F$2:$F$2000="Done"))&amp;"/"&amp;SUMPRODUCT(('Daily Checklist'!$D$2:$D$2000=$A9)*(TEXT('Daily Checklist'!$B$2:$B$2000,"yyyy-mm-dd")=TEXT(($B$4+29),"yyyy-mm-dd")))&amp;" ESC",SUMPRODUCT(('Daily Checklist'!$D$2:$D$2000=$A9)*(TEXT('Daily Checklist'!$B$2:$B$2000,"yyyy-mm-dd")=TEXT(($B$4+29),"yyyy-mm-dd"))*('Daily Checklist'!$F$2:$F$2000="Done"))&amp;"/"&amp;SUMPRODUCT(('Daily Checklist'!$D$2:$D$2000=$A9)*(TEXT('Daily Checklist'!$B$2:$B$2000,"yyyy-mm-dd")=TEXT(($B$4+29),"yyyy-mm-dd"))))))</f>
        <v>-</v>
      </c>
      <c r="AF9" s="25" t="str">
        <f aca="false">IF($A9="","",IF(SUMPRODUCT(('Daily Checklist'!$D$2:$D$2000=$A9)*(TEXT('Daily Checklist'!$B$2:$B$2000,"yyyy-mm-dd")=TEXT(($B$4+30),"yyyy-mm-dd")))=0,"-",IF(SUMPRODUCT(('Daily Checklist'!$D$2:$D$2000=$A9)*(TEXT('Daily Checklist'!$B$2:$B$2000,"yyyy-mm-dd")=TEXT(($B$4+30),"yyyy-mm-dd"))*('Daily Checklist'!$L$2:$L$2000="Y"))&gt;0,SUMPRODUCT(('Daily Checklist'!$D$2:$D$2000=$A9)*(TEXT('Daily Checklist'!$B$2:$B$2000,"yyyy-mm-dd")=TEXT(($B$4+30),"yyyy-mm-dd"))*('Daily Checklist'!$F$2:$F$2000="Done"))&amp;"/"&amp;SUMPRODUCT(('Daily Checklist'!$D$2:$D$2000=$A9)*(TEXT('Daily Checklist'!$B$2:$B$2000,"yyyy-mm-dd")=TEXT(($B$4+30),"yyyy-mm-dd")))&amp;" ESC",SUMPRODUCT(('Daily Checklist'!$D$2:$D$2000=$A9)*(TEXT('Daily Checklist'!$B$2:$B$2000,"yyyy-mm-dd")=TEXT(($B$4+30),"yyyy-mm-dd"))*('Daily Checklist'!$F$2:$F$2000="Done"))&amp;"/"&amp;SUMPRODUCT(('Daily Checklist'!$D$2:$D$2000=$A9)*(TEXT('Daily Checklist'!$B$2:$B$2000,"yyyy-mm-dd")=TEXT(($B$4+30),"yyyy-mm-dd"))))))</f>
        <v>-</v>
      </c>
    </row>
    <row r="10" customFormat="false" ht="15" hidden="false" customHeight="true" outlineLevel="0" collapsed="false">
      <c r="A10" s="24" t="str">
        <f aca="false">IFERROR(IF(Employees!A5="","",Employees!A5),"")</f>
        <v>Sushmita Mukherjee</v>
      </c>
      <c r="B10" s="25" t="str">
        <f aca="false">IF($A10="","",IF(SUMPRODUCT(('Daily Checklist'!$D$2:$D$2000=$A10)*(TEXT('Daily Checklist'!$B$2:$B$2000,"yyyy-mm-dd")=TEXT(($B$4+0),"yyyy-mm-dd")))=0,"-",IF(SUMPRODUCT(('Daily Checklist'!$D$2:$D$2000=$A10)*(TEXT('Daily Checklist'!$B$2:$B$2000,"yyyy-mm-dd")=TEXT(($B$4+0),"yyyy-mm-dd"))*('Daily Checklist'!$L$2:$L$2000="Y"))&gt;0,SUMPRODUCT(('Daily Checklist'!$D$2:$D$2000=$A10)*(TEXT('Daily Checklist'!$B$2:$B$2000,"yyyy-mm-dd")=TEXT(($B$4+0),"yyyy-mm-dd"))*('Daily Checklist'!$F$2:$F$2000="Done"))&amp;"/"&amp;SUMPRODUCT(('Daily Checklist'!$D$2:$D$2000=$A10)*(TEXT('Daily Checklist'!$B$2:$B$2000,"yyyy-mm-dd")=TEXT(($B$4+0),"yyyy-mm-dd")))&amp;" ESC",SUMPRODUCT(('Daily Checklist'!$D$2:$D$2000=$A10)*(TEXT('Daily Checklist'!$B$2:$B$2000,"yyyy-mm-dd")=TEXT(($B$4+0),"yyyy-mm-dd"))*('Daily Checklist'!$F$2:$F$2000="Done"))&amp;"/"&amp;SUMPRODUCT(('Daily Checklist'!$D$2:$D$2000=$A10)*(TEXT('Daily Checklist'!$B$2:$B$2000,"yyyy-mm-dd")=TEXT(($B$4+0),"yyyy-mm-dd"))))))</f>
        <v>0/1 ESC</v>
      </c>
      <c r="C10" s="25" t="str">
        <f aca="false">IF($A10="","",IF(SUMPRODUCT(('Daily Checklist'!$D$2:$D$2000=$A10)*(TEXT('Daily Checklist'!$B$2:$B$2000,"yyyy-mm-dd")=TEXT(($B$4+1),"yyyy-mm-dd")))=0,"-",IF(SUMPRODUCT(('Daily Checklist'!$D$2:$D$2000=$A10)*(TEXT('Daily Checklist'!$B$2:$B$2000,"yyyy-mm-dd")=TEXT(($B$4+1),"yyyy-mm-dd"))*('Daily Checklist'!$L$2:$L$2000="Y"))&gt;0,SUMPRODUCT(('Daily Checklist'!$D$2:$D$2000=$A10)*(TEXT('Daily Checklist'!$B$2:$B$2000,"yyyy-mm-dd")=TEXT(($B$4+1),"yyyy-mm-dd"))*('Daily Checklist'!$F$2:$F$2000="Done"))&amp;"/"&amp;SUMPRODUCT(('Daily Checklist'!$D$2:$D$2000=$A10)*(TEXT('Daily Checklist'!$B$2:$B$2000,"yyyy-mm-dd")=TEXT(($B$4+1),"yyyy-mm-dd")))&amp;" ESC",SUMPRODUCT(('Daily Checklist'!$D$2:$D$2000=$A10)*(TEXT('Daily Checklist'!$B$2:$B$2000,"yyyy-mm-dd")=TEXT(($B$4+1),"yyyy-mm-dd"))*('Daily Checklist'!$F$2:$F$2000="Done"))&amp;"/"&amp;SUMPRODUCT(('Daily Checklist'!$D$2:$D$2000=$A10)*(TEXT('Daily Checklist'!$B$2:$B$2000,"yyyy-mm-dd")=TEXT(($B$4+1),"yyyy-mm-dd"))))))</f>
        <v>-</v>
      </c>
      <c r="D10" s="25" t="str">
        <f aca="false">IF($A10="","",IF(SUMPRODUCT(('Daily Checklist'!$D$2:$D$2000=$A10)*(TEXT('Daily Checklist'!$B$2:$B$2000,"yyyy-mm-dd")=TEXT(($B$4+2),"yyyy-mm-dd")))=0,"-",IF(SUMPRODUCT(('Daily Checklist'!$D$2:$D$2000=$A10)*(TEXT('Daily Checklist'!$B$2:$B$2000,"yyyy-mm-dd")=TEXT(($B$4+2),"yyyy-mm-dd"))*('Daily Checklist'!$L$2:$L$2000="Y"))&gt;0,SUMPRODUCT(('Daily Checklist'!$D$2:$D$2000=$A10)*(TEXT('Daily Checklist'!$B$2:$B$2000,"yyyy-mm-dd")=TEXT(($B$4+2),"yyyy-mm-dd"))*('Daily Checklist'!$F$2:$F$2000="Done"))&amp;"/"&amp;SUMPRODUCT(('Daily Checklist'!$D$2:$D$2000=$A10)*(TEXT('Daily Checklist'!$B$2:$B$2000,"yyyy-mm-dd")=TEXT(($B$4+2),"yyyy-mm-dd")))&amp;" ESC",SUMPRODUCT(('Daily Checklist'!$D$2:$D$2000=$A10)*(TEXT('Daily Checklist'!$B$2:$B$2000,"yyyy-mm-dd")=TEXT(($B$4+2),"yyyy-mm-dd"))*('Daily Checklist'!$F$2:$F$2000="Done"))&amp;"/"&amp;SUMPRODUCT(('Daily Checklist'!$D$2:$D$2000=$A10)*(TEXT('Daily Checklist'!$B$2:$B$2000,"yyyy-mm-dd")=TEXT(($B$4+2),"yyyy-mm-dd"))))))</f>
        <v>-</v>
      </c>
      <c r="E10" s="25" t="str">
        <f aca="false">IF($A10="","",IF(SUMPRODUCT(('Daily Checklist'!$D$2:$D$2000=$A10)*(TEXT('Daily Checklist'!$B$2:$B$2000,"yyyy-mm-dd")=TEXT(($B$4+3),"yyyy-mm-dd")))=0,"-",IF(SUMPRODUCT(('Daily Checklist'!$D$2:$D$2000=$A10)*(TEXT('Daily Checklist'!$B$2:$B$2000,"yyyy-mm-dd")=TEXT(($B$4+3),"yyyy-mm-dd"))*('Daily Checklist'!$L$2:$L$2000="Y"))&gt;0,SUMPRODUCT(('Daily Checklist'!$D$2:$D$2000=$A10)*(TEXT('Daily Checklist'!$B$2:$B$2000,"yyyy-mm-dd")=TEXT(($B$4+3),"yyyy-mm-dd"))*('Daily Checklist'!$F$2:$F$2000="Done"))&amp;"/"&amp;SUMPRODUCT(('Daily Checklist'!$D$2:$D$2000=$A10)*(TEXT('Daily Checklist'!$B$2:$B$2000,"yyyy-mm-dd")=TEXT(($B$4+3),"yyyy-mm-dd")))&amp;" ESC",SUMPRODUCT(('Daily Checklist'!$D$2:$D$2000=$A10)*(TEXT('Daily Checklist'!$B$2:$B$2000,"yyyy-mm-dd")=TEXT(($B$4+3),"yyyy-mm-dd"))*('Daily Checklist'!$F$2:$F$2000="Done"))&amp;"/"&amp;SUMPRODUCT(('Daily Checklist'!$D$2:$D$2000=$A10)*(TEXT('Daily Checklist'!$B$2:$B$2000,"yyyy-mm-dd")=TEXT(($B$4+3),"yyyy-mm-dd"))))))</f>
        <v>-</v>
      </c>
      <c r="F10" s="25" t="str">
        <f aca="false">IF($A10="","",IF(SUMPRODUCT(('Daily Checklist'!$D$2:$D$2000=$A10)*(TEXT('Daily Checklist'!$B$2:$B$2000,"yyyy-mm-dd")=TEXT(($B$4+4),"yyyy-mm-dd")))=0,"-",IF(SUMPRODUCT(('Daily Checklist'!$D$2:$D$2000=$A10)*(TEXT('Daily Checklist'!$B$2:$B$2000,"yyyy-mm-dd")=TEXT(($B$4+4),"yyyy-mm-dd"))*('Daily Checklist'!$L$2:$L$2000="Y"))&gt;0,SUMPRODUCT(('Daily Checklist'!$D$2:$D$2000=$A10)*(TEXT('Daily Checklist'!$B$2:$B$2000,"yyyy-mm-dd")=TEXT(($B$4+4),"yyyy-mm-dd"))*('Daily Checklist'!$F$2:$F$2000="Done"))&amp;"/"&amp;SUMPRODUCT(('Daily Checklist'!$D$2:$D$2000=$A10)*(TEXT('Daily Checklist'!$B$2:$B$2000,"yyyy-mm-dd")=TEXT(($B$4+4),"yyyy-mm-dd")))&amp;" ESC",SUMPRODUCT(('Daily Checklist'!$D$2:$D$2000=$A10)*(TEXT('Daily Checklist'!$B$2:$B$2000,"yyyy-mm-dd")=TEXT(($B$4+4),"yyyy-mm-dd"))*('Daily Checklist'!$F$2:$F$2000="Done"))&amp;"/"&amp;SUMPRODUCT(('Daily Checklist'!$D$2:$D$2000=$A10)*(TEXT('Daily Checklist'!$B$2:$B$2000,"yyyy-mm-dd")=TEXT(($B$4+4),"yyyy-mm-dd"))))))</f>
        <v>-</v>
      </c>
      <c r="G10" s="25" t="str">
        <f aca="false">IF($A10="","",IF(SUMPRODUCT(('Daily Checklist'!$D$2:$D$2000=$A10)*(TEXT('Daily Checklist'!$B$2:$B$2000,"yyyy-mm-dd")=TEXT(($B$4+5),"yyyy-mm-dd")))=0,"-",IF(SUMPRODUCT(('Daily Checklist'!$D$2:$D$2000=$A10)*(TEXT('Daily Checklist'!$B$2:$B$2000,"yyyy-mm-dd")=TEXT(($B$4+5),"yyyy-mm-dd"))*('Daily Checklist'!$L$2:$L$2000="Y"))&gt;0,SUMPRODUCT(('Daily Checklist'!$D$2:$D$2000=$A10)*(TEXT('Daily Checklist'!$B$2:$B$2000,"yyyy-mm-dd")=TEXT(($B$4+5),"yyyy-mm-dd"))*('Daily Checklist'!$F$2:$F$2000="Done"))&amp;"/"&amp;SUMPRODUCT(('Daily Checklist'!$D$2:$D$2000=$A10)*(TEXT('Daily Checklist'!$B$2:$B$2000,"yyyy-mm-dd")=TEXT(($B$4+5),"yyyy-mm-dd")))&amp;" ESC",SUMPRODUCT(('Daily Checklist'!$D$2:$D$2000=$A10)*(TEXT('Daily Checklist'!$B$2:$B$2000,"yyyy-mm-dd")=TEXT(($B$4+5),"yyyy-mm-dd"))*('Daily Checklist'!$F$2:$F$2000="Done"))&amp;"/"&amp;SUMPRODUCT(('Daily Checklist'!$D$2:$D$2000=$A10)*(TEXT('Daily Checklist'!$B$2:$B$2000,"yyyy-mm-dd")=TEXT(($B$4+5),"yyyy-mm-dd"))))))</f>
        <v>-</v>
      </c>
      <c r="H10" s="25" t="str">
        <f aca="false">IF($A10="","",IF(SUMPRODUCT(('Daily Checklist'!$D$2:$D$2000=$A10)*(TEXT('Daily Checklist'!$B$2:$B$2000,"yyyy-mm-dd")=TEXT(($B$4+6),"yyyy-mm-dd")))=0,"-",IF(SUMPRODUCT(('Daily Checklist'!$D$2:$D$2000=$A10)*(TEXT('Daily Checklist'!$B$2:$B$2000,"yyyy-mm-dd")=TEXT(($B$4+6),"yyyy-mm-dd"))*('Daily Checklist'!$L$2:$L$2000="Y"))&gt;0,SUMPRODUCT(('Daily Checklist'!$D$2:$D$2000=$A10)*(TEXT('Daily Checklist'!$B$2:$B$2000,"yyyy-mm-dd")=TEXT(($B$4+6),"yyyy-mm-dd"))*('Daily Checklist'!$F$2:$F$2000="Done"))&amp;"/"&amp;SUMPRODUCT(('Daily Checklist'!$D$2:$D$2000=$A10)*(TEXT('Daily Checklist'!$B$2:$B$2000,"yyyy-mm-dd")=TEXT(($B$4+6),"yyyy-mm-dd")))&amp;" ESC",SUMPRODUCT(('Daily Checklist'!$D$2:$D$2000=$A10)*(TEXT('Daily Checklist'!$B$2:$B$2000,"yyyy-mm-dd")=TEXT(($B$4+6),"yyyy-mm-dd"))*('Daily Checklist'!$F$2:$F$2000="Done"))&amp;"/"&amp;SUMPRODUCT(('Daily Checklist'!$D$2:$D$2000=$A10)*(TEXT('Daily Checklist'!$B$2:$B$2000,"yyyy-mm-dd")=TEXT(($B$4+6),"yyyy-mm-dd"))))))</f>
        <v>-</v>
      </c>
      <c r="I10" s="25" t="str">
        <f aca="false">IF($A10="","",IF(SUMPRODUCT(('Daily Checklist'!$D$2:$D$2000=$A10)*(TEXT('Daily Checklist'!$B$2:$B$2000,"yyyy-mm-dd")=TEXT(($B$4+7),"yyyy-mm-dd")))=0,"-",IF(SUMPRODUCT(('Daily Checklist'!$D$2:$D$2000=$A10)*(TEXT('Daily Checklist'!$B$2:$B$2000,"yyyy-mm-dd")=TEXT(($B$4+7),"yyyy-mm-dd"))*('Daily Checklist'!$L$2:$L$2000="Y"))&gt;0,SUMPRODUCT(('Daily Checklist'!$D$2:$D$2000=$A10)*(TEXT('Daily Checklist'!$B$2:$B$2000,"yyyy-mm-dd")=TEXT(($B$4+7),"yyyy-mm-dd"))*('Daily Checklist'!$F$2:$F$2000="Done"))&amp;"/"&amp;SUMPRODUCT(('Daily Checklist'!$D$2:$D$2000=$A10)*(TEXT('Daily Checklist'!$B$2:$B$2000,"yyyy-mm-dd")=TEXT(($B$4+7),"yyyy-mm-dd")))&amp;" ESC",SUMPRODUCT(('Daily Checklist'!$D$2:$D$2000=$A10)*(TEXT('Daily Checklist'!$B$2:$B$2000,"yyyy-mm-dd")=TEXT(($B$4+7),"yyyy-mm-dd"))*('Daily Checklist'!$F$2:$F$2000="Done"))&amp;"/"&amp;SUMPRODUCT(('Daily Checklist'!$D$2:$D$2000=$A10)*(TEXT('Daily Checklist'!$B$2:$B$2000,"yyyy-mm-dd")=TEXT(($B$4+7),"yyyy-mm-dd"))))))</f>
        <v>-</v>
      </c>
      <c r="J10" s="25" t="str">
        <f aca="false">IF($A10="","",IF(SUMPRODUCT(('Daily Checklist'!$D$2:$D$2000=$A10)*(TEXT('Daily Checklist'!$B$2:$B$2000,"yyyy-mm-dd")=TEXT(($B$4+8),"yyyy-mm-dd")))=0,"-",IF(SUMPRODUCT(('Daily Checklist'!$D$2:$D$2000=$A10)*(TEXT('Daily Checklist'!$B$2:$B$2000,"yyyy-mm-dd")=TEXT(($B$4+8),"yyyy-mm-dd"))*('Daily Checklist'!$L$2:$L$2000="Y"))&gt;0,SUMPRODUCT(('Daily Checklist'!$D$2:$D$2000=$A10)*(TEXT('Daily Checklist'!$B$2:$B$2000,"yyyy-mm-dd")=TEXT(($B$4+8),"yyyy-mm-dd"))*('Daily Checklist'!$F$2:$F$2000="Done"))&amp;"/"&amp;SUMPRODUCT(('Daily Checklist'!$D$2:$D$2000=$A10)*(TEXT('Daily Checklist'!$B$2:$B$2000,"yyyy-mm-dd")=TEXT(($B$4+8),"yyyy-mm-dd")))&amp;" ESC",SUMPRODUCT(('Daily Checklist'!$D$2:$D$2000=$A10)*(TEXT('Daily Checklist'!$B$2:$B$2000,"yyyy-mm-dd")=TEXT(($B$4+8),"yyyy-mm-dd"))*('Daily Checklist'!$F$2:$F$2000="Done"))&amp;"/"&amp;SUMPRODUCT(('Daily Checklist'!$D$2:$D$2000=$A10)*(TEXT('Daily Checklist'!$B$2:$B$2000,"yyyy-mm-dd")=TEXT(($B$4+8),"yyyy-mm-dd"))))))</f>
        <v>-</v>
      </c>
      <c r="K10" s="25" t="str">
        <f aca="false">IF($A10="","",IF(SUMPRODUCT(('Daily Checklist'!$D$2:$D$2000=$A10)*(TEXT('Daily Checklist'!$B$2:$B$2000,"yyyy-mm-dd")=TEXT(($B$4+9),"yyyy-mm-dd")))=0,"-",IF(SUMPRODUCT(('Daily Checklist'!$D$2:$D$2000=$A10)*(TEXT('Daily Checklist'!$B$2:$B$2000,"yyyy-mm-dd")=TEXT(($B$4+9),"yyyy-mm-dd"))*('Daily Checklist'!$L$2:$L$2000="Y"))&gt;0,SUMPRODUCT(('Daily Checklist'!$D$2:$D$2000=$A10)*(TEXT('Daily Checklist'!$B$2:$B$2000,"yyyy-mm-dd")=TEXT(($B$4+9),"yyyy-mm-dd"))*('Daily Checklist'!$F$2:$F$2000="Done"))&amp;"/"&amp;SUMPRODUCT(('Daily Checklist'!$D$2:$D$2000=$A10)*(TEXT('Daily Checklist'!$B$2:$B$2000,"yyyy-mm-dd")=TEXT(($B$4+9),"yyyy-mm-dd")))&amp;" ESC",SUMPRODUCT(('Daily Checklist'!$D$2:$D$2000=$A10)*(TEXT('Daily Checklist'!$B$2:$B$2000,"yyyy-mm-dd")=TEXT(($B$4+9),"yyyy-mm-dd"))*('Daily Checklist'!$F$2:$F$2000="Done"))&amp;"/"&amp;SUMPRODUCT(('Daily Checklist'!$D$2:$D$2000=$A10)*(TEXT('Daily Checklist'!$B$2:$B$2000,"yyyy-mm-dd")=TEXT(($B$4+9),"yyyy-mm-dd"))))))</f>
        <v>-</v>
      </c>
      <c r="L10" s="25" t="str">
        <f aca="false">IF($A10="","",IF(SUMPRODUCT(('Daily Checklist'!$D$2:$D$2000=$A10)*(TEXT('Daily Checklist'!$B$2:$B$2000,"yyyy-mm-dd")=TEXT(($B$4+10),"yyyy-mm-dd")))=0,"-",IF(SUMPRODUCT(('Daily Checklist'!$D$2:$D$2000=$A10)*(TEXT('Daily Checklist'!$B$2:$B$2000,"yyyy-mm-dd")=TEXT(($B$4+10),"yyyy-mm-dd"))*('Daily Checklist'!$L$2:$L$2000="Y"))&gt;0,SUMPRODUCT(('Daily Checklist'!$D$2:$D$2000=$A10)*(TEXT('Daily Checklist'!$B$2:$B$2000,"yyyy-mm-dd")=TEXT(($B$4+10),"yyyy-mm-dd"))*('Daily Checklist'!$F$2:$F$2000="Done"))&amp;"/"&amp;SUMPRODUCT(('Daily Checklist'!$D$2:$D$2000=$A10)*(TEXT('Daily Checklist'!$B$2:$B$2000,"yyyy-mm-dd")=TEXT(($B$4+10),"yyyy-mm-dd")))&amp;" ESC",SUMPRODUCT(('Daily Checklist'!$D$2:$D$2000=$A10)*(TEXT('Daily Checklist'!$B$2:$B$2000,"yyyy-mm-dd")=TEXT(($B$4+10),"yyyy-mm-dd"))*('Daily Checklist'!$F$2:$F$2000="Done"))&amp;"/"&amp;SUMPRODUCT(('Daily Checklist'!$D$2:$D$2000=$A10)*(TEXT('Daily Checklist'!$B$2:$B$2000,"yyyy-mm-dd")=TEXT(($B$4+10),"yyyy-mm-dd"))))))</f>
        <v>-</v>
      </c>
      <c r="M10" s="25" t="str">
        <f aca="false">IF($A10="","",IF(SUMPRODUCT(('Daily Checklist'!$D$2:$D$2000=$A10)*(TEXT('Daily Checklist'!$B$2:$B$2000,"yyyy-mm-dd")=TEXT(($B$4+11),"yyyy-mm-dd")))=0,"-",IF(SUMPRODUCT(('Daily Checklist'!$D$2:$D$2000=$A10)*(TEXT('Daily Checklist'!$B$2:$B$2000,"yyyy-mm-dd")=TEXT(($B$4+11),"yyyy-mm-dd"))*('Daily Checklist'!$L$2:$L$2000="Y"))&gt;0,SUMPRODUCT(('Daily Checklist'!$D$2:$D$2000=$A10)*(TEXT('Daily Checklist'!$B$2:$B$2000,"yyyy-mm-dd")=TEXT(($B$4+11),"yyyy-mm-dd"))*('Daily Checklist'!$F$2:$F$2000="Done"))&amp;"/"&amp;SUMPRODUCT(('Daily Checklist'!$D$2:$D$2000=$A10)*(TEXT('Daily Checklist'!$B$2:$B$2000,"yyyy-mm-dd")=TEXT(($B$4+11),"yyyy-mm-dd")))&amp;" ESC",SUMPRODUCT(('Daily Checklist'!$D$2:$D$2000=$A10)*(TEXT('Daily Checklist'!$B$2:$B$2000,"yyyy-mm-dd")=TEXT(($B$4+11),"yyyy-mm-dd"))*('Daily Checklist'!$F$2:$F$2000="Done"))&amp;"/"&amp;SUMPRODUCT(('Daily Checklist'!$D$2:$D$2000=$A10)*(TEXT('Daily Checklist'!$B$2:$B$2000,"yyyy-mm-dd")=TEXT(($B$4+11),"yyyy-mm-dd"))))))</f>
        <v>-</v>
      </c>
      <c r="N10" s="25" t="str">
        <f aca="false">IF($A10="","",IF(SUMPRODUCT(('Daily Checklist'!$D$2:$D$2000=$A10)*(TEXT('Daily Checklist'!$B$2:$B$2000,"yyyy-mm-dd")=TEXT(($B$4+12),"yyyy-mm-dd")))=0,"-",IF(SUMPRODUCT(('Daily Checklist'!$D$2:$D$2000=$A10)*(TEXT('Daily Checklist'!$B$2:$B$2000,"yyyy-mm-dd")=TEXT(($B$4+12),"yyyy-mm-dd"))*('Daily Checklist'!$L$2:$L$2000="Y"))&gt;0,SUMPRODUCT(('Daily Checklist'!$D$2:$D$2000=$A10)*(TEXT('Daily Checklist'!$B$2:$B$2000,"yyyy-mm-dd")=TEXT(($B$4+12),"yyyy-mm-dd"))*('Daily Checklist'!$F$2:$F$2000="Done"))&amp;"/"&amp;SUMPRODUCT(('Daily Checklist'!$D$2:$D$2000=$A10)*(TEXT('Daily Checklist'!$B$2:$B$2000,"yyyy-mm-dd")=TEXT(($B$4+12),"yyyy-mm-dd")))&amp;" ESC",SUMPRODUCT(('Daily Checklist'!$D$2:$D$2000=$A10)*(TEXT('Daily Checklist'!$B$2:$B$2000,"yyyy-mm-dd")=TEXT(($B$4+12),"yyyy-mm-dd"))*('Daily Checklist'!$F$2:$F$2000="Done"))&amp;"/"&amp;SUMPRODUCT(('Daily Checklist'!$D$2:$D$2000=$A10)*(TEXT('Daily Checklist'!$B$2:$B$2000,"yyyy-mm-dd")=TEXT(($B$4+12),"yyyy-mm-dd"))))))</f>
        <v>-</v>
      </c>
      <c r="O10" s="25" t="str">
        <f aca="false">IF($A10="","",IF(SUMPRODUCT(('Daily Checklist'!$D$2:$D$2000=$A10)*(TEXT('Daily Checklist'!$B$2:$B$2000,"yyyy-mm-dd")=TEXT(($B$4+13),"yyyy-mm-dd")))=0,"-",IF(SUMPRODUCT(('Daily Checklist'!$D$2:$D$2000=$A10)*(TEXT('Daily Checklist'!$B$2:$B$2000,"yyyy-mm-dd")=TEXT(($B$4+13),"yyyy-mm-dd"))*('Daily Checklist'!$L$2:$L$2000="Y"))&gt;0,SUMPRODUCT(('Daily Checklist'!$D$2:$D$2000=$A10)*(TEXT('Daily Checklist'!$B$2:$B$2000,"yyyy-mm-dd")=TEXT(($B$4+13),"yyyy-mm-dd"))*('Daily Checklist'!$F$2:$F$2000="Done"))&amp;"/"&amp;SUMPRODUCT(('Daily Checklist'!$D$2:$D$2000=$A10)*(TEXT('Daily Checklist'!$B$2:$B$2000,"yyyy-mm-dd")=TEXT(($B$4+13),"yyyy-mm-dd")))&amp;" ESC",SUMPRODUCT(('Daily Checklist'!$D$2:$D$2000=$A10)*(TEXT('Daily Checklist'!$B$2:$B$2000,"yyyy-mm-dd")=TEXT(($B$4+13),"yyyy-mm-dd"))*('Daily Checklist'!$F$2:$F$2000="Done"))&amp;"/"&amp;SUMPRODUCT(('Daily Checklist'!$D$2:$D$2000=$A10)*(TEXT('Daily Checklist'!$B$2:$B$2000,"yyyy-mm-dd")=TEXT(($B$4+13),"yyyy-mm-dd"))))))</f>
        <v>-</v>
      </c>
      <c r="P10" s="25" t="str">
        <f aca="false">IF($A10="","",IF(SUMPRODUCT(('Daily Checklist'!$D$2:$D$2000=$A10)*(TEXT('Daily Checklist'!$B$2:$B$2000,"yyyy-mm-dd")=TEXT(($B$4+14),"yyyy-mm-dd")))=0,"-",IF(SUMPRODUCT(('Daily Checklist'!$D$2:$D$2000=$A10)*(TEXT('Daily Checklist'!$B$2:$B$2000,"yyyy-mm-dd")=TEXT(($B$4+14),"yyyy-mm-dd"))*('Daily Checklist'!$L$2:$L$2000="Y"))&gt;0,SUMPRODUCT(('Daily Checklist'!$D$2:$D$2000=$A10)*(TEXT('Daily Checklist'!$B$2:$B$2000,"yyyy-mm-dd")=TEXT(($B$4+14),"yyyy-mm-dd"))*('Daily Checklist'!$F$2:$F$2000="Done"))&amp;"/"&amp;SUMPRODUCT(('Daily Checklist'!$D$2:$D$2000=$A10)*(TEXT('Daily Checklist'!$B$2:$B$2000,"yyyy-mm-dd")=TEXT(($B$4+14),"yyyy-mm-dd")))&amp;" ESC",SUMPRODUCT(('Daily Checklist'!$D$2:$D$2000=$A10)*(TEXT('Daily Checklist'!$B$2:$B$2000,"yyyy-mm-dd")=TEXT(($B$4+14),"yyyy-mm-dd"))*('Daily Checklist'!$F$2:$F$2000="Done"))&amp;"/"&amp;SUMPRODUCT(('Daily Checklist'!$D$2:$D$2000=$A10)*(TEXT('Daily Checklist'!$B$2:$B$2000,"yyyy-mm-dd")=TEXT(($B$4+14),"yyyy-mm-dd"))))))</f>
        <v>-</v>
      </c>
      <c r="Q10" s="25" t="str">
        <f aca="false">IF($A10="","",IF(SUMPRODUCT(('Daily Checklist'!$D$2:$D$2000=$A10)*(TEXT('Daily Checklist'!$B$2:$B$2000,"yyyy-mm-dd")=TEXT(($B$4+15),"yyyy-mm-dd")))=0,"-",IF(SUMPRODUCT(('Daily Checklist'!$D$2:$D$2000=$A10)*(TEXT('Daily Checklist'!$B$2:$B$2000,"yyyy-mm-dd")=TEXT(($B$4+15),"yyyy-mm-dd"))*('Daily Checklist'!$L$2:$L$2000="Y"))&gt;0,SUMPRODUCT(('Daily Checklist'!$D$2:$D$2000=$A10)*(TEXT('Daily Checklist'!$B$2:$B$2000,"yyyy-mm-dd")=TEXT(($B$4+15),"yyyy-mm-dd"))*('Daily Checklist'!$F$2:$F$2000="Done"))&amp;"/"&amp;SUMPRODUCT(('Daily Checklist'!$D$2:$D$2000=$A10)*(TEXT('Daily Checklist'!$B$2:$B$2000,"yyyy-mm-dd")=TEXT(($B$4+15),"yyyy-mm-dd")))&amp;" ESC",SUMPRODUCT(('Daily Checklist'!$D$2:$D$2000=$A10)*(TEXT('Daily Checklist'!$B$2:$B$2000,"yyyy-mm-dd")=TEXT(($B$4+15),"yyyy-mm-dd"))*('Daily Checklist'!$F$2:$F$2000="Done"))&amp;"/"&amp;SUMPRODUCT(('Daily Checklist'!$D$2:$D$2000=$A10)*(TEXT('Daily Checklist'!$B$2:$B$2000,"yyyy-mm-dd")=TEXT(($B$4+15),"yyyy-mm-dd"))))))</f>
        <v>-</v>
      </c>
      <c r="R10" s="25" t="str">
        <f aca="false">IF($A10="","",IF(SUMPRODUCT(('Daily Checklist'!$D$2:$D$2000=$A10)*(TEXT('Daily Checklist'!$B$2:$B$2000,"yyyy-mm-dd")=TEXT(($B$4+16),"yyyy-mm-dd")))=0,"-",IF(SUMPRODUCT(('Daily Checklist'!$D$2:$D$2000=$A10)*(TEXT('Daily Checklist'!$B$2:$B$2000,"yyyy-mm-dd")=TEXT(($B$4+16),"yyyy-mm-dd"))*('Daily Checklist'!$L$2:$L$2000="Y"))&gt;0,SUMPRODUCT(('Daily Checklist'!$D$2:$D$2000=$A10)*(TEXT('Daily Checklist'!$B$2:$B$2000,"yyyy-mm-dd")=TEXT(($B$4+16),"yyyy-mm-dd"))*('Daily Checklist'!$F$2:$F$2000="Done"))&amp;"/"&amp;SUMPRODUCT(('Daily Checklist'!$D$2:$D$2000=$A10)*(TEXT('Daily Checklist'!$B$2:$B$2000,"yyyy-mm-dd")=TEXT(($B$4+16),"yyyy-mm-dd")))&amp;" ESC",SUMPRODUCT(('Daily Checklist'!$D$2:$D$2000=$A10)*(TEXT('Daily Checklist'!$B$2:$B$2000,"yyyy-mm-dd")=TEXT(($B$4+16),"yyyy-mm-dd"))*('Daily Checklist'!$F$2:$F$2000="Done"))&amp;"/"&amp;SUMPRODUCT(('Daily Checklist'!$D$2:$D$2000=$A10)*(TEXT('Daily Checklist'!$B$2:$B$2000,"yyyy-mm-dd")=TEXT(($B$4+16),"yyyy-mm-dd"))))))</f>
        <v>-</v>
      </c>
      <c r="S10" s="25" t="str">
        <f aca="false">IF($A10="","",IF(SUMPRODUCT(('Daily Checklist'!$D$2:$D$2000=$A10)*(TEXT('Daily Checklist'!$B$2:$B$2000,"yyyy-mm-dd")=TEXT(($B$4+17),"yyyy-mm-dd")))=0,"-",IF(SUMPRODUCT(('Daily Checklist'!$D$2:$D$2000=$A10)*(TEXT('Daily Checklist'!$B$2:$B$2000,"yyyy-mm-dd")=TEXT(($B$4+17),"yyyy-mm-dd"))*('Daily Checklist'!$L$2:$L$2000="Y"))&gt;0,SUMPRODUCT(('Daily Checklist'!$D$2:$D$2000=$A10)*(TEXT('Daily Checklist'!$B$2:$B$2000,"yyyy-mm-dd")=TEXT(($B$4+17),"yyyy-mm-dd"))*('Daily Checklist'!$F$2:$F$2000="Done"))&amp;"/"&amp;SUMPRODUCT(('Daily Checklist'!$D$2:$D$2000=$A10)*(TEXT('Daily Checklist'!$B$2:$B$2000,"yyyy-mm-dd")=TEXT(($B$4+17),"yyyy-mm-dd")))&amp;" ESC",SUMPRODUCT(('Daily Checklist'!$D$2:$D$2000=$A10)*(TEXT('Daily Checklist'!$B$2:$B$2000,"yyyy-mm-dd")=TEXT(($B$4+17),"yyyy-mm-dd"))*('Daily Checklist'!$F$2:$F$2000="Done"))&amp;"/"&amp;SUMPRODUCT(('Daily Checklist'!$D$2:$D$2000=$A10)*(TEXT('Daily Checklist'!$B$2:$B$2000,"yyyy-mm-dd")=TEXT(($B$4+17),"yyyy-mm-dd"))))))</f>
        <v>-</v>
      </c>
      <c r="T10" s="25" t="str">
        <f aca="false">IF($A10="","",IF(SUMPRODUCT(('Daily Checklist'!$D$2:$D$2000=$A10)*(TEXT('Daily Checklist'!$B$2:$B$2000,"yyyy-mm-dd")=TEXT(($B$4+18),"yyyy-mm-dd")))=0,"-",IF(SUMPRODUCT(('Daily Checklist'!$D$2:$D$2000=$A10)*(TEXT('Daily Checklist'!$B$2:$B$2000,"yyyy-mm-dd")=TEXT(($B$4+18),"yyyy-mm-dd"))*('Daily Checklist'!$L$2:$L$2000="Y"))&gt;0,SUMPRODUCT(('Daily Checklist'!$D$2:$D$2000=$A10)*(TEXT('Daily Checklist'!$B$2:$B$2000,"yyyy-mm-dd")=TEXT(($B$4+18),"yyyy-mm-dd"))*('Daily Checklist'!$F$2:$F$2000="Done"))&amp;"/"&amp;SUMPRODUCT(('Daily Checklist'!$D$2:$D$2000=$A10)*(TEXT('Daily Checklist'!$B$2:$B$2000,"yyyy-mm-dd")=TEXT(($B$4+18),"yyyy-mm-dd")))&amp;" ESC",SUMPRODUCT(('Daily Checklist'!$D$2:$D$2000=$A10)*(TEXT('Daily Checklist'!$B$2:$B$2000,"yyyy-mm-dd")=TEXT(($B$4+18),"yyyy-mm-dd"))*('Daily Checklist'!$F$2:$F$2000="Done"))&amp;"/"&amp;SUMPRODUCT(('Daily Checklist'!$D$2:$D$2000=$A10)*(TEXT('Daily Checklist'!$B$2:$B$2000,"yyyy-mm-dd")=TEXT(($B$4+18),"yyyy-mm-dd"))))))</f>
        <v>-</v>
      </c>
      <c r="U10" s="25" t="str">
        <f aca="false">IF($A10="","",IF(SUMPRODUCT(('Daily Checklist'!$D$2:$D$2000=$A10)*(TEXT('Daily Checklist'!$B$2:$B$2000,"yyyy-mm-dd")=TEXT(($B$4+19),"yyyy-mm-dd")))=0,"-",IF(SUMPRODUCT(('Daily Checklist'!$D$2:$D$2000=$A10)*(TEXT('Daily Checklist'!$B$2:$B$2000,"yyyy-mm-dd")=TEXT(($B$4+19),"yyyy-mm-dd"))*('Daily Checklist'!$L$2:$L$2000="Y"))&gt;0,SUMPRODUCT(('Daily Checklist'!$D$2:$D$2000=$A10)*(TEXT('Daily Checklist'!$B$2:$B$2000,"yyyy-mm-dd")=TEXT(($B$4+19),"yyyy-mm-dd"))*('Daily Checklist'!$F$2:$F$2000="Done"))&amp;"/"&amp;SUMPRODUCT(('Daily Checklist'!$D$2:$D$2000=$A10)*(TEXT('Daily Checklist'!$B$2:$B$2000,"yyyy-mm-dd")=TEXT(($B$4+19),"yyyy-mm-dd")))&amp;" ESC",SUMPRODUCT(('Daily Checklist'!$D$2:$D$2000=$A10)*(TEXT('Daily Checklist'!$B$2:$B$2000,"yyyy-mm-dd")=TEXT(($B$4+19),"yyyy-mm-dd"))*('Daily Checklist'!$F$2:$F$2000="Done"))&amp;"/"&amp;SUMPRODUCT(('Daily Checklist'!$D$2:$D$2000=$A10)*(TEXT('Daily Checklist'!$B$2:$B$2000,"yyyy-mm-dd")=TEXT(($B$4+19),"yyyy-mm-dd"))))))</f>
        <v>-</v>
      </c>
      <c r="V10" s="25" t="str">
        <f aca="false">IF($A10="","",IF(SUMPRODUCT(('Daily Checklist'!$D$2:$D$2000=$A10)*(TEXT('Daily Checklist'!$B$2:$B$2000,"yyyy-mm-dd")=TEXT(($B$4+20),"yyyy-mm-dd")))=0,"-",IF(SUMPRODUCT(('Daily Checklist'!$D$2:$D$2000=$A10)*(TEXT('Daily Checklist'!$B$2:$B$2000,"yyyy-mm-dd")=TEXT(($B$4+20),"yyyy-mm-dd"))*('Daily Checklist'!$L$2:$L$2000="Y"))&gt;0,SUMPRODUCT(('Daily Checklist'!$D$2:$D$2000=$A10)*(TEXT('Daily Checklist'!$B$2:$B$2000,"yyyy-mm-dd")=TEXT(($B$4+20),"yyyy-mm-dd"))*('Daily Checklist'!$F$2:$F$2000="Done"))&amp;"/"&amp;SUMPRODUCT(('Daily Checklist'!$D$2:$D$2000=$A10)*(TEXT('Daily Checklist'!$B$2:$B$2000,"yyyy-mm-dd")=TEXT(($B$4+20),"yyyy-mm-dd")))&amp;" ESC",SUMPRODUCT(('Daily Checklist'!$D$2:$D$2000=$A10)*(TEXT('Daily Checklist'!$B$2:$B$2000,"yyyy-mm-dd")=TEXT(($B$4+20),"yyyy-mm-dd"))*('Daily Checklist'!$F$2:$F$2000="Done"))&amp;"/"&amp;SUMPRODUCT(('Daily Checklist'!$D$2:$D$2000=$A10)*(TEXT('Daily Checklist'!$B$2:$B$2000,"yyyy-mm-dd")=TEXT(($B$4+20),"yyyy-mm-dd"))))))</f>
        <v>-</v>
      </c>
      <c r="W10" s="25" t="str">
        <f aca="false">IF($A10="","",IF(SUMPRODUCT(('Daily Checklist'!$D$2:$D$2000=$A10)*(TEXT('Daily Checklist'!$B$2:$B$2000,"yyyy-mm-dd")=TEXT(($B$4+21),"yyyy-mm-dd")))=0,"-",IF(SUMPRODUCT(('Daily Checklist'!$D$2:$D$2000=$A10)*(TEXT('Daily Checklist'!$B$2:$B$2000,"yyyy-mm-dd")=TEXT(($B$4+21),"yyyy-mm-dd"))*('Daily Checklist'!$L$2:$L$2000="Y"))&gt;0,SUMPRODUCT(('Daily Checklist'!$D$2:$D$2000=$A10)*(TEXT('Daily Checklist'!$B$2:$B$2000,"yyyy-mm-dd")=TEXT(($B$4+21),"yyyy-mm-dd"))*('Daily Checklist'!$F$2:$F$2000="Done"))&amp;"/"&amp;SUMPRODUCT(('Daily Checklist'!$D$2:$D$2000=$A10)*(TEXT('Daily Checklist'!$B$2:$B$2000,"yyyy-mm-dd")=TEXT(($B$4+21),"yyyy-mm-dd")))&amp;" ESC",SUMPRODUCT(('Daily Checklist'!$D$2:$D$2000=$A10)*(TEXT('Daily Checklist'!$B$2:$B$2000,"yyyy-mm-dd")=TEXT(($B$4+21),"yyyy-mm-dd"))*('Daily Checklist'!$F$2:$F$2000="Done"))&amp;"/"&amp;SUMPRODUCT(('Daily Checklist'!$D$2:$D$2000=$A10)*(TEXT('Daily Checklist'!$B$2:$B$2000,"yyyy-mm-dd")=TEXT(($B$4+21),"yyyy-mm-dd"))))))</f>
        <v>-</v>
      </c>
      <c r="X10" s="25" t="str">
        <f aca="false">IF($A10="","",IF(SUMPRODUCT(('Daily Checklist'!$D$2:$D$2000=$A10)*(TEXT('Daily Checklist'!$B$2:$B$2000,"yyyy-mm-dd")=TEXT(($B$4+22),"yyyy-mm-dd")))=0,"-",IF(SUMPRODUCT(('Daily Checklist'!$D$2:$D$2000=$A10)*(TEXT('Daily Checklist'!$B$2:$B$2000,"yyyy-mm-dd")=TEXT(($B$4+22),"yyyy-mm-dd"))*('Daily Checklist'!$L$2:$L$2000="Y"))&gt;0,SUMPRODUCT(('Daily Checklist'!$D$2:$D$2000=$A10)*(TEXT('Daily Checklist'!$B$2:$B$2000,"yyyy-mm-dd")=TEXT(($B$4+22),"yyyy-mm-dd"))*('Daily Checklist'!$F$2:$F$2000="Done"))&amp;"/"&amp;SUMPRODUCT(('Daily Checklist'!$D$2:$D$2000=$A10)*(TEXT('Daily Checklist'!$B$2:$B$2000,"yyyy-mm-dd")=TEXT(($B$4+22),"yyyy-mm-dd")))&amp;" ESC",SUMPRODUCT(('Daily Checklist'!$D$2:$D$2000=$A10)*(TEXT('Daily Checklist'!$B$2:$B$2000,"yyyy-mm-dd")=TEXT(($B$4+22),"yyyy-mm-dd"))*('Daily Checklist'!$F$2:$F$2000="Done"))&amp;"/"&amp;SUMPRODUCT(('Daily Checklist'!$D$2:$D$2000=$A10)*(TEXT('Daily Checklist'!$B$2:$B$2000,"yyyy-mm-dd")=TEXT(($B$4+22),"yyyy-mm-dd"))))))</f>
        <v>-</v>
      </c>
      <c r="Y10" s="25" t="str">
        <f aca="false">IF($A10="","",IF(SUMPRODUCT(('Daily Checklist'!$D$2:$D$2000=$A10)*(TEXT('Daily Checklist'!$B$2:$B$2000,"yyyy-mm-dd")=TEXT(($B$4+23),"yyyy-mm-dd")))=0,"-",IF(SUMPRODUCT(('Daily Checklist'!$D$2:$D$2000=$A10)*(TEXT('Daily Checklist'!$B$2:$B$2000,"yyyy-mm-dd")=TEXT(($B$4+23),"yyyy-mm-dd"))*('Daily Checklist'!$L$2:$L$2000="Y"))&gt;0,SUMPRODUCT(('Daily Checklist'!$D$2:$D$2000=$A10)*(TEXT('Daily Checklist'!$B$2:$B$2000,"yyyy-mm-dd")=TEXT(($B$4+23),"yyyy-mm-dd"))*('Daily Checklist'!$F$2:$F$2000="Done"))&amp;"/"&amp;SUMPRODUCT(('Daily Checklist'!$D$2:$D$2000=$A10)*(TEXT('Daily Checklist'!$B$2:$B$2000,"yyyy-mm-dd")=TEXT(($B$4+23),"yyyy-mm-dd")))&amp;" ESC",SUMPRODUCT(('Daily Checklist'!$D$2:$D$2000=$A10)*(TEXT('Daily Checklist'!$B$2:$B$2000,"yyyy-mm-dd")=TEXT(($B$4+23),"yyyy-mm-dd"))*('Daily Checklist'!$F$2:$F$2000="Done"))&amp;"/"&amp;SUMPRODUCT(('Daily Checklist'!$D$2:$D$2000=$A10)*(TEXT('Daily Checklist'!$B$2:$B$2000,"yyyy-mm-dd")=TEXT(($B$4+23),"yyyy-mm-dd"))))))</f>
        <v>-</v>
      </c>
      <c r="Z10" s="25" t="str">
        <f aca="false">IF($A10="","",IF(SUMPRODUCT(('Daily Checklist'!$D$2:$D$2000=$A10)*(TEXT('Daily Checklist'!$B$2:$B$2000,"yyyy-mm-dd")=TEXT(($B$4+24),"yyyy-mm-dd")))=0,"-",IF(SUMPRODUCT(('Daily Checklist'!$D$2:$D$2000=$A10)*(TEXT('Daily Checklist'!$B$2:$B$2000,"yyyy-mm-dd")=TEXT(($B$4+24),"yyyy-mm-dd"))*('Daily Checklist'!$L$2:$L$2000="Y"))&gt;0,SUMPRODUCT(('Daily Checklist'!$D$2:$D$2000=$A10)*(TEXT('Daily Checklist'!$B$2:$B$2000,"yyyy-mm-dd")=TEXT(($B$4+24),"yyyy-mm-dd"))*('Daily Checklist'!$F$2:$F$2000="Done"))&amp;"/"&amp;SUMPRODUCT(('Daily Checklist'!$D$2:$D$2000=$A10)*(TEXT('Daily Checklist'!$B$2:$B$2000,"yyyy-mm-dd")=TEXT(($B$4+24),"yyyy-mm-dd")))&amp;" ESC",SUMPRODUCT(('Daily Checklist'!$D$2:$D$2000=$A10)*(TEXT('Daily Checklist'!$B$2:$B$2000,"yyyy-mm-dd")=TEXT(($B$4+24),"yyyy-mm-dd"))*('Daily Checklist'!$F$2:$F$2000="Done"))&amp;"/"&amp;SUMPRODUCT(('Daily Checklist'!$D$2:$D$2000=$A10)*(TEXT('Daily Checklist'!$B$2:$B$2000,"yyyy-mm-dd")=TEXT(($B$4+24),"yyyy-mm-dd"))))))</f>
        <v>-</v>
      </c>
      <c r="AA10" s="25" t="str">
        <f aca="false">IF($A10="","",IF(SUMPRODUCT(('Daily Checklist'!$D$2:$D$2000=$A10)*(TEXT('Daily Checklist'!$B$2:$B$2000,"yyyy-mm-dd")=TEXT(($B$4+25),"yyyy-mm-dd")))=0,"-",IF(SUMPRODUCT(('Daily Checklist'!$D$2:$D$2000=$A10)*(TEXT('Daily Checklist'!$B$2:$B$2000,"yyyy-mm-dd")=TEXT(($B$4+25),"yyyy-mm-dd"))*('Daily Checklist'!$L$2:$L$2000="Y"))&gt;0,SUMPRODUCT(('Daily Checklist'!$D$2:$D$2000=$A10)*(TEXT('Daily Checklist'!$B$2:$B$2000,"yyyy-mm-dd")=TEXT(($B$4+25),"yyyy-mm-dd"))*('Daily Checklist'!$F$2:$F$2000="Done"))&amp;"/"&amp;SUMPRODUCT(('Daily Checklist'!$D$2:$D$2000=$A10)*(TEXT('Daily Checklist'!$B$2:$B$2000,"yyyy-mm-dd")=TEXT(($B$4+25),"yyyy-mm-dd")))&amp;" ESC",SUMPRODUCT(('Daily Checklist'!$D$2:$D$2000=$A10)*(TEXT('Daily Checklist'!$B$2:$B$2000,"yyyy-mm-dd")=TEXT(($B$4+25),"yyyy-mm-dd"))*('Daily Checklist'!$F$2:$F$2000="Done"))&amp;"/"&amp;SUMPRODUCT(('Daily Checklist'!$D$2:$D$2000=$A10)*(TEXT('Daily Checklist'!$B$2:$B$2000,"yyyy-mm-dd")=TEXT(($B$4+25),"yyyy-mm-dd"))))))</f>
        <v>-</v>
      </c>
      <c r="AB10" s="25" t="str">
        <f aca="false">IF($A10="","",IF(SUMPRODUCT(('Daily Checklist'!$D$2:$D$2000=$A10)*(TEXT('Daily Checklist'!$B$2:$B$2000,"yyyy-mm-dd")=TEXT(($B$4+26),"yyyy-mm-dd")))=0,"-",IF(SUMPRODUCT(('Daily Checklist'!$D$2:$D$2000=$A10)*(TEXT('Daily Checklist'!$B$2:$B$2000,"yyyy-mm-dd")=TEXT(($B$4+26),"yyyy-mm-dd"))*('Daily Checklist'!$L$2:$L$2000="Y"))&gt;0,SUMPRODUCT(('Daily Checklist'!$D$2:$D$2000=$A10)*(TEXT('Daily Checklist'!$B$2:$B$2000,"yyyy-mm-dd")=TEXT(($B$4+26),"yyyy-mm-dd"))*('Daily Checklist'!$F$2:$F$2000="Done"))&amp;"/"&amp;SUMPRODUCT(('Daily Checklist'!$D$2:$D$2000=$A10)*(TEXT('Daily Checklist'!$B$2:$B$2000,"yyyy-mm-dd")=TEXT(($B$4+26),"yyyy-mm-dd")))&amp;" ESC",SUMPRODUCT(('Daily Checklist'!$D$2:$D$2000=$A10)*(TEXT('Daily Checklist'!$B$2:$B$2000,"yyyy-mm-dd")=TEXT(($B$4+26),"yyyy-mm-dd"))*('Daily Checklist'!$F$2:$F$2000="Done"))&amp;"/"&amp;SUMPRODUCT(('Daily Checklist'!$D$2:$D$2000=$A10)*(TEXT('Daily Checklist'!$B$2:$B$2000,"yyyy-mm-dd")=TEXT(($B$4+26),"yyyy-mm-dd"))))))</f>
        <v>-</v>
      </c>
      <c r="AC10" s="25" t="str">
        <f aca="false">IF($A10="","",IF(SUMPRODUCT(('Daily Checklist'!$D$2:$D$2000=$A10)*(TEXT('Daily Checklist'!$B$2:$B$2000,"yyyy-mm-dd")=TEXT(($B$4+27),"yyyy-mm-dd")))=0,"-",IF(SUMPRODUCT(('Daily Checklist'!$D$2:$D$2000=$A10)*(TEXT('Daily Checklist'!$B$2:$B$2000,"yyyy-mm-dd")=TEXT(($B$4+27),"yyyy-mm-dd"))*('Daily Checklist'!$L$2:$L$2000="Y"))&gt;0,SUMPRODUCT(('Daily Checklist'!$D$2:$D$2000=$A10)*(TEXT('Daily Checklist'!$B$2:$B$2000,"yyyy-mm-dd")=TEXT(($B$4+27),"yyyy-mm-dd"))*('Daily Checklist'!$F$2:$F$2000="Done"))&amp;"/"&amp;SUMPRODUCT(('Daily Checklist'!$D$2:$D$2000=$A10)*(TEXT('Daily Checklist'!$B$2:$B$2000,"yyyy-mm-dd")=TEXT(($B$4+27),"yyyy-mm-dd")))&amp;" ESC",SUMPRODUCT(('Daily Checklist'!$D$2:$D$2000=$A10)*(TEXT('Daily Checklist'!$B$2:$B$2000,"yyyy-mm-dd")=TEXT(($B$4+27),"yyyy-mm-dd"))*('Daily Checklist'!$F$2:$F$2000="Done"))&amp;"/"&amp;SUMPRODUCT(('Daily Checklist'!$D$2:$D$2000=$A10)*(TEXT('Daily Checklist'!$B$2:$B$2000,"yyyy-mm-dd")=TEXT(($B$4+27),"yyyy-mm-dd"))))))</f>
        <v>-</v>
      </c>
      <c r="AD10" s="25" t="str">
        <f aca="false">IF($A10="","",IF(SUMPRODUCT(('Daily Checklist'!$D$2:$D$2000=$A10)*(TEXT('Daily Checklist'!$B$2:$B$2000,"yyyy-mm-dd")=TEXT(($B$4+28),"yyyy-mm-dd")))=0,"-",IF(SUMPRODUCT(('Daily Checklist'!$D$2:$D$2000=$A10)*(TEXT('Daily Checklist'!$B$2:$B$2000,"yyyy-mm-dd")=TEXT(($B$4+28),"yyyy-mm-dd"))*('Daily Checklist'!$L$2:$L$2000="Y"))&gt;0,SUMPRODUCT(('Daily Checklist'!$D$2:$D$2000=$A10)*(TEXT('Daily Checklist'!$B$2:$B$2000,"yyyy-mm-dd")=TEXT(($B$4+28),"yyyy-mm-dd"))*('Daily Checklist'!$F$2:$F$2000="Done"))&amp;"/"&amp;SUMPRODUCT(('Daily Checklist'!$D$2:$D$2000=$A10)*(TEXT('Daily Checklist'!$B$2:$B$2000,"yyyy-mm-dd")=TEXT(($B$4+28),"yyyy-mm-dd")))&amp;" ESC",SUMPRODUCT(('Daily Checklist'!$D$2:$D$2000=$A10)*(TEXT('Daily Checklist'!$B$2:$B$2000,"yyyy-mm-dd")=TEXT(($B$4+28),"yyyy-mm-dd"))*('Daily Checklist'!$F$2:$F$2000="Done"))&amp;"/"&amp;SUMPRODUCT(('Daily Checklist'!$D$2:$D$2000=$A10)*(TEXT('Daily Checklist'!$B$2:$B$2000,"yyyy-mm-dd")=TEXT(($B$4+28),"yyyy-mm-dd"))))))</f>
        <v>-</v>
      </c>
      <c r="AE10" s="25" t="str">
        <f aca="false">IF($A10="","",IF(SUMPRODUCT(('Daily Checklist'!$D$2:$D$2000=$A10)*(TEXT('Daily Checklist'!$B$2:$B$2000,"yyyy-mm-dd")=TEXT(($B$4+29),"yyyy-mm-dd")))=0,"-",IF(SUMPRODUCT(('Daily Checklist'!$D$2:$D$2000=$A10)*(TEXT('Daily Checklist'!$B$2:$B$2000,"yyyy-mm-dd")=TEXT(($B$4+29),"yyyy-mm-dd"))*('Daily Checklist'!$L$2:$L$2000="Y"))&gt;0,SUMPRODUCT(('Daily Checklist'!$D$2:$D$2000=$A10)*(TEXT('Daily Checklist'!$B$2:$B$2000,"yyyy-mm-dd")=TEXT(($B$4+29),"yyyy-mm-dd"))*('Daily Checklist'!$F$2:$F$2000="Done"))&amp;"/"&amp;SUMPRODUCT(('Daily Checklist'!$D$2:$D$2000=$A10)*(TEXT('Daily Checklist'!$B$2:$B$2000,"yyyy-mm-dd")=TEXT(($B$4+29),"yyyy-mm-dd")))&amp;" ESC",SUMPRODUCT(('Daily Checklist'!$D$2:$D$2000=$A10)*(TEXT('Daily Checklist'!$B$2:$B$2000,"yyyy-mm-dd")=TEXT(($B$4+29),"yyyy-mm-dd"))*('Daily Checklist'!$F$2:$F$2000="Done"))&amp;"/"&amp;SUMPRODUCT(('Daily Checklist'!$D$2:$D$2000=$A10)*(TEXT('Daily Checklist'!$B$2:$B$2000,"yyyy-mm-dd")=TEXT(($B$4+29),"yyyy-mm-dd"))))))</f>
        <v>-</v>
      </c>
      <c r="AF10" s="25" t="str">
        <f aca="false">IF($A10="","",IF(SUMPRODUCT(('Daily Checklist'!$D$2:$D$2000=$A10)*(TEXT('Daily Checklist'!$B$2:$B$2000,"yyyy-mm-dd")=TEXT(($B$4+30),"yyyy-mm-dd")))=0,"-",IF(SUMPRODUCT(('Daily Checklist'!$D$2:$D$2000=$A10)*(TEXT('Daily Checklist'!$B$2:$B$2000,"yyyy-mm-dd")=TEXT(($B$4+30),"yyyy-mm-dd"))*('Daily Checklist'!$L$2:$L$2000="Y"))&gt;0,SUMPRODUCT(('Daily Checklist'!$D$2:$D$2000=$A10)*(TEXT('Daily Checklist'!$B$2:$B$2000,"yyyy-mm-dd")=TEXT(($B$4+30),"yyyy-mm-dd"))*('Daily Checklist'!$F$2:$F$2000="Done"))&amp;"/"&amp;SUMPRODUCT(('Daily Checklist'!$D$2:$D$2000=$A10)*(TEXT('Daily Checklist'!$B$2:$B$2000,"yyyy-mm-dd")=TEXT(($B$4+30),"yyyy-mm-dd")))&amp;" ESC",SUMPRODUCT(('Daily Checklist'!$D$2:$D$2000=$A10)*(TEXT('Daily Checklist'!$B$2:$B$2000,"yyyy-mm-dd")=TEXT(($B$4+30),"yyyy-mm-dd"))*('Daily Checklist'!$F$2:$F$2000="Done"))&amp;"/"&amp;SUMPRODUCT(('Daily Checklist'!$D$2:$D$2000=$A10)*(TEXT('Daily Checklist'!$B$2:$B$2000,"yyyy-mm-dd")=TEXT(($B$4+30),"yyyy-mm-dd"))))))</f>
        <v>-</v>
      </c>
    </row>
    <row r="11" customFormat="false" ht="15" hidden="false" customHeight="true" outlineLevel="0" collapsed="false">
      <c r="A11" s="24" t="str">
        <f aca="false">IFERROR(IF(Employees!A6="","",Employees!A6),"")</f>
        <v>Rajeshwar Pandey</v>
      </c>
      <c r="B11" s="25" t="str">
        <f aca="false">IF($A11="","",IF(SUMPRODUCT(('Daily Checklist'!$D$2:$D$2000=$A11)*(TEXT('Daily Checklist'!$B$2:$B$2000,"yyyy-mm-dd")=TEXT(($B$4+0),"yyyy-mm-dd")))=0,"-",IF(SUMPRODUCT(('Daily Checklist'!$D$2:$D$2000=$A11)*(TEXT('Daily Checklist'!$B$2:$B$2000,"yyyy-mm-dd")=TEXT(($B$4+0),"yyyy-mm-dd"))*('Daily Checklist'!$L$2:$L$2000="Y"))&gt;0,SUMPRODUCT(('Daily Checklist'!$D$2:$D$2000=$A11)*(TEXT('Daily Checklist'!$B$2:$B$2000,"yyyy-mm-dd")=TEXT(($B$4+0),"yyyy-mm-dd"))*('Daily Checklist'!$F$2:$F$2000="Done"))&amp;"/"&amp;SUMPRODUCT(('Daily Checklist'!$D$2:$D$2000=$A11)*(TEXT('Daily Checklist'!$B$2:$B$2000,"yyyy-mm-dd")=TEXT(($B$4+0),"yyyy-mm-dd")))&amp;" ESC",SUMPRODUCT(('Daily Checklist'!$D$2:$D$2000=$A11)*(TEXT('Daily Checklist'!$B$2:$B$2000,"yyyy-mm-dd")=TEXT(($B$4+0),"yyyy-mm-dd"))*('Daily Checklist'!$F$2:$F$2000="Done"))&amp;"/"&amp;SUMPRODUCT(('Daily Checklist'!$D$2:$D$2000=$A11)*(TEXT('Daily Checklist'!$B$2:$B$2000,"yyyy-mm-dd")=TEXT(($B$4+0),"yyyy-mm-dd"))))))</f>
        <v>-</v>
      </c>
      <c r="C11" s="25" t="str">
        <f aca="false">IF($A11="","",IF(SUMPRODUCT(('Daily Checklist'!$D$2:$D$2000=$A11)*(TEXT('Daily Checklist'!$B$2:$B$2000,"yyyy-mm-dd")=TEXT(($B$4+1),"yyyy-mm-dd")))=0,"-",IF(SUMPRODUCT(('Daily Checklist'!$D$2:$D$2000=$A11)*(TEXT('Daily Checklist'!$B$2:$B$2000,"yyyy-mm-dd")=TEXT(($B$4+1),"yyyy-mm-dd"))*('Daily Checklist'!$L$2:$L$2000="Y"))&gt;0,SUMPRODUCT(('Daily Checklist'!$D$2:$D$2000=$A11)*(TEXT('Daily Checklist'!$B$2:$B$2000,"yyyy-mm-dd")=TEXT(($B$4+1),"yyyy-mm-dd"))*('Daily Checklist'!$F$2:$F$2000="Done"))&amp;"/"&amp;SUMPRODUCT(('Daily Checklist'!$D$2:$D$2000=$A11)*(TEXT('Daily Checklist'!$B$2:$B$2000,"yyyy-mm-dd")=TEXT(($B$4+1),"yyyy-mm-dd")))&amp;" ESC",SUMPRODUCT(('Daily Checklist'!$D$2:$D$2000=$A11)*(TEXT('Daily Checklist'!$B$2:$B$2000,"yyyy-mm-dd")=TEXT(($B$4+1),"yyyy-mm-dd"))*('Daily Checklist'!$F$2:$F$2000="Done"))&amp;"/"&amp;SUMPRODUCT(('Daily Checklist'!$D$2:$D$2000=$A11)*(TEXT('Daily Checklist'!$B$2:$B$2000,"yyyy-mm-dd")=TEXT(($B$4+1),"yyyy-mm-dd"))))))</f>
        <v>-</v>
      </c>
      <c r="D11" s="25" t="str">
        <f aca="false">IF($A11="","",IF(SUMPRODUCT(('Daily Checklist'!$D$2:$D$2000=$A11)*(TEXT('Daily Checklist'!$B$2:$B$2000,"yyyy-mm-dd")=TEXT(($B$4+2),"yyyy-mm-dd")))=0,"-",IF(SUMPRODUCT(('Daily Checklist'!$D$2:$D$2000=$A11)*(TEXT('Daily Checklist'!$B$2:$B$2000,"yyyy-mm-dd")=TEXT(($B$4+2),"yyyy-mm-dd"))*('Daily Checklist'!$L$2:$L$2000="Y"))&gt;0,SUMPRODUCT(('Daily Checklist'!$D$2:$D$2000=$A11)*(TEXT('Daily Checklist'!$B$2:$B$2000,"yyyy-mm-dd")=TEXT(($B$4+2),"yyyy-mm-dd"))*('Daily Checklist'!$F$2:$F$2000="Done"))&amp;"/"&amp;SUMPRODUCT(('Daily Checklist'!$D$2:$D$2000=$A11)*(TEXT('Daily Checklist'!$B$2:$B$2000,"yyyy-mm-dd")=TEXT(($B$4+2),"yyyy-mm-dd")))&amp;" ESC",SUMPRODUCT(('Daily Checklist'!$D$2:$D$2000=$A11)*(TEXT('Daily Checklist'!$B$2:$B$2000,"yyyy-mm-dd")=TEXT(($B$4+2),"yyyy-mm-dd"))*('Daily Checklist'!$F$2:$F$2000="Done"))&amp;"/"&amp;SUMPRODUCT(('Daily Checklist'!$D$2:$D$2000=$A11)*(TEXT('Daily Checklist'!$B$2:$B$2000,"yyyy-mm-dd")=TEXT(($B$4+2),"yyyy-mm-dd"))))))</f>
        <v>-</v>
      </c>
      <c r="E11" s="25" t="str">
        <f aca="false">IF($A11="","",IF(SUMPRODUCT(('Daily Checklist'!$D$2:$D$2000=$A11)*(TEXT('Daily Checklist'!$B$2:$B$2000,"yyyy-mm-dd")=TEXT(($B$4+3),"yyyy-mm-dd")))=0,"-",IF(SUMPRODUCT(('Daily Checklist'!$D$2:$D$2000=$A11)*(TEXT('Daily Checklist'!$B$2:$B$2000,"yyyy-mm-dd")=TEXT(($B$4+3),"yyyy-mm-dd"))*('Daily Checklist'!$L$2:$L$2000="Y"))&gt;0,SUMPRODUCT(('Daily Checklist'!$D$2:$D$2000=$A11)*(TEXT('Daily Checklist'!$B$2:$B$2000,"yyyy-mm-dd")=TEXT(($B$4+3),"yyyy-mm-dd"))*('Daily Checklist'!$F$2:$F$2000="Done"))&amp;"/"&amp;SUMPRODUCT(('Daily Checklist'!$D$2:$D$2000=$A11)*(TEXT('Daily Checklist'!$B$2:$B$2000,"yyyy-mm-dd")=TEXT(($B$4+3),"yyyy-mm-dd")))&amp;" ESC",SUMPRODUCT(('Daily Checklist'!$D$2:$D$2000=$A11)*(TEXT('Daily Checklist'!$B$2:$B$2000,"yyyy-mm-dd")=TEXT(($B$4+3),"yyyy-mm-dd"))*('Daily Checklist'!$F$2:$F$2000="Done"))&amp;"/"&amp;SUMPRODUCT(('Daily Checklist'!$D$2:$D$2000=$A11)*(TEXT('Daily Checklist'!$B$2:$B$2000,"yyyy-mm-dd")=TEXT(($B$4+3),"yyyy-mm-dd"))))))</f>
        <v>-</v>
      </c>
      <c r="F11" s="25" t="str">
        <f aca="false">IF($A11="","",IF(SUMPRODUCT(('Daily Checklist'!$D$2:$D$2000=$A11)*(TEXT('Daily Checklist'!$B$2:$B$2000,"yyyy-mm-dd")=TEXT(($B$4+4),"yyyy-mm-dd")))=0,"-",IF(SUMPRODUCT(('Daily Checklist'!$D$2:$D$2000=$A11)*(TEXT('Daily Checklist'!$B$2:$B$2000,"yyyy-mm-dd")=TEXT(($B$4+4),"yyyy-mm-dd"))*('Daily Checklist'!$L$2:$L$2000="Y"))&gt;0,SUMPRODUCT(('Daily Checklist'!$D$2:$D$2000=$A11)*(TEXT('Daily Checklist'!$B$2:$B$2000,"yyyy-mm-dd")=TEXT(($B$4+4),"yyyy-mm-dd"))*('Daily Checklist'!$F$2:$F$2000="Done"))&amp;"/"&amp;SUMPRODUCT(('Daily Checklist'!$D$2:$D$2000=$A11)*(TEXT('Daily Checklist'!$B$2:$B$2000,"yyyy-mm-dd")=TEXT(($B$4+4),"yyyy-mm-dd")))&amp;" ESC",SUMPRODUCT(('Daily Checklist'!$D$2:$D$2000=$A11)*(TEXT('Daily Checklist'!$B$2:$B$2000,"yyyy-mm-dd")=TEXT(($B$4+4),"yyyy-mm-dd"))*('Daily Checklist'!$F$2:$F$2000="Done"))&amp;"/"&amp;SUMPRODUCT(('Daily Checklist'!$D$2:$D$2000=$A11)*(TEXT('Daily Checklist'!$B$2:$B$2000,"yyyy-mm-dd")=TEXT(($B$4+4),"yyyy-mm-dd"))))))</f>
        <v>-</v>
      </c>
      <c r="G11" s="25" t="str">
        <f aca="false">IF($A11="","",IF(SUMPRODUCT(('Daily Checklist'!$D$2:$D$2000=$A11)*(TEXT('Daily Checklist'!$B$2:$B$2000,"yyyy-mm-dd")=TEXT(($B$4+5),"yyyy-mm-dd")))=0,"-",IF(SUMPRODUCT(('Daily Checklist'!$D$2:$D$2000=$A11)*(TEXT('Daily Checklist'!$B$2:$B$2000,"yyyy-mm-dd")=TEXT(($B$4+5),"yyyy-mm-dd"))*('Daily Checklist'!$L$2:$L$2000="Y"))&gt;0,SUMPRODUCT(('Daily Checklist'!$D$2:$D$2000=$A11)*(TEXT('Daily Checklist'!$B$2:$B$2000,"yyyy-mm-dd")=TEXT(($B$4+5),"yyyy-mm-dd"))*('Daily Checklist'!$F$2:$F$2000="Done"))&amp;"/"&amp;SUMPRODUCT(('Daily Checklist'!$D$2:$D$2000=$A11)*(TEXT('Daily Checklist'!$B$2:$B$2000,"yyyy-mm-dd")=TEXT(($B$4+5),"yyyy-mm-dd")))&amp;" ESC",SUMPRODUCT(('Daily Checklist'!$D$2:$D$2000=$A11)*(TEXT('Daily Checklist'!$B$2:$B$2000,"yyyy-mm-dd")=TEXT(($B$4+5),"yyyy-mm-dd"))*('Daily Checklist'!$F$2:$F$2000="Done"))&amp;"/"&amp;SUMPRODUCT(('Daily Checklist'!$D$2:$D$2000=$A11)*(TEXT('Daily Checklist'!$B$2:$B$2000,"yyyy-mm-dd")=TEXT(($B$4+5),"yyyy-mm-dd"))))))</f>
        <v>-</v>
      </c>
      <c r="H11" s="25" t="str">
        <f aca="false">IF($A11="","",IF(SUMPRODUCT(('Daily Checklist'!$D$2:$D$2000=$A11)*(TEXT('Daily Checklist'!$B$2:$B$2000,"yyyy-mm-dd")=TEXT(($B$4+6),"yyyy-mm-dd")))=0,"-",IF(SUMPRODUCT(('Daily Checklist'!$D$2:$D$2000=$A11)*(TEXT('Daily Checklist'!$B$2:$B$2000,"yyyy-mm-dd")=TEXT(($B$4+6),"yyyy-mm-dd"))*('Daily Checklist'!$L$2:$L$2000="Y"))&gt;0,SUMPRODUCT(('Daily Checklist'!$D$2:$D$2000=$A11)*(TEXT('Daily Checklist'!$B$2:$B$2000,"yyyy-mm-dd")=TEXT(($B$4+6),"yyyy-mm-dd"))*('Daily Checklist'!$F$2:$F$2000="Done"))&amp;"/"&amp;SUMPRODUCT(('Daily Checklist'!$D$2:$D$2000=$A11)*(TEXT('Daily Checklist'!$B$2:$B$2000,"yyyy-mm-dd")=TEXT(($B$4+6),"yyyy-mm-dd")))&amp;" ESC",SUMPRODUCT(('Daily Checklist'!$D$2:$D$2000=$A11)*(TEXT('Daily Checklist'!$B$2:$B$2000,"yyyy-mm-dd")=TEXT(($B$4+6),"yyyy-mm-dd"))*('Daily Checklist'!$F$2:$F$2000="Done"))&amp;"/"&amp;SUMPRODUCT(('Daily Checklist'!$D$2:$D$2000=$A11)*(TEXT('Daily Checklist'!$B$2:$B$2000,"yyyy-mm-dd")=TEXT(($B$4+6),"yyyy-mm-dd"))))))</f>
        <v>-</v>
      </c>
      <c r="I11" s="25" t="str">
        <f aca="false">IF($A11="","",IF(SUMPRODUCT(('Daily Checklist'!$D$2:$D$2000=$A11)*(TEXT('Daily Checklist'!$B$2:$B$2000,"yyyy-mm-dd")=TEXT(($B$4+7),"yyyy-mm-dd")))=0,"-",IF(SUMPRODUCT(('Daily Checklist'!$D$2:$D$2000=$A11)*(TEXT('Daily Checklist'!$B$2:$B$2000,"yyyy-mm-dd")=TEXT(($B$4+7),"yyyy-mm-dd"))*('Daily Checklist'!$L$2:$L$2000="Y"))&gt;0,SUMPRODUCT(('Daily Checklist'!$D$2:$D$2000=$A11)*(TEXT('Daily Checklist'!$B$2:$B$2000,"yyyy-mm-dd")=TEXT(($B$4+7),"yyyy-mm-dd"))*('Daily Checklist'!$F$2:$F$2000="Done"))&amp;"/"&amp;SUMPRODUCT(('Daily Checklist'!$D$2:$D$2000=$A11)*(TEXT('Daily Checklist'!$B$2:$B$2000,"yyyy-mm-dd")=TEXT(($B$4+7),"yyyy-mm-dd")))&amp;" ESC",SUMPRODUCT(('Daily Checklist'!$D$2:$D$2000=$A11)*(TEXT('Daily Checklist'!$B$2:$B$2000,"yyyy-mm-dd")=TEXT(($B$4+7),"yyyy-mm-dd"))*('Daily Checklist'!$F$2:$F$2000="Done"))&amp;"/"&amp;SUMPRODUCT(('Daily Checklist'!$D$2:$D$2000=$A11)*(TEXT('Daily Checklist'!$B$2:$B$2000,"yyyy-mm-dd")=TEXT(($B$4+7),"yyyy-mm-dd"))))))</f>
        <v>-</v>
      </c>
      <c r="J11" s="25" t="str">
        <f aca="false">IF($A11="","",IF(SUMPRODUCT(('Daily Checklist'!$D$2:$D$2000=$A11)*(TEXT('Daily Checklist'!$B$2:$B$2000,"yyyy-mm-dd")=TEXT(($B$4+8),"yyyy-mm-dd")))=0,"-",IF(SUMPRODUCT(('Daily Checklist'!$D$2:$D$2000=$A11)*(TEXT('Daily Checklist'!$B$2:$B$2000,"yyyy-mm-dd")=TEXT(($B$4+8),"yyyy-mm-dd"))*('Daily Checklist'!$L$2:$L$2000="Y"))&gt;0,SUMPRODUCT(('Daily Checklist'!$D$2:$D$2000=$A11)*(TEXT('Daily Checklist'!$B$2:$B$2000,"yyyy-mm-dd")=TEXT(($B$4+8),"yyyy-mm-dd"))*('Daily Checklist'!$F$2:$F$2000="Done"))&amp;"/"&amp;SUMPRODUCT(('Daily Checklist'!$D$2:$D$2000=$A11)*(TEXT('Daily Checklist'!$B$2:$B$2000,"yyyy-mm-dd")=TEXT(($B$4+8),"yyyy-mm-dd")))&amp;" ESC",SUMPRODUCT(('Daily Checklist'!$D$2:$D$2000=$A11)*(TEXT('Daily Checklist'!$B$2:$B$2000,"yyyy-mm-dd")=TEXT(($B$4+8),"yyyy-mm-dd"))*('Daily Checklist'!$F$2:$F$2000="Done"))&amp;"/"&amp;SUMPRODUCT(('Daily Checklist'!$D$2:$D$2000=$A11)*(TEXT('Daily Checklist'!$B$2:$B$2000,"yyyy-mm-dd")=TEXT(($B$4+8),"yyyy-mm-dd"))))))</f>
        <v>-</v>
      </c>
      <c r="K11" s="25" t="str">
        <f aca="false">IF($A11="","",IF(SUMPRODUCT(('Daily Checklist'!$D$2:$D$2000=$A11)*(TEXT('Daily Checklist'!$B$2:$B$2000,"yyyy-mm-dd")=TEXT(($B$4+9),"yyyy-mm-dd")))=0,"-",IF(SUMPRODUCT(('Daily Checklist'!$D$2:$D$2000=$A11)*(TEXT('Daily Checklist'!$B$2:$B$2000,"yyyy-mm-dd")=TEXT(($B$4+9),"yyyy-mm-dd"))*('Daily Checklist'!$L$2:$L$2000="Y"))&gt;0,SUMPRODUCT(('Daily Checklist'!$D$2:$D$2000=$A11)*(TEXT('Daily Checklist'!$B$2:$B$2000,"yyyy-mm-dd")=TEXT(($B$4+9),"yyyy-mm-dd"))*('Daily Checklist'!$F$2:$F$2000="Done"))&amp;"/"&amp;SUMPRODUCT(('Daily Checklist'!$D$2:$D$2000=$A11)*(TEXT('Daily Checklist'!$B$2:$B$2000,"yyyy-mm-dd")=TEXT(($B$4+9),"yyyy-mm-dd")))&amp;" ESC",SUMPRODUCT(('Daily Checklist'!$D$2:$D$2000=$A11)*(TEXT('Daily Checklist'!$B$2:$B$2000,"yyyy-mm-dd")=TEXT(($B$4+9),"yyyy-mm-dd"))*('Daily Checklist'!$F$2:$F$2000="Done"))&amp;"/"&amp;SUMPRODUCT(('Daily Checklist'!$D$2:$D$2000=$A11)*(TEXT('Daily Checklist'!$B$2:$B$2000,"yyyy-mm-dd")=TEXT(($B$4+9),"yyyy-mm-dd"))))))</f>
        <v>-</v>
      </c>
      <c r="L11" s="25" t="str">
        <f aca="false">IF($A11="","",IF(SUMPRODUCT(('Daily Checklist'!$D$2:$D$2000=$A11)*(TEXT('Daily Checklist'!$B$2:$B$2000,"yyyy-mm-dd")=TEXT(($B$4+10),"yyyy-mm-dd")))=0,"-",IF(SUMPRODUCT(('Daily Checklist'!$D$2:$D$2000=$A11)*(TEXT('Daily Checklist'!$B$2:$B$2000,"yyyy-mm-dd")=TEXT(($B$4+10),"yyyy-mm-dd"))*('Daily Checklist'!$L$2:$L$2000="Y"))&gt;0,SUMPRODUCT(('Daily Checklist'!$D$2:$D$2000=$A11)*(TEXT('Daily Checklist'!$B$2:$B$2000,"yyyy-mm-dd")=TEXT(($B$4+10),"yyyy-mm-dd"))*('Daily Checklist'!$F$2:$F$2000="Done"))&amp;"/"&amp;SUMPRODUCT(('Daily Checklist'!$D$2:$D$2000=$A11)*(TEXT('Daily Checklist'!$B$2:$B$2000,"yyyy-mm-dd")=TEXT(($B$4+10),"yyyy-mm-dd")))&amp;" ESC",SUMPRODUCT(('Daily Checklist'!$D$2:$D$2000=$A11)*(TEXT('Daily Checklist'!$B$2:$B$2000,"yyyy-mm-dd")=TEXT(($B$4+10),"yyyy-mm-dd"))*('Daily Checklist'!$F$2:$F$2000="Done"))&amp;"/"&amp;SUMPRODUCT(('Daily Checklist'!$D$2:$D$2000=$A11)*(TEXT('Daily Checklist'!$B$2:$B$2000,"yyyy-mm-dd")=TEXT(($B$4+10),"yyyy-mm-dd"))))))</f>
        <v>-</v>
      </c>
      <c r="M11" s="25" t="str">
        <f aca="false">IF($A11="","",IF(SUMPRODUCT(('Daily Checklist'!$D$2:$D$2000=$A11)*(TEXT('Daily Checklist'!$B$2:$B$2000,"yyyy-mm-dd")=TEXT(($B$4+11),"yyyy-mm-dd")))=0,"-",IF(SUMPRODUCT(('Daily Checklist'!$D$2:$D$2000=$A11)*(TEXT('Daily Checklist'!$B$2:$B$2000,"yyyy-mm-dd")=TEXT(($B$4+11),"yyyy-mm-dd"))*('Daily Checklist'!$L$2:$L$2000="Y"))&gt;0,SUMPRODUCT(('Daily Checklist'!$D$2:$D$2000=$A11)*(TEXT('Daily Checklist'!$B$2:$B$2000,"yyyy-mm-dd")=TEXT(($B$4+11),"yyyy-mm-dd"))*('Daily Checklist'!$F$2:$F$2000="Done"))&amp;"/"&amp;SUMPRODUCT(('Daily Checklist'!$D$2:$D$2000=$A11)*(TEXT('Daily Checklist'!$B$2:$B$2000,"yyyy-mm-dd")=TEXT(($B$4+11),"yyyy-mm-dd")))&amp;" ESC",SUMPRODUCT(('Daily Checklist'!$D$2:$D$2000=$A11)*(TEXT('Daily Checklist'!$B$2:$B$2000,"yyyy-mm-dd")=TEXT(($B$4+11),"yyyy-mm-dd"))*('Daily Checklist'!$F$2:$F$2000="Done"))&amp;"/"&amp;SUMPRODUCT(('Daily Checklist'!$D$2:$D$2000=$A11)*(TEXT('Daily Checklist'!$B$2:$B$2000,"yyyy-mm-dd")=TEXT(($B$4+11),"yyyy-mm-dd"))))))</f>
        <v>-</v>
      </c>
      <c r="N11" s="25" t="str">
        <f aca="false">IF($A11="","",IF(SUMPRODUCT(('Daily Checklist'!$D$2:$D$2000=$A11)*(TEXT('Daily Checklist'!$B$2:$B$2000,"yyyy-mm-dd")=TEXT(($B$4+12),"yyyy-mm-dd")))=0,"-",IF(SUMPRODUCT(('Daily Checklist'!$D$2:$D$2000=$A11)*(TEXT('Daily Checklist'!$B$2:$B$2000,"yyyy-mm-dd")=TEXT(($B$4+12),"yyyy-mm-dd"))*('Daily Checklist'!$L$2:$L$2000="Y"))&gt;0,SUMPRODUCT(('Daily Checklist'!$D$2:$D$2000=$A11)*(TEXT('Daily Checklist'!$B$2:$B$2000,"yyyy-mm-dd")=TEXT(($B$4+12),"yyyy-mm-dd"))*('Daily Checklist'!$F$2:$F$2000="Done"))&amp;"/"&amp;SUMPRODUCT(('Daily Checklist'!$D$2:$D$2000=$A11)*(TEXT('Daily Checklist'!$B$2:$B$2000,"yyyy-mm-dd")=TEXT(($B$4+12),"yyyy-mm-dd")))&amp;" ESC",SUMPRODUCT(('Daily Checklist'!$D$2:$D$2000=$A11)*(TEXT('Daily Checklist'!$B$2:$B$2000,"yyyy-mm-dd")=TEXT(($B$4+12),"yyyy-mm-dd"))*('Daily Checklist'!$F$2:$F$2000="Done"))&amp;"/"&amp;SUMPRODUCT(('Daily Checklist'!$D$2:$D$2000=$A11)*(TEXT('Daily Checklist'!$B$2:$B$2000,"yyyy-mm-dd")=TEXT(($B$4+12),"yyyy-mm-dd"))))))</f>
        <v>-</v>
      </c>
      <c r="O11" s="25" t="str">
        <f aca="false">IF($A11="","",IF(SUMPRODUCT(('Daily Checklist'!$D$2:$D$2000=$A11)*(TEXT('Daily Checklist'!$B$2:$B$2000,"yyyy-mm-dd")=TEXT(($B$4+13),"yyyy-mm-dd")))=0,"-",IF(SUMPRODUCT(('Daily Checklist'!$D$2:$D$2000=$A11)*(TEXT('Daily Checklist'!$B$2:$B$2000,"yyyy-mm-dd")=TEXT(($B$4+13),"yyyy-mm-dd"))*('Daily Checklist'!$L$2:$L$2000="Y"))&gt;0,SUMPRODUCT(('Daily Checklist'!$D$2:$D$2000=$A11)*(TEXT('Daily Checklist'!$B$2:$B$2000,"yyyy-mm-dd")=TEXT(($B$4+13),"yyyy-mm-dd"))*('Daily Checklist'!$F$2:$F$2000="Done"))&amp;"/"&amp;SUMPRODUCT(('Daily Checklist'!$D$2:$D$2000=$A11)*(TEXT('Daily Checklist'!$B$2:$B$2000,"yyyy-mm-dd")=TEXT(($B$4+13),"yyyy-mm-dd")))&amp;" ESC",SUMPRODUCT(('Daily Checklist'!$D$2:$D$2000=$A11)*(TEXT('Daily Checklist'!$B$2:$B$2000,"yyyy-mm-dd")=TEXT(($B$4+13),"yyyy-mm-dd"))*('Daily Checklist'!$F$2:$F$2000="Done"))&amp;"/"&amp;SUMPRODUCT(('Daily Checklist'!$D$2:$D$2000=$A11)*(TEXT('Daily Checklist'!$B$2:$B$2000,"yyyy-mm-dd")=TEXT(($B$4+13),"yyyy-mm-dd"))))))</f>
        <v>-</v>
      </c>
      <c r="P11" s="25" t="str">
        <f aca="false">IF($A11="","",IF(SUMPRODUCT(('Daily Checklist'!$D$2:$D$2000=$A11)*(TEXT('Daily Checklist'!$B$2:$B$2000,"yyyy-mm-dd")=TEXT(($B$4+14),"yyyy-mm-dd")))=0,"-",IF(SUMPRODUCT(('Daily Checklist'!$D$2:$D$2000=$A11)*(TEXT('Daily Checklist'!$B$2:$B$2000,"yyyy-mm-dd")=TEXT(($B$4+14),"yyyy-mm-dd"))*('Daily Checklist'!$L$2:$L$2000="Y"))&gt;0,SUMPRODUCT(('Daily Checklist'!$D$2:$D$2000=$A11)*(TEXT('Daily Checklist'!$B$2:$B$2000,"yyyy-mm-dd")=TEXT(($B$4+14),"yyyy-mm-dd"))*('Daily Checklist'!$F$2:$F$2000="Done"))&amp;"/"&amp;SUMPRODUCT(('Daily Checklist'!$D$2:$D$2000=$A11)*(TEXT('Daily Checklist'!$B$2:$B$2000,"yyyy-mm-dd")=TEXT(($B$4+14),"yyyy-mm-dd")))&amp;" ESC",SUMPRODUCT(('Daily Checklist'!$D$2:$D$2000=$A11)*(TEXT('Daily Checklist'!$B$2:$B$2000,"yyyy-mm-dd")=TEXT(($B$4+14),"yyyy-mm-dd"))*('Daily Checklist'!$F$2:$F$2000="Done"))&amp;"/"&amp;SUMPRODUCT(('Daily Checklist'!$D$2:$D$2000=$A11)*(TEXT('Daily Checklist'!$B$2:$B$2000,"yyyy-mm-dd")=TEXT(($B$4+14),"yyyy-mm-dd"))))))</f>
        <v>-</v>
      </c>
      <c r="Q11" s="25" t="str">
        <f aca="false">IF($A11="","",IF(SUMPRODUCT(('Daily Checklist'!$D$2:$D$2000=$A11)*(TEXT('Daily Checklist'!$B$2:$B$2000,"yyyy-mm-dd")=TEXT(($B$4+15),"yyyy-mm-dd")))=0,"-",IF(SUMPRODUCT(('Daily Checklist'!$D$2:$D$2000=$A11)*(TEXT('Daily Checklist'!$B$2:$B$2000,"yyyy-mm-dd")=TEXT(($B$4+15),"yyyy-mm-dd"))*('Daily Checklist'!$L$2:$L$2000="Y"))&gt;0,SUMPRODUCT(('Daily Checklist'!$D$2:$D$2000=$A11)*(TEXT('Daily Checklist'!$B$2:$B$2000,"yyyy-mm-dd")=TEXT(($B$4+15),"yyyy-mm-dd"))*('Daily Checklist'!$F$2:$F$2000="Done"))&amp;"/"&amp;SUMPRODUCT(('Daily Checklist'!$D$2:$D$2000=$A11)*(TEXT('Daily Checklist'!$B$2:$B$2000,"yyyy-mm-dd")=TEXT(($B$4+15),"yyyy-mm-dd")))&amp;" ESC",SUMPRODUCT(('Daily Checklist'!$D$2:$D$2000=$A11)*(TEXT('Daily Checklist'!$B$2:$B$2000,"yyyy-mm-dd")=TEXT(($B$4+15),"yyyy-mm-dd"))*('Daily Checklist'!$F$2:$F$2000="Done"))&amp;"/"&amp;SUMPRODUCT(('Daily Checklist'!$D$2:$D$2000=$A11)*(TEXT('Daily Checklist'!$B$2:$B$2000,"yyyy-mm-dd")=TEXT(($B$4+15),"yyyy-mm-dd"))))))</f>
        <v>-</v>
      </c>
      <c r="R11" s="25" t="str">
        <f aca="false">IF($A11="","",IF(SUMPRODUCT(('Daily Checklist'!$D$2:$D$2000=$A11)*(TEXT('Daily Checklist'!$B$2:$B$2000,"yyyy-mm-dd")=TEXT(($B$4+16),"yyyy-mm-dd")))=0,"-",IF(SUMPRODUCT(('Daily Checklist'!$D$2:$D$2000=$A11)*(TEXT('Daily Checklist'!$B$2:$B$2000,"yyyy-mm-dd")=TEXT(($B$4+16),"yyyy-mm-dd"))*('Daily Checklist'!$L$2:$L$2000="Y"))&gt;0,SUMPRODUCT(('Daily Checklist'!$D$2:$D$2000=$A11)*(TEXT('Daily Checklist'!$B$2:$B$2000,"yyyy-mm-dd")=TEXT(($B$4+16),"yyyy-mm-dd"))*('Daily Checklist'!$F$2:$F$2000="Done"))&amp;"/"&amp;SUMPRODUCT(('Daily Checklist'!$D$2:$D$2000=$A11)*(TEXT('Daily Checklist'!$B$2:$B$2000,"yyyy-mm-dd")=TEXT(($B$4+16),"yyyy-mm-dd")))&amp;" ESC",SUMPRODUCT(('Daily Checklist'!$D$2:$D$2000=$A11)*(TEXT('Daily Checklist'!$B$2:$B$2000,"yyyy-mm-dd")=TEXT(($B$4+16),"yyyy-mm-dd"))*('Daily Checklist'!$F$2:$F$2000="Done"))&amp;"/"&amp;SUMPRODUCT(('Daily Checklist'!$D$2:$D$2000=$A11)*(TEXT('Daily Checklist'!$B$2:$B$2000,"yyyy-mm-dd")=TEXT(($B$4+16),"yyyy-mm-dd"))))))</f>
        <v>-</v>
      </c>
      <c r="S11" s="25" t="str">
        <f aca="false">IF($A11="","",IF(SUMPRODUCT(('Daily Checklist'!$D$2:$D$2000=$A11)*(TEXT('Daily Checklist'!$B$2:$B$2000,"yyyy-mm-dd")=TEXT(($B$4+17),"yyyy-mm-dd")))=0,"-",IF(SUMPRODUCT(('Daily Checklist'!$D$2:$D$2000=$A11)*(TEXT('Daily Checklist'!$B$2:$B$2000,"yyyy-mm-dd")=TEXT(($B$4+17),"yyyy-mm-dd"))*('Daily Checklist'!$L$2:$L$2000="Y"))&gt;0,SUMPRODUCT(('Daily Checklist'!$D$2:$D$2000=$A11)*(TEXT('Daily Checklist'!$B$2:$B$2000,"yyyy-mm-dd")=TEXT(($B$4+17),"yyyy-mm-dd"))*('Daily Checklist'!$F$2:$F$2000="Done"))&amp;"/"&amp;SUMPRODUCT(('Daily Checklist'!$D$2:$D$2000=$A11)*(TEXT('Daily Checklist'!$B$2:$B$2000,"yyyy-mm-dd")=TEXT(($B$4+17),"yyyy-mm-dd")))&amp;" ESC",SUMPRODUCT(('Daily Checklist'!$D$2:$D$2000=$A11)*(TEXT('Daily Checklist'!$B$2:$B$2000,"yyyy-mm-dd")=TEXT(($B$4+17),"yyyy-mm-dd"))*('Daily Checklist'!$F$2:$F$2000="Done"))&amp;"/"&amp;SUMPRODUCT(('Daily Checklist'!$D$2:$D$2000=$A11)*(TEXT('Daily Checklist'!$B$2:$B$2000,"yyyy-mm-dd")=TEXT(($B$4+17),"yyyy-mm-dd"))))))</f>
        <v>-</v>
      </c>
      <c r="T11" s="25" t="str">
        <f aca="false">IF($A11="","",IF(SUMPRODUCT(('Daily Checklist'!$D$2:$D$2000=$A11)*(TEXT('Daily Checklist'!$B$2:$B$2000,"yyyy-mm-dd")=TEXT(($B$4+18),"yyyy-mm-dd")))=0,"-",IF(SUMPRODUCT(('Daily Checklist'!$D$2:$D$2000=$A11)*(TEXT('Daily Checklist'!$B$2:$B$2000,"yyyy-mm-dd")=TEXT(($B$4+18),"yyyy-mm-dd"))*('Daily Checklist'!$L$2:$L$2000="Y"))&gt;0,SUMPRODUCT(('Daily Checklist'!$D$2:$D$2000=$A11)*(TEXT('Daily Checklist'!$B$2:$B$2000,"yyyy-mm-dd")=TEXT(($B$4+18),"yyyy-mm-dd"))*('Daily Checklist'!$F$2:$F$2000="Done"))&amp;"/"&amp;SUMPRODUCT(('Daily Checklist'!$D$2:$D$2000=$A11)*(TEXT('Daily Checklist'!$B$2:$B$2000,"yyyy-mm-dd")=TEXT(($B$4+18),"yyyy-mm-dd")))&amp;" ESC",SUMPRODUCT(('Daily Checklist'!$D$2:$D$2000=$A11)*(TEXT('Daily Checklist'!$B$2:$B$2000,"yyyy-mm-dd")=TEXT(($B$4+18),"yyyy-mm-dd"))*('Daily Checklist'!$F$2:$F$2000="Done"))&amp;"/"&amp;SUMPRODUCT(('Daily Checklist'!$D$2:$D$2000=$A11)*(TEXT('Daily Checklist'!$B$2:$B$2000,"yyyy-mm-dd")=TEXT(($B$4+18),"yyyy-mm-dd"))))))</f>
        <v>-</v>
      </c>
      <c r="U11" s="25" t="str">
        <f aca="false">IF($A11="","",IF(SUMPRODUCT(('Daily Checklist'!$D$2:$D$2000=$A11)*(TEXT('Daily Checklist'!$B$2:$B$2000,"yyyy-mm-dd")=TEXT(($B$4+19),"yyyy-mm-dd")))=0,"-",IF(SUMPRODUCT(('Daily Checklist'!$D$2:$D$2000=$A11)*(TEXT('Daily Checklist'!$B$2:$B$2000,"yyyy-mm-dd")=TEXT(($B$4+19),"yyyy-mm-dd"))*('Daily Checklist'!$L$2:$L$2000="Y"))&gt;0,SUMPRODUCT(('Daily Checklist'!$D$2:$D$2000=$A11)*(TEXT('Daily Checklist'!$B$2:$B$2000,"yyyy-mm-dd")=TEXT(($B$4+19),"yyyy-mm-dd"))*('Daily Checklist'!$F$2:$F$2000="Done"))&amp;"/"&amp;SUMPRODUCT(('Daily Checklist'!$D$2:$D$2000=$A11)*(TEXT('Daily Checklist'!$B$2:$B$2000,"yyyy-mm-dd")=TEXT(($B$4+19),"yyyy-mm-dd")))&amp;" ESC",SUMPRODUCT(('Daily Checklist'!$D$2:$D$2000=$A11)*(TEXT('Daily Checklist'!$B$2:$B$2000,"yyyy-mm-dd")=TEXT(($B$4+19),"yyyy-mm-dd"))*('Daily Checklist'!$F$2:$F$2000="Done"))&amp;"/"&amp;SUMPRODUCT(('Daily Checklist'!$D$2:$D$2000=$A11)*(TEXT('Daily Checklist'!$B$2:$B$2000,"yyyy-mm-dd")=TEXT(($B$4+19),"yyyy-mm-dd"))))))</f>
        <v>-</v>
      </c>
      <c r="V11" s="25" t="str">
        <f aca="false">IF($A11="","",IF(SUMPRODUCT(('Daily Checklist'!$D$2:$D$2000=$A11)*(TEXT('Daily Checklist'!$B$2:$B$2000,"yyyy-mm-dd")=TEXT(($B$4+20),"yyyy-mm-dd")))=0,"-",IF(SUMPRODUCT(('Daily Checklist'!$D$2:$D$2000=$A11)*(TEXT('Daily Checklist'!$B$2:$B$2000,"yyyy-mm-dd")=TEXT(($B$4+20),"yyyy-mm-dd"))*('Daily Checklist'!$L$2:$L$2000="Y"))&gt;0,SUMPRODUCT(('Daily Checklist'!$D$2:$D$2000=$A11)*(TEXT('Daily Checklist'!$B$2:$B$2000,"yyyy-mm-dd")=TEXT(($B$4+20),"yyyy-mm-dd"))*('Daily Checklist'!$F$2:$F$2000="Done"))&amp;"/"&amp;SUMPRODUCT(('Daily Checklist'!$D$2:$D$2000=$A11)*(TEXT('Daily Checklist'!$B$2:$B$2000,"yyyy-mm-dd")=TEXT(($B$4+20),"yyyy-mm-dd")))&amp;" ESC",SUMPRODUCT(('Daily Checklist'!$D$2:$D$2000=$A11)*(TEXT('Daily Checklist'!$B$2:$B$2000,"yyyy-mm-dd")=TEXT(($B$4+20),"yyyy-mm-dd"))*('Daily Checklist'!$F$2:$F$2000="Done"))&amp;"/"&amp;SUMPRODUCT(('Daily Checklist'!$D$2:$D$2000=$A11)*(TEXT('Daily Checklist'!$B$2:$B$2000,"yyyy-mm-dd")=TEXT(($B$4+20),"yyyy-mm-dd"))))))</f>
        <v>-</v>
      </c>
      <c r="W11" s="25" t="str">
        <f aca="false">IF($A11="","",IF(SUMPRODUCT(('Daily Checklist'!$D$2:$D$2000=$A11)*(TEXT('Daily Checklist'!$B$2:$B$2000,"yyyy-mm-dd")=TEXT(($B$4+21),"yyyy-mm-dd")))=0,"-",IF(SUMPRODUCT(('Daily Checklist'!$D$2:$D$2000=$A11)*(TEXT('Daily Checklist'!$B$2:$B$2000,"yyyy-mm-dd")=TEXT(($B$4+21),"yyyy-mm-dd"))*('Daily Checklist'!$L$2:$L$2000="Y"))&gt;0,SUMPRODUCT(('Daily Checklist'!$D$2:$D$2000=$A11)*(TEXT('Daily Checklist'!$B$2:$B$2000,"yyyy-mm-dd")=TEXT(($B$4+21),"yyyy-mm-dd"))*('Daily Checklist'!$F$2:$F$2000="Done"))&amp;"/"&amp;SUMPRODUCT(('Daily Checklist'!$D$2:$D$2000=$A11)*(TEXT('Daily Checklist'!$B$2:$B$2000,"yyyy-mm-dd")=TEXT(($B$4+21),"yyyy-mm-dd")))&amp;" ESC",SUMPRODUCT(('Daily Checklist'!$D$2:$D$2000=$A11)*(TEXT('Daily Checklist'!$B$2:$B$2000,"yyyy-mm-dd")=TEXT(($B$4+21),"yyyy-mm-dd"))*('Daily Checklist'!$F$2:$F$2000="Done"))&amp;"/"&amp;SUMPRODUCT(('Daily Checklist'!$D$2:$D$2000=$A11)*(TEXT('Daily Checklist'!$B$2:$B$2000,"yyyy-mm-dd")=TEXT(($B$4+21),"yyyy-mm-dd"))))))</f>
        <v>-</v>
      </c>
      <c r="X11" s="25" t="str">
        <f aca="false">IF($A11="","",IF(SUMPRODUCT(('Daily Checklist'!$D$2:$D$2000=$A11)*(TEXT('Daily Checklist'!$B$2:$B$2000,"yyyy-mm-dd")=TEXT(($B$4+22),"yyyy-mm-dd")))=0,"-",IF(SUMPRODUCT(('Daily Checklist'!$D$2:$D$2000=$A11)*(TEXT('Daily Checklist'!$B$2:$B$2000,"yyyy-mm-dd")=TEXT(($B$4+22),"yyyy-mm-dd"))*('Daily Checklist'!$L$2:$L$2000="Y"))&gt;0,SUMPRODUCT(('Daily Checklist'!$D$2:$D$2000=$A11)*(TEXT('Daily Checklist'!$B$2:$B$2000,"yyyy-mm-dd")=TEXT(($B$4+22),"yyyy-mm-dd"))*('Daily Checklist'!$F$2:$F$2000="Done"))&amp;"/"&amp;SUMPRODUCT(('Daily Checklist'!$D$2:$D$2000=$A11)*(TEXT('Daily Checklist'!$B$2:$B$2000,"yyyy-mm-dd")=TEXT(($B$4+22),"yyyy-mm-dd")))&amp;" ESC",SUMPRODUCT(('Daily Checklist'!$D$2:$D$2000=$A11)*(TEXT('Daily Checklist'!$B$2:$B$2000,"yyyy-mm-dd")=TEXT(($B$4+22),"yyyy-mm-dd"))*('Daily Checklist'!$F$2:$F$2000="Done"))&amp;"/"&amp;SUMPRODUCT(('Daily Checklist'!$D$2:$D$2000=$A11)*(TEXT('Daily Checklist'!$B$2:$B$2000,"yyyy-mm-dd")=TEXT(($B$4+22),"yyyy-mm-dd"))))))</f>
        <v>-</v>
      </c>
      <c r="Y11" s="25" t="str">
        <f aca="false">IF($A11="","",IF(SUMPRODUCT(('Daily Checklist'!$D$2:$D$2000=$A11)*(TEXT('Daily Checklist'!$B$2:$B$2000,"yyyy-mm-dd")=TEXT(($B$4+23),"yyyy-mm-dd")))=0,"-",IF(SUMPRODUCT(('Daily Checklist'!$D$2:$D$2000=$A11)*(TEXT('Daily Checklist'!$B$2:$B$2000,"yyyy-mm-dd")=TEXT(($B$4+23),"yyyy-mm-dd"))*('Daily Checklist'!$L$2:$L$2000="Y"))&gt;0,SUMPRODUCT(('Daily Checklist'!$D$2:$D$2000=$A11)*(TEXT('Daily Checklist'!$B$2:$B$2000,"yyyy-mm-dd")=TEXT(($B$4+23),"yyyy-mm-dd"))*('Daily Checklist'!$F$2:$F$2000="Done"))&amp;"/"&amp;SUMPRODUCT(('Daily Checklist'!$D$2:$D$2000=$A11)*(TEXT('Daily Checklist'!$B$2:$B$2000,"yyyy-mm-dd")=TEXT(($B$4+23),"yyyy-mm-dd")))&amp;" ESC",SUMPRODUCT(('Daily Checklist'!$D$2:$D$2000=$A11)*(TEXT('Daily Checklist'!$B$2:$B$2000,"yyyy-mm-dd")=TEXT(($B$4+23),"yyyy-mm-dd"))*('Daily Checklist'!$F$2:$F$2000="Done"))&amp;"/"&amp;SUMPRODUCT(('Daily Checklist'!$D$2:$D$2000=$A11)*(TEXT('Daily Checklist'!$B$2:$B$2000,"yyyy-mm-dd")=TEXT(($B$4+23),"yyyy-mm-dd"))))))</f>
        <v>-</v>
      </c>
      <c r="Z11" s="25" t="str">
        <f aca="false">IF($A11="","",IF(SUMPRODUCT(('Daily Checklist'!$D$2:$D$2000=$A11)*(TEXT('Daily Checklist'!$B$2:$B$2000,"yyyy-mm-dd")=TEXT(($B$4+24),"yyyy-mm-dd")))=0,"-",IF(SUMPRODUCT(('Daily Checklist'!$D$2:$D$2000=$A11)*(TEXT('Daily Checklist'!$B$2:$B$2000,"yyyy-mm-dd")=TEXT(($B$4+24),"yyyy-mm-dd"))*('Daily Checklist'!$L$2:$L$2000="Y"))&gt;0,SUMPRODUCT(('Daily Checklist'!$D$2:$D$2000=$A11)*(TEXT('Daily Checklist'!$B$2:$B$2000,"yyyy-mm-dd")=TEXT(($B$4+24),"yyyy-mm-dd"))*('Daily Checklist'!$F$2:$F$2000="Done"))&amp;"/"&amp;SUMPRODUCT(('Daily Checklist'!$D$2:$D$2000=$A11)*(TEXT('Daily Checklist'!$B$2:$B$2000,"yyyy-mm-dd")=TEXT(($B$4+24),"yyyy-mm-dd")))&amp;" ESC",SUMPRODUCT(('Daily Checklist'!$D$2:$D$2000=$A11)*(TEXT('Daily Checklist'!$B$2:$B$2000,"yyyy-mm-dd")=TEXT(($B$4+24),"yyyy-mm-dd"))*('Daily Checklist'!$F$2:$F$2000="Done"))&amp;"/"&amp;SUMPRODUCT(('Daily Checklist'!$D$2:$D$2000=$A11)*(TEXT('Daily Checklist'!$B$2:$B$2000,"yyyy-mm-dd")=TEXT(($B$4+24),"yyyy-mm-dd"))))))</f>
        <v>-</v>
      </c>
      <c r="AA11" s="25" t="str">
        <f aca="false">IF($A11="","",IF(SUMPRODUCT(('Daily Checklist'!$D$2:$D$2000=$A11)*(TEXT('Daily Checklist'!$B$2:$B$2000,"yyyy-mm-dd")=TEXT(($B$4+25),"yyyy-mm-dd")))=0,"-",IF(SUMPRODUCT(('Daily Checklist'!$D$2:$D$2000=$A11)*(TEXT('Daily Checklist'!$B$2:$B$2000,"yyyy-mm-dd")=TEXT(($B$4+25),"yyyy-mm-dd"))*('Daily Checklist'!$L$2:$L$2000="Y"))&gt;0,SUMPRODUCT(('Daily Checklist'!$D$2:$D$2000=$A11)*(TEXT('Daily Checklist'!$B$2:$B$2000,"yyyy-mm-dd")=TEXT(($B$4+25),"yyyy-mm-dd"))*('Daily Checklist'!$F$2:$F$2000="Done"))&amp;"/"&amp;SUMPRODUCT(('Daily Checklist'!$D$2:$D$2000=$A11)*(TEXT('Daily Checklist'!$B$2:$B$2000,"yyyy-mm-dd")=TEXT(($B$4+25),"yyyy-mm-dd")))&amp;" ESC",SUMPRODUCT(('Daily Checklist'!$D$2:$D$2000=$A11)*(TEXT('Daily Checklist'!$B$2:$B$2000,"yyyy-mm-dd")=TEXT(($B$4+25),"yyyy-mm-dd"))*('Daily Checklist'!$F$2:$F$2000="Done"))&amp;"/"&amp;SUMPRODUCT(('Daily Checklist'!$D$2:$D$2000=$A11)*(TEXT('Daily Checklist'!$B$2:$B$2000,"yyyy-mm-dd")=TEXT(($B$4+25),"yyyy-mm-dd"))))))</f>
        <v>-</v>
      </c>
      <c r="AB11" s="25" t="str">
        <f aca="false">IF($A11="","",IF(SUMPRODUCT(('Daily Checklist'!$D$2:$D$2000=$A11)*(TEXT('Daily Checklist'!$B$2:$B$2000,"yyyy-mm-dd")=TEXT(($B$4+26),"yyyy-mm-dd")))=0,"-",IF(SUMPRODUCT(('Daily Checklist'!$D$2:$D$2000=$A11)*(TEXT('Daily Checklist'!$B$2:$B$2000,"yyyy-mm-dd")=TEXT(($B$4+26),"yyyy-mm-dd"))*('Daily Checklist'!$L$2:$L$2000="Y"))&gt;0,SUMPRODUCT(('Daily Checklist'!$D$2:$D$2000=$A11)*(TEXT('Daily Checklist'!$B$2:$B$2000,"yyyy-mm-dd")=TEXT(($B$4+26),"yyyy-mm-dd"))*('Daily Checklist'!$F$2:$F$2000="Done"))&amp;"/"&amp;SUMPRODUCT(('Daily Checklist'!$D$2:$D$2000=$A11)*(TEXT('Daily Checklist'!$B$2:$B$2000,"yyyy-mm-dd")=TEXT(($B$4+26),"yyyy-mm-dd")))&amp;" ESC",SUMPRODUCT(('Daily Checklist'!$D$2:$D$2000=$A11)*(TEXT('Daily Checklist'!$B$2:$B$2000,"yyyy-mm-dd")=TEXT(($B$4+26),"yyyy-mm-dd"))*('Daily Checklist'!$F$2:$F$2000="Done"))&amp;"/"&amp;SUMPRODUCT(('Daily Checklist'!$D$2:$D$2000=$A11)*(TEXT('Daily Checklist'!$B$2:$B$2000,"yyyy-mm-dd")=TEXT(($B$4+26),"yyyy-mm-dd"))))))</f>
        <v>-</v>
      </c>
      <c r="AC11" s="25" t="str">
        <f aca="false">IF($A11="","",IF(SUMPRODUCT(('Daily Checklist'!$D$2:$D$2000=$A11)*(TEXT('Daily Checklist'!$B$2:$B$2000,"yyyy-mm-dd")=TEXT(($B$4+27),"yyyy-mm-dd")))=0,"-",IF(SUMPRODUCT(('Daily Checklist'!$D$2:$D$2000=$A11)*(TEXT('Daily Checklist'!$B$2:$B$2000,"yyyy-mm-dd")=TEXT(($B$4+27),"yyyy-mm-dd"))*('Daily Checklist'!$L$2:$L$2000="Y"))&gt;0,SUMPRODUCT(('Daily Checklist'!$D$2:$D$2000=$A11)*(TEXT('Daily Checklist'!$B$2:$B$2000,"yyyy-mm-dd")=TEXT(($B$4+27),"yyyy-mm-dd"))*('Daily Checklist'!$F$2:$F$2000="Done"))&amp;"/"&amp;SUMPRODUCT(('Daily Checklist'!$D$2:$D$2000=$A11)*(TEXT('Daily Checklist'!$B$2:$B$2000,"yyyy-mm-dd")=TEXT(($B$4+27),"yyyy-mm-dd")))&amp;" ESC",SUMPRODUCT(('Daily Checklist'!$D$2:$D$2000=$A11)*(TEXT('Daily Checklist'!$B$2:$B$2000,"yyyy-mm-dd")=TEXT(($B$4+27),"yyyy-mm-dd"))*('Daily Checklist'!$F$2:$F$2000="Done"))&amp;"/"&amp;SUMPRODUCT(('Daily Checklist'!$D$2:$D$2000=$A11)*(TEXT('Daily Checklist'!$B$2:$B$2000,"yyyy-mm-dd")=TEXT(($B$4+27),"yyyy-mm-dd"))))))</f>
        <v>-</v>
      </c>
      <c r="AD11" s="25" t="str">
        <f aca="false">IF($A11="","",IF(SUMPRODUCT(('Daily Checklist'!$D$2:$D$2000=$A11)*(TEXT('Daily Checklist'!$B$2:$B$2000,"yyyy-mm-dd")=TEXT(($B$4+28),"yyyy-mm-dd")))=0,"-",IF(SUMPRODUCT(('Daily Checklist'!$D$2:$D$2000=$A11)*(TEXT('Daily Checklist'!$B$2:$B$2000,"yyyy-mm-dd")=TEXT(($B$4+28),"yyyy-mm-dd"))*('Daily Checklist'!$L$2:$L$2000="Y"))&gt;0,SUMPRODUCT(('Daily Checklist'!$D$2:$D$2000=$A11)*(TEXT('Daily Checklist'!$B$2:$B$2000,"yyyy-mm-dd")=TEXT(($B$4+28),"yyyy-mm-dd"))*('Daily Checklist'!$F$2:$F$2000="Done"))&amp;"/"&amp;SUMPRODUCT(('Daily Checklist'!$D$2:$D$2000=$A11)*(TEXT('Daily Checklist'!$B$2:$B$2000,"yyyy-mm-dd")=TEXT(($B$4+28),"yyyy-mm-dd")))&amp;" ESC",SUMPRODUCT(('Daily Checklist'!$D$2:$D$2000=$A11)*(TEXT('Daily Checklist'!$B$2:$B$2000,"yyyy-mm-dd")=TEXT(($B$4+28),"yyyy-mm-dd"))*('Daily Checklist'!$F$2:$F$2000="Done"))&amp;"/"&amp;SUMPRODUCT(('Daily Checklist'!$D$2:$D$2000=$A11)*(TEXT('Daily Checklist'!$B$2:$B$2000,"yyyy-mm-dd")=TEXT(($B$4+28),"yyyy-mm-dd"))))))</f>
        <v>-</v>
      </c>
      <c r="AE11" s="25" t="str">
        <f aca="false">IF($A11="","",IF(SUMPRODUCT(('Daily Checklist'!$D$2:$D$2000=$A11)*(TEXT('Daily Checklist'!$B$2:$B$2000,"yyyy-mm-dd")=TEXT(($B$4+29),"yyyy-mm-dd")))=0,"-",IF(SUMPRODUCT(('Daily Checklist'!$D$2:$D$2000=$A11)*(TEXT('Daily Checklist'!$B$2:$B$2000,"yyyy-mm-dd")=TEXT(($B$4+29),"yyyy-mm-dd"))*('Daily Checklist'!$L$2:$L$2000="Y"))&gt;0,SUMPRODUCT(('Daily Checklist'!$D$2:$D$2000=$A11)*(TEXT('Daily Checklist'!$B$2:$B$2000,"yyyy-mm-dd")=TEXT(($B$4+29),"yyyy-mm-dd"))*('Daily Checklist'!$F$2:$F$2000="Done"))&amp;"/"&amp;SUMPRODUCT(('Daily Checklist'!$D$2:$D$2000=$A11)*(TEXT('Daily Checklist'!$B$2:$B$2000,"yyyy-mm-dd")=TEXT(($B$4+29),"yyyy-mm-dd")))&amp;" ESC",SUMPRODUCT(('Daily Checklist'!$D$2:$D$2000=$A11)*(TEXT('Daily Checklist'!$B$2:$B$2000,"yyyy-mm-dd")=TEXT(($B$4+29),"yyyy-mm-dd"))*('Daily Checklist'!$F$2:$F$2000="Done"))&amp;"/"&amp;SUMPRODUCT(('Daily Checklist'!$D$2:$D$2000=$A11)*(TEXT('Daily Checklist'!$B$2:$B$2000,"yyyy-mm-dd")=TEXT(($B$4+29),"yyyy-mm-dd"))))))</f>
        <v>-</v>
      </c>
      <c r="AF11" s="25" t="str">
        <f aca="false">IF($A11="","",IF(SUMPRODUCT(('Daily Checklist'!$D$2:$D$2000=$A11)*(TEXT('Daily Checklist'!$B$2:$B$2000,"yyyy-mm-dd")=TEXT(($B$4+30),"yyyy-mm-dd")))=0,"-",IF(SUMPRODUCT(('Daily Checklist'!$D$2:$D$2000=$A11)*(TEXT('Daily Checklist'!$B$2:$B$2000,"yyyy-mm-dd")=TEXT(($B$4+30),"yyyy-mm-dd"))*('Daily Checklist'!$L$2:$L$2000="Y"))&gt;0,SUMPRODUCT(('Daily Checklist'!$D$2:$D$2000=$A11)*(TEXT('Daily Checklist'!$B$2:$B$2000,"yyyy-mm-dd")=TEXT(($B$4+30),"yyyy-mm-dd"))*('Daily Checklist'!$F$2:$F$2000="Done"))&amp;"/"&amp;SUMPRODUCT(('Daily Checklist'!$D$2:$D$2000=$A11)*(TEXT('Daily Checklist'!$B$2:$B$2000,"yyyy-mm-dd")=TEXT(($B$4+30),"yyyy-mm-dd")))&amp;" ESC",SUMPRODUCT(('Daily Checklist'!$D$2:$D$2000=$A11)*(TEXT('Daily Checklist'!$B$2:$B$2000,"yyyy-mm-dd")=TEXT(($B$4+30),"yyyy-mm-dd"))*('Daily Checklist'!$F$2:$F$2000="Done"))&amp;"/"&amp;SUMPRODUCT(('Daily Checklist'!$D$2:$D$2000=$A11)*(TEXT('Daily Checklist'!$B$2:$B$2000,"yyyy-mm-dd")=TEXT(($B$4+30),"yyyy-mm-dd"))))))</f>
        <v>-</v>
      </c>
    </row>
    <row r="12" customFormat="false" ht="15" hidden="false" customHeight="true" outlineLevel="0" collapsed="false">
      <c r="A12" s="24" t="str">
        <f aca="false">IFERROR(IF(Employees!A7="","",Employees!A7),"")</f>
        <v>Aparna Kumari</v>
      </c>
      <c r="B12" s="25" t="str">
        <f aca="false">IF($A12="","",IF(SUMPRODUCT(('Daily Checklist'!$D$2:$D$2000=$A12)*(TEXT('Daily Checklist'!$B$2:$B$2000,"yyyy-mm-dd")=TEXT(($B$4+0),"yyyy-mm-dd")))=0,"-",IF(SUMPRODUCT(('Daily Checklist'!$D$2:$D$2000=$A12)*(TEXT('Daily Checklist'!$B$2:$B$2000,"yyyy-mm-dd")=TEXT(($B$4+0),"yyyy-mm-dd"))*('Daily Checklist'!$L$2:$L$2000="Y"))&gt;0,SUMPRODUCT(('Daily Checklist'!$D$2:$D$2000=$A12)*(TEXT('Daily Checklist'!$B$2:$B$2000,"yyyy-mm-dd")=TEXT(($B$4+0),"yyyy-mm-dd"))*('Daily Checklist'!$F$2:$F$2000="Done"))&amp;"/"&amp;SUMPRODUCT(('Daily Checklist'!$D$2:$D$2000=$A12)*(TEXT('Daily Checklist'!$B$2:$B$2000,"yyyy-mm-dd")=TEXT(($B$4+0),"yyyy-mm-dd")))&amp;" ESC",SUMPRODUCT(('Daily Checklist'!$D$2:$D$2000=$A12)*(TEXT('Daily Checklist'!$B$2:$B$2000,"yyyy-mm-dd")=TEXT(($B$4+0),"yyyy-mm-dd"))*('Daily Checklist'!$F$2:$F$2000="Done"))&amp;"/"&amp;SUMPRODUCT(('Daily Checklist'!$D$2:$D$2000=$A12)*(TEXT('Daily Checklist'!$B$2:$B$2000,"yyyy-mm-dd")=TEXT(($B$4+0),"yyyy-mm-dd"))))))</f>
        <v>-</v>
      </c>
      <c r="C12" s="25" t="str">
        <f aca="false">IF($A12="","",IF(SUMPRODUCT(('Daily Checklist'!$D$2:$D$2000=$A12)*(TEXT('Daily Checklist'!$B$2:$B$2000,"yyyy-mm-dd")=TEXT(($B$4+1),"yyyy-mm-dd")))=0,"-",IF(SUMPRODUCT(('Daily Checklist'!$D$2:$D$2000=$A12)*(TEXT('Daily Checklist'!$B$2:$B$2000,"yyyy-mm-dd")=TEXT(($B$4+1),"yyyy-mm-dd"))*('Daily Checklist'!$L$2:$L$2000="Y"))&gt;0,SUMPRODUCT(('Daily Checklist'!$D$2:$D$2000=$A12)*(TEXT('Daily Checklist'!$B$2:$B$2000,"yyyy-mm-dd")=TEXT(($B$4+1),"yyyy-mm-dd"))*('Daily Checklist'!$F$2:$F$2000="Done"))&amp;"/"&amp;SUMPRODUCT(('Daily Checklist'!$D$2:$D$2000=$A12)*(TEXT('Daily Checklist'!$B$2:$B$2000,"yyyy-mm-dd")=TEXT(($B$4+1),"yyyy-mm-dd")))&amp;" ESC",SUMPRODUCT(('Daily Checklist'!$D$2:$D$2000=$A12)*(TEXT('Daily Checklist'!$B$2:$B$2000,"yyyy-mm-dd")=TEXT(($B$4+1),"yyyy-mm-dd"))*('Daily Checklist'!$F$2:$F$2000="Done"))&amp;"/"&amp;SUMPRODUCT(('Daily Checklist'!$D$2:$D$2000=$A12)*(TEXT('Daily Checklist'!$B$2:$B$2000,"yyyy-mm-dd")=TEXT(($B$4+1),"yyyy-mm-dd"))))))</f>
        <v>-</v>
      </c>
      <c r="D12" s="25" t="str">
        <f aca="false">IF($A12="","",IF(SUMPRODUCT(('Daily Checklist'!$D$2:$D$2000=$A12)*(TEXT('Daily Checklist'!$B$2:$B$2000,"yyyy-mm-dd")=TEXT(($B$4+2),"yyyy-mm-dd")))=0,"-",IF(SUMPRODUCT(('Daily Checklist'!$D$2:$D$2000=$A12)*(TEXT('Daily Checklist'!$B$2:$B$2000,"yyyy-mm-dd")=TEXT(($B$4+2),"yyyy-mm-dd"))*('Daily Checklist'!$L$2:$L$2000="Y"))&gt;0,SUMPRODUCT(('Daily Checklist'!$D$2:$D$2000=$A12)*(TEXT('Daily Checklist'!$B$2:$B$2000,"yyyy-mm-dd")=TEXT(($B$4+2),"yyyy-mm-dd"))*('Daily Checklist'!$F$2:$F$2000="Done"))&amp;"/"&amp;SUMPRODUCT(('Daily Checklist'!$D$2:$D$2000=$A12)*(TEXT('Daily Checklist'!$B$2:$B$2000,"yyyy-mm-dd")=TEXT(($B$4+2),"yyyy-mm-dd")))&amp;" ESC",SUMPRODUCT(('Daily Checklist'!$D$2:$D$2000=$A12)*(TEXT('Daily Checklist'!$B$2:$B$2000,"yyyy-mm-dd")=TEXT(($B$4+2),"yyyy-mm-dd"))*('Daily Checklist'!$F$2:$F$2000="Done"))&amp;"/"&amp;SUMPRODUCT(('Daily Checklist'!$D$2:$D$2000=$A12)*(TEXT('Daily Checklist'!$B$2:$B$2000,"yyyy-mm-dd")=TEXT(($B$4+2),"yyyy-mm-dd"))))))</f>
        <v>-</v>
      </c>
      <c r="E12" s="25" t="str">
        <f aca="false">IF($A12="","",IF(SUMPRODUCT(('Daily Checklist'!$D$2:$D$2000=$A12)*(TEXT('Daily Checklist'!$B$2:$B$2000,"yyyy-mm-dd")=TEXT(($B$4+3),"yyyy-mm-dd")))=0,"-",IF(SUMPRODUCT(('Daily Checklist'!$D$2:$D$2000=$A12)*(TEXT('Daily Checklist'!$B$2:$B$2000,"yyyy-mm-dd")=TEXT(($B$4+3),"yyyy-mm-dd"))*('Daily Checklist'!$L$2:$L$2000="Y"))&gt;0,SUMPRODUCT(('Daily Checklist'!$D$2:$D$2000=$A12)*(TEXT('Daily Checklist'!$B$2:$B$2000,"yyyy-mm-dd")=TEXT(($B$4+3),"yyyy-mm-dd"))*('Daily Checklist'!$F$2:$F$2000="Done"))&amp;"/"&amp;SUMPRODUCT(('Daily Checklist'!$D$2:$D$2000=$A12)*(TEXT('Daily Checklist'!$B$2:$B$2000,"yyyy-mm-dd")=TEXT(($B$4+3),"yyyy-mm-dd")))&amp;" ESC",SUMPRODUCT(('Daily Checklist'!$D$2:$D$2000=$A12)*(TEXT('Daily Checklist'!$B$2:$B$2000,"yyyy-mm-dd")=TEXT(($B$4+3),"yyyy-mm-dd"))*('Daily Checklist'!$F$2:$F$2000="Done"))&amp;"/"&amp;SUMPRODUCT(('Daily Checklist'!$D$2:$D$2000=$A12)*(TEXT('Daily Checklist'!$B$2:$B$2000,"yyyy-mm-dd")=TEXT(($B$4+3),"yyyy-mm-dd"))))))</f>
        <v>-</v>
      </c>
      <c r="F12" s="25" t="str">
        <f aca="false">IF($A12="","",IF(SUMPRODUCT(('Daily Checklist'!$D$2:$D$2000=$A12)*(TEXT('Daily Checklist'!$B$2:$B$2000,"yyyy-mm-dd")=TEXT(($B$4+4),"yyyy-mm-dd")))=0,"-",IF(SUMPRODUCT(('Daily Checklist'!$D$2:$D$2000=$A12)*(TEXT('Daily Checklist'!$B$2:$B$2000,"yyyy-mm-dd")=TEXT(($B$4+4),"yyyy-mm-dd"))*('Daily Checklist'!$L$2:$L$2000="Y"))&gt;0,SUMPRODUCT(('Daily Checklist'!$D$2:$D$2000=$A12)*(TEXT('Daily Checklist'!$B$2:$B$2000,"yyyy-mm-dd")=TEXT(($B$4+4),"yyyy-mm-dd"))*('Daily Checklist'!$F$2:$F$2000="Done"))&amp;"/"&amp;SUMPRODUCT(('Daily Checklist'!$D$2:$D$2000=$A12)*(TEXT('Daily Checklist'!$B$2:$B$2000,"yyyy-mm-dd")=TEXT(($B$4+4),"yyyy-mm-dd")))&amp;" ESC",SUMPRODUCT(('Daily Checklist'!$D$2:$D$2000=$A12)*(TEXT('Daily Checklist'!$B$2:$B$2000,"yyyy-mm-dd")=TEXT(($B$4+4),"yyyy-mm-dd"))*('Daily Checklist'!$F$2:$F$2000="Done"))&amp;"/"&amp;SUMPRODUCT(('Daily Checklist'!$D$2:$D$2000=$A12)*(TEXT('Daily Checklist'!$B$2:$B$2000,"yyyy-mm-dd")=TEXT(($B$4+4),"yyyy-mm-dd"))))))</f>
        <v>-</v>
      </c>
      <c r="G12" s="25" t="str">
        <f aca="false">IF($A12="","",IF(SUMPRODUCT(('Daily Checklist'!$D$2:$D$2000=$A12)*(TEXT('Daily Checklist'!$B$2:$B$2000,"yyyy-mm-dd")=TEXT(($B$4+5),"yyyy-mm-dd")))=0,"-",IF(SUMPRODUCT(('Daily Checklist'!$D$2:$D$2000=$A12)*(TEXT('Daily Checklist'!$B$2:$B$2000,"yyyy-mm-dd")=TEXT(($B$4+5),"yyyy-mm-dd"))*('Daily Checklist'!$L$2:$L$2000="Y"))&gt;0,SUMPRODUCT(('Daily Checklist'!$D$2:$D$2000=$A12)*(TEXT('Daily Checklist'!$B$2:$B$2000,"yyyy-mm-dd")=TEXT(($B$4+5),"yyyy-mm-dd"))*('Daily Checklist'!$F$2:$F$2000="Done"))&amp;"/"&amp;SUMPRODUCT(('Daily Checklist'!$D$2:$D$2000=$A12)*(TEXT('Daily Checklist'!$B$2:$B$2000,"yyyy-mm-dd")=TEXT(($B$4+5),"yyyy-mm-dd")))&amp;" ESC",SUMPRODUCT(('Daily Checklist'!$D$2:$D$2000=$A12)*(TEXT('Daily Checklist'!$B$2:$B$2000,"yyyy-mm-dd")=TEXT(($B$4+5),"yyyy-mm-dd"))*('Daily Checklist'!$F$2:$F$2000="Done"))&amp;"/"&amp;SUMPRODUCT(('Daily Checklist'!$D$2:$D$2000=$A12)*(TEXT('Daily Checklist'!$B$2:$B$2000,"yyyy-mm-dd")=TEXT(($B$4+5),"yyyy-mm-dd"))))))</f>
        <v>-</v>
      </c>
      <c r="H12" s="25" t="str">
        <f aca="false">IF($A12="","",IF(SUMPRODUCT(('Daily Checklist'!$D$2:$D$2000=$A12)*(TEXT('Daily Checklist'!$B$2:$B$2000,"yyyy-mm-dd")=TEXT(($B$4+6),"yyyy-mm-dd")))=0,"-",IF(SUMPRODUCT(('Daily Checklist'!$D$2:$D$2000=$A12)*(TEXT('Daily Checklist'!$B$2:$B$2000,"yyyy-mm-dd")=TEXT(($B$4+6),"yyyy-mm-dd"))*('Daily Checklist'!$L$2:$L$2000="Y"))&gt;0,SUMPRODUCT(('Daily Checklist'!$D$2:$D$2000=$A12)*(TEXT('Daily Checklist'!$B$2:$B$2000,"yyyy-mm-dd")=TEXT(($B$4+6),"yyyy-mm-dd"))*('Daily Checklist'!$F$2:$F$2000="Done"))&amp;"/"&amp;SUMPRODUCT(('Daily Checklist'!$D$2:$D$2000=$A12)*(TEXT('Daily Checklist'!$B$2:$B$2000,"yyyy-mm-dd")=TEXT(($B$4+6),"yyyy-mm-dd")))&amp;" ESC",SUMPRODUCT(('Daily Checklist'!$D$2:$D$2000=$A12)*(TEXT('Daily Checklist'!$B$2:$B$2000,"yyyy-mm-dd")=TEXT(($B$4+6),"yyyy-mm-dd"))*('Daily Checklist'!$F$2:$F$2000="Done"))&amp;"/"&amp;SUMPRODUCT(('Daily Checklist'!$D$2:$D$2000=$A12)*(TEXT('Daily Checklist'!$B$2:$B$2000,"yyyy-mm-dd")=TEXT(($B$4+6),"yyyy-mm-dd"))))))</f>
        <v>-</v>
      </c>
      <c r="I12" s="25" t="str">
        <f aca="false">IF($A12="","",IF(SUMPRODUCT(('Daily Checklist'!$D$2:$D$2000=$A12)*(TEXT('Daily Checklist'!$B$2:$B$2000,"yyyy-mm-dd")=TEXT(($B$4+7),"yyyy-mm-dd")))=0,"-",IF(SUMPRODUCT(('Daily Checklist'!$D$2:$D$2000=$A12)*(TEXT('Daily Checklist'!$B$2:$B$2000,"yyyy-mm-dd")=TEXT(($B$4+7),"yyyy-mm-dd"))*('Daily Checklist'!$L$2:$L$2000="Y"))&gt;0,SUMPRODUCT(('Daily Checklist'!$D$2:$D$2000=$A12)*(TEXT('Daily Checklist'!$B$2:$B$2000,"yyyy-mm-dd")=TEXT(($B$4+7),"yyyy-mm-dd"))*('Daily Checklist'!$F$2:$F$2000="Done"))&amp;"/"&amp;SUMPRODUCT(('Daily Checklist'!$D$2:$D$2000=$A12)*(TEXT('Daily Checklist'!$B$2:$B$2000,"yyyy-mm-dd")=TEXT(($B$4+7),"yyyy-mm-dd")))&amp;" ESC",SUMPRODUCT(('Daily Checklist'!$D$2:$D$2000=$A12)*(TEXT('Daily Checklist'!$B$2:$B$2000,"yyyy-mm-dd")=TEXT(($B$4+7),"yyyy-mm-dd"))*('Daily Checklist'!$F$2:$F$2000="Done"))&amp;"/"&amp;SUMPRODUCT(('Daily Checklist'!$D$2:$D$2000=$A12)*(TEXT('Daily Checklist'!$B$2:$B$2000,"yyyy-mm-dd")=TEXT(($B$4+7),"yyyy-mm-dd"))))))</f>
        <v>-</v>
      </c>
      <c r="J12" s="25" t="str">
        <f aca="false">IF($A12="","",IF(SUMPRODUCT(('Daily Checklist'!$D$2:$D$2000=$A12)*(TEXT('Daily Checklist'!$B$2:$B$2000,"yyyy-mm-dd")=TEXT(($B$4+8),"yyyy-mm-dd")))=0,"-",IF(SUMPRODUCT(('Daily Checklist'!$D$2:$D$2000=$A12)*(TEXT('Daily Checklist'!$B$2:$B$2000,"yyyy-mm-dd")=TEXT(($B$4+8),"yyyy-mm-dd"))*('Daily Checklist'!$L$2:$L$2000="Y"))&gt;0,SUMPRODUCT(('Daily Checklist'!$D$2:$D$2000=$A12)*(TEXT('Daily Checklist'!$B$2:$B$2000,"yyyy-mm-dd")=TEXT(($B$4+8),"yyyy-mm-dd"))*('Daily Checklist'!$F$2:$F$2000="Done"))&amp;"/"&amp;SUMPRODUCT(('Daily Checklist'!$D$2:$D$2000=$A12)*(TEXT('Daily Checklist'!$B$2:$B$2000,"yyyy-mm-dd")=TEXT(($B$4+8),"yyyy-mm-dd")))&amp;" ESC",SUMPRODUCT(('Daily Checklist'!$D$2:$D$2000=$A12)*(TEXT('Daily Checklist'!$B$2:$B$2000,"yyyy-mm-dd")=TEXT(($B$4+8),"yyyy-mm-dd"))*('Daily Checklist'!$F$2:$F$2000="Done"))&amp;"/"&amp;SUMPRODUCT(('Daily Checklist'!$D$2:$D$2000=$A12)*(TEXT('Daily Checklist'!$B$2:$B$2000,"yyyy-mm-dd")=TEXT(($B$4+8),"yyyy-mm-dd"))))))</f>
        <v>-</v>
      </c>
      <c r="K12" s="25" t="str">
        <f aca="false">IF($A12="","",IF(SUMPRODUCT(('Daily Checklist'!$D$2:$D$2000=$A12)*(TEXT('Daily Checklist'!$B$2:$B$2000,"yyyy-mm-dd")=TEXT(($B$4+9),"yyyy-mm-dd")))=0,"-",IF(SUMPRODUCT(('Daily Checklist'!$D$2:$D$2000=$A12)*(TEXT('Daily Checklist'!$B$2:$B$2000,"yyyy-mm-dd")=TEXT(($B$4+9),"yyyy-mm-dd"))*('Daily Checklist'!$L$2:$L$2000="Y"))&gt;0,SUMPRODUCT(('Daily Checklist'!$D$2:$D$2000=$A12)*(TEXT('Daily Checklist'!$B$2:$B$2000,"yyyy-mm-dd")=TEXT(($B$4+9),"yyyy-mm-dd"))*('Daily Checklist'!$F$2:$F$2000="Done"))&amp;"/"&amp;SUMPRODUCT(('Daily Checklist'!$D$2:$D$2000=$A12)*(TEXT('Daily Checklist'!$B$2:$B$2000,"yyyy-mm-dd")=TEXT(($B$4+9),"yyyy-mm-dd")))&amp;" ESC",SUMPRODUCT(('Daily Checklist'!$D$2:$D$2000=$A12)*(TEXT('Daily Checklist'!$B$2:$B$2000,"yyyy-mm-dd")=TEXT(($B$4+9),"yyyy-mm-dd"))*('Daily Checklist'!$F$2:$F$2000="Done"))&amp;"/"&amp;SUMPRODUCT(('Daily Checklist'!$D$2:$D$2000=$A12)*(TEXT('Daily Checklist'!$B$2:$B$2000,"yyyy-mm-dd")=TEXT(($B$4+9),"yyyy-mm-dd"))))))</f>
        <v>-</v>
      </c>
      <c r="L12" s="25" t="str">
        <f aca="false">IF($A12="","",IF(SUMPRODUCT(('Daily Checklist'!$D$2:$D$2000=$A12)*(TEXT('Daily Checklist'!$B$2:$B$2000,"yyyy-mm-dd")=TEXT(($B$4+10),"yyyy-mm-dd")))=0,"-",IF(SUMPRODUCT(('Daily Checklist'!$D$2:$D$2000=$A12)*(TEXT('Daily Checklist'!$B$2:$B$2000,"yyyy-mm-dd")=TEXT(($B$4+10),"yyyy-mm-dd"))*('Daily Checklist'!$L$2:$L$2000="Y"))&gt;0,SUMPRODUCT(('Daily Checklist'!$D$2:$D$2000=$A12)*(TEXT('Daily Checklist'!$B$2:$B$2000,"yyyy-mm-dd")=TEXT(($B$4+10),"yyyy-mm-dd"))*('Daily Checklist'!$F$2:$F$2000="Done"))&amp;"/"&amp;SUMPRODUCT(('Daily Checklist'!$D$2:$D$2000=$A12)*(TEXT('Daily Checklist'!$B$2:$B$2000,"yyyy-mm-dd")=TEXT(($B$4+10),"yyyy-mm-dd")))&amp;" ESC",SUMPRODUCT(('Daily Checklist'!$D$2:$D$2000=$A12)*(TEXT('Daily Checklist'!$B$2:$B$2000,"yyyy-mm-dd")=TEXT(($B$4+10),"yyyy-mm-dd"))*('Daily Checklist'!$F$2:$F$2000="Done"))&amp;"/"&amp;SUMPRODUCT(('Daily Checklist'!$D$2:$D$2000=$A12)*(TEXT('Daily Checklist'!$B$2:$B$2000,"yyyy-mm-dd")=TEXT(($B$4+10),"yyyy-mm-dd"))))))</f>
        <v>-</v>
      </c>
      <c r="M12" s="25" t="str">
        <f aca="false">IF($A12="","",IF(SUMPRODUCT(('Daily Checklist'!$D$2:$D$2000=$A12)*(TEXT('Daily Checklist'!$B$2:$B$2000,"yyyy-mm-dd")=TEXT(($B$4+11),"yyyy-mm-dd")))=0,"-",IF(SUMPRODUCT(('Daily Checklist'!$D$2:$D$2000=$A12)*(TEXT('Daily Checklist'!$B$2:$B$2000,"yyyy-mm-dd")=TEXT(($B$4+11),"yyyy-mm-dd"))*('Daily Checklist'!$L$2:$L$2000="Y"))&gt;0,SUMPRODUCT(('Daily Checklist'!$D$2:$D$2000=$A12)*(TEXT('Daily Checklist'!$B$2:$B$2000,"yyyy-mm-dd")=TEXT(($B$4+11),"yyyy-mm-dd"))*('Daily Checklist'!$F$2:$F$2000="Done"))&amp;"/"&amp;SUMPRODUCT(('Daily Checklist'!$D$2:$D$2000=$A12)*(TEXT('Daily Checklist'!$B$2:$B$2000,"yyyy-mm-dd")=TEXT(($B$4+11),"yyyy-mm-dd")))&amp;" ESC",SUMPRODUCT(('Daily Checklist'!$D$2:$D$2000=$A12)*(TEXT('Daily Checklist'!$B$2:$B$2000,"yyyy-mm-dd")=TEXT(($B$4+11),"yyyy-mm-dd"))*('Daily Checklist'!$F$2:$F$2000="Done"))&amp;"/"&amp;SUMPRODUCT(('Daily Checklist'!$D$2:$D$2000=$A12)*(TEXT('Daily Checklist'!$B$2:$B$2000,"yyyy-mm-dd")=TEXT(($B$4+11),"yyyy-mm-dd"))))))</f>
        <v>-</v>
      </c>
      <c r="N12" s="25" t="str">
        <f aca="false">IF($A12="","",IF(SUMPRODUCT(('Daily Checklist'!$D$2:$D$2000=$A12)*(TEXT('Daily Checklist'!$B$2:$B$2000,"yyyy-mm-dd")=TEXT(($B$4+12),"yyyy-mm-dd")))=0,"-",IF(SUMPRODUCT(('Daily Checklist'!$D$2:$D$2000=$A12)*(TEXT('Daily Checklist'!$B$2:$B$2000,"yyyy-mm-dd")=TEXT(($B$4+12),"yyyy-mm-dd"))*('Daily Checklist'!$L$2:$L$2000="Y"))&gt;0,SUMPRODUCT(('Daily Checklist'!$D$2:$D$2000=$A12)*(TEXT('Daily Checklist'!$B$2:$B$2000,"yyyy-mm-dd")=TEXT(($B$4+12),"yyyy-mm-dd"))*('Daily Checklist'!$F$2:$F$2000="Done"))&amp;"/"&amp;SUMPRODUCT(('Daily Checklist'!$D$2:$D$2000=$A12)*(TEXT('Daily Checklist'!$B$2:$B$2000,"yyyy-mm-dd")=TEXT(($B$4+12),"yyyy-mm-dd")))&amp;" ESC",SUMPRODUCT(('Daily Checklist'!$D$2:$D$2000=$A12)*(TEXT('Daily Checklist'!$B$2:$B$2000,"yyyy-mm-dd")=TEXT(($B$4+12),"yyyy-mm-dd"))*('Daily Checklist'!$F$2:$F$2000="Done"))&amp;"/"&amp;SUMPRODUCT(('Daily Checklist'!$D$2:$D$2000=$A12)*(TEXT('Daily Checklist'!$B$2:$B$2000,"yyyy-mm-dd")=TEXT(($B$4+12),"yyyy-mm-dd"))))))</f>
        <v>-</v>
      </c>
      <c r="O12" s="25" t="str">
        <f aca="false">IF($A12="","",IF(SUMPRODUCT(('Daily Checklist'!$D$2:$D$2000=$A12)*(TEXT('Daily Checklist'!$B$2:$B$2000,"yyyy-mm-dd")=TEXT(($B$4+13),"yyyy-mm-dd")))=0,"-",IF(SUMPRODUCT(('Daily Checklist'!$D$2:$D$2000=$A12)*(TEXT('Daily Checklist'!$B$2:$B$2000,"yyyy-mm-dd")=TEXT(($B$4+13),"yyyy-mm-dd"))*('Daily Checklist'!$L$2:$L$2000="Y"))&gt;0,SUMPRODUCT(('Daily Checklist'!$D$2:$D$2000=$A12)*(TEXT('Daily Checklist'!$B$2:$B$2000,"yyyy-mm-dd")=TEXT(($B$4+13),"yyyy-mm-dd"))*('Daily Checklist'!$F$2:$F$2000="Done"))&amp;"/"&amp;SUMPRODUCT(('Daily Checklist'!$D$2:$D$2000=$A12)*(TEXT('Daily Checklist'!$B$2:$B$2000,"yyyy-mm-dd")=TEXT(($B$4+13),"yyyy-mm-dd")))&amp;" ESC",SUMPRODUCT(('Daily Checklist'!$D$2:$D$2000=$A12)*(TEXT('Daily Checklist'!$B$2:$B$2000,"yyyy-mm-dd")=TEXT(($B$4+13),"yyyy-mm-dd"))*('Daily Checklist'!$F$2:$F$2000="Done"))&amp;"/"&amp;SUMPRODUCT(('Daily Checklist'!$D$2:$D$2000=$A12)*(TEXT('Daily Checklist'!$B$2:$B$2000,"yyyy-mm-dd")=TEXT(($B$4+13),"yyyy-mm-dd"))))))</f>
        <v>-</v>
      </c>
      <c r="P12" s="25" t="str">
        <f aca="false">IF($A12="","",IF(SUMPRODUCT(('Daily Checklist'!$D$2:$D$2000=$A12)*(TEXT('Daily Checklist'!$B$2:$B$2000,"yyyy-mm-dd")=TEXT(($B$4+14),"yyyy-mm-dd")))=0,"-",IF(SUMPRODUCT(('Daily Checklist'!$D$2:$D$2000=$A12)*(TEXT('Daily Checklist'!$B$2:$B$2000,"yyyy-mm-dd")=TEXT(($B$4+14),"yyyy-mm-dd"))*('Daily Checklist'!$L$2:$L$2000="Y"))&gt;0,SUMPRODUCT(('Daily Checklist'!$D$2:$D$2000=$A12)*(TEXT('Daily Checklist'!$B$2:$B$2000,"yyyy-mm-dd")=TEXT(($B$4+14),"yyyy-mm-dd"))*('Daily Checklist'!$F$2:$F$2000="Done"))&amp;"/"&amp;SUMPRODUCT(('Daily Checklist'!$D$2:$D$2000=$A12)*(TEXT('Daily Checklist'!$B$2:$B$2000,"yyyy-mm-dd")=TEXT(($B$4+14),"yyyy-mm-dd")))&amp;" ESC",SUMPRODUCT(('Daily Checklist'!$D$2:$D$2000=$A12)*(TEXT('Daily Checklist'!$B$2:$B$2000,"yyyy-mm-dd")=TEXT(($B$4+14),"yyyy-mm-dd"))*('Daily Checklist'!$F$2:$F$2000="Done"))&amp;"/"&amp;SUMPRODUCT(('Daily Checklist'!$D$2:$D$2000=$A12)*(TEXT('Daily Checklist'!$B$2:$B$2000,"yyyy-mm-dd")=TEXT(($B$4+14),"yyyy-mm-dd"))))))</f>
        <v>-</v>
      </c>
      <c r="Q12" s="25" t="str">
        <f aca="false">IF($A12="","",IF(SUMPRODUCT(('Daily Checklist'!$D$2:$D$2000=$A12)*(TEXT('Daily Checklist'!$B$2:$B$2000,"yyyy-mm-dd")=TEXT(($B$4+15),"yyyy-mm-dd")))=0,"-",IF(SUMPRODUCT(('Daily Checklist'!$D$2:$D$2000=$A12)*(TEXT('Daily Checklist'!$B$2:$B$2000,"yyyy-mm-dd")=TEXT(($B$4+15),"yyyy-mm-dd"))*('Daily Checklist'!$L$2:$L$2000="Y"))&gt;0,SUMPRODUCT(('Daily Checklist'!$D$2:$D$2000=$A12)*(TEXT('Daily Checklist'!$B$2:$B$2000,"yyyy-mm-dd")=TEXT(($B$4+15),"yyyy-mm-dd"))*('Daily Checklist'!$F$2:$F$2000="Done"))&amp;"/"&amp;SUMPRODUCT(('Daily Checklist'!$D$2:$D$2000=$A12)*(TEXT('Daily Checklist'!$B$2:$B$2000,"yyyy-mm-dd")=TEXT(($B$4+15),"yyyy-mm-dd")))&amp;" ESC",SUMPRODUCT(('Daily Checklist'!$D$2:$D$2000=$A12)*(TEXT('Daily Checklist'!$B$2:$B$2000,"yyyy-mm-dd")=TEXT(($B$4+15),"yyyy-mm-dd"))*('Daily Checklist'!$F$2:$F$2000="Done"))&amp;"/"&amp;SUMPRODUCT(('Daily Checklist'!$D$2:$D$2000=$A12)*(TEXT('Daily Checklist'!$B$2:$B$2000,"yyyy-mm-dd")=TEXT(($B$4+15),"yyyy-mm-dd"))))))</f>
        <v>-</v>
      </c>
      <c r="R12" s="25" t="str">
        <f aca="false">IF($A12="","",IF(SUMPRODUCT(('Daily Checklist'!$D$2:$D$2000=$A12)*(TEXT('Daily Checklist'!$B$2:$B$2000,"yyyy-mm-dd")=TEXT(($B$4+16),"yyyy-mm-dd")))=0,"-",IF(SUMPRODUCT(('Daily Checklist'!$D$2:$D$2000=$A12)*(TEXT('Daily Checklist'!$B$2:$B$2000,"yyyy-mm-dd")=TEXT(($B$4+16),"yyyy-mm-dd"))*('Daily Checklist'!$L$2:$L$2000="Y"))&gt;0,SUMPRODUCT(('Daily Checklist'!$D$2:$D$2000=$A12)*(TEXT('Daily Checklist'!$B$2:$B$2000,"yyyy-mm-dd")=TEXT(($B$4+16),"yyyy-mm-dd"))*('Daily Checklist'!$F$2:$F$2000="Done"))&amp;"/"&amp;SUMPRODUCT(('Daily Checklist'!$D$2:$D$2000=$A12)*(TEXT('Daily Checklist'!$B$2:$B$2000,"yyyy-mm-dd")=TEXT(($B$4+16),"yyyy-mm-dd")))&amp;" ESC",SUMPRODUCT(('Daily Checklist'!$D$2:$D$2000=$A12)*(TEXT('Daily Checklist'!$B$2:$B$2000,"yyyy-mm-dd")=TEXT(($B$4+16),"yyyy-mm-dd"))*('Daily Checklist'!$F$2:$F$2000="Done"))&amp;"/"&amp;SUMPRODUCT(('Daily Checklist'!$D$2:$D$2000=$A12)*(TEXT('Daily Checklist'!$B$2:$B$2000,"yyyy-mm-dd")=TEXT(($B$4+16),"yyyy-mm-dd"))))))</f>
        <v>-</v>
      </c>
      <c r="S12" s="25" t="str">
        <f aca="false">IF($A12="","",IF(SUMPRODUCT(('Daily Checklist'!$D$2:$D$2000=$A12)*(TEXT('Daily Checklist'!$B$2:$B$2000,"yyyy-mm-dd")=TEXT(($B$4+17),"yyyy-mm-dd")))=0,"-",IF(SUMPRODUCT(('Daily Checklist'!$D$2:$D$2000=$A12)*(TEXT('Daily Checklist'!$B$2:$B$2000,"yyyy-mm-dd")=TEXT(($B$4+17),"yyyy-mm-dd"))*('Daily Checklist'!$L$2:$L$2000="Y"))&gt;0,SUMPRODUCT(('Daily Checklist'!$D$2:$D$2000=$A12)*(TEXT('Daily Checklist'!$B$2:$B$2000,"yyyy-mm-dd")=TEXT(($B$4+17),"yyyy-mm-dd"))*('Daily Checklist'!$F$2:$F$2000="Done"))&amp;"/"&amp;SUMPRODUCT(('Daily Checklist'!$D$2:$D$2000=$A12)*(TEXT('Daily Checklist'!$B$2:$B$2000,"yyyy-mm-dd")=TEXT(($B$4+17),"yyyy-mm-dd")))&amp;" ESC",SUMPRODUCT(('Daily Checklist'!$D$2:$D$2000=$A12)*(TEXT('Daily Checklist'!$B$2:$B$2000,"yyyy-mm-dd")=TEXT(($B$4+17),"yyyy-mm-dd"))*('Daily Checklist'!$F$2:$F$2000="Done"))&amp;"/"&amp;SUMPRODUCT(('Daily Checklist'!$D$2:$D$2000=$A12)*(TEXT('Daily Checklist'!$B$2:$B$2000,"yyyy-mm-dd")=TEXT(($B$4+17),"yyyy-mm-dd"))))))</f>
        <v>-</v>
      </c>
      <c r="T12" s="25" t="str">
        <f aca="false">IF($A12="","",IF(SUMPRODUCT(('Daily Checklist'!$D$2:$D$2000=$A12)*(TEXT('Daily Checklist'!$B$2:$B$2000,"yyyy-mm-dd")=TEXT(($B$4+18),"yyyy-mm-dd")))=0,"-",IF(SUMPRODUCT(('Daily Checklist'!$D$2:$D$2000=$A12)*(TEXT('Daily Checklist'!$B$2:$B$2000,"yyyy-mm-dd")=TEXT(($B$4+18),"yyyy-mm-dd"))*('Daily Checklist'!$L$2:$L$2000="Y"))&gt;0,SUMPRODUCT(('Daily Checklist'!$D$2:$D$2000=$A12)*(TEXT('Daily Checklist'!$B$2:$B$2000,"yyyy-mm-dd")=TEXT(($B$4+18),"yyyy-mm-dd"))*('Daily Checklist'!$F$2:$F$2000="Done"))&amp;"/"&amp;SUMPRODUCT(('Daily Checklist'!$D$2:$D$2000=$A12)*(TEXT('Daily Checklist'!$B$2:$B$2000,"yyyy-mm-dd")=TEXT(($B$4+18),"yyyy-mm-dd")))&amp;" ESC",SUMPRODUCT(('Daily Checklist'!$D$2:$D$2000=$A12)*(TEXT('Daily Checklist'!$B$2:$B$2000,"yyyy-mm-dd")=TEXT(($B$4+18),"yyyy-mm-dd"))*('Daily Checklist'!$F$2:$F$2000="Done"))&amp;"/"&amp;SUMPRODUCT(('Daily Checklist'!$D$2:$D$2000=$A12)*(TEXT('Daily Checklist'!$B$2:$B$2000,"yyyy-mm-dd")=TEXT(($B$4+18),"yyyy-mm-dd"))))))</f>
        <v>-</v>
      </c>
      <c r="U12" s="25" t="str">
        <f aca="false">IF($A12="","",IF(SUMPRODUCT(('Daily Checklist'!$D$2:$D$2000=$A12)*(TEXT('Daily Checklist'!$B$2:$B$2000,"yyyy-mm-dd")=TEXT(($B$4+19),"yyyy-mm-dd")))=0,"-",IF(SUMPRODUCT(('Daily Checklist'!$D$2:$D$2000=$A12)*(TEXT('Daily Checklist'!$B$2:$B$2000,"yyyy-mm-dd")=TEXT(($B$4+19),"yyyy-mm-dd"))*('Daily Checklist'!$L$2:$L$2000="Y"))&gt;0,SUMPRODUCT(('Daily Checklist'!$D$2:$D$2000=$A12)*(TEXT('Daily Checklist'!$B$2:$B$2000,"yyyy-mm-dd")=TEXT(($B$4+19),"yyyy-mm-dd"))*('Daily Checklist'!$F$2:$F$2000="Done"))&amp;"/"&amp;SUMPRODUCT(('Daily Checklist'!$D$2:$D$2000=$A12)*(TEXT('Daily Checklist'!$B$2:$B$2000,"yyyy-mm-dd")=TEXT(($B$4+19),"yyyy-mm-dd")))&amp;" ESC",SUMPRODUCT(('Daily Checklist'!$D$2:$D$2000=$A12)*(TEXT('Daily Checklist'!$B$2:$B$2000,"yyyy-mm-dd")=TEXT(($B$4+19),"yyyy-mm-dd"))*('Daily Checklist'!$F$2:$F$2000="Done"))&amp;"/"&amp;SUMPRODUCT(('Daily Checklist'!$D$2:$D$2000=$A12)*(TEXT('Daily Checklist'!$B$2:$B$2000,"yyyy-mm-dd")=TEXT(($B$4+19),"yyyy-mm-dd"))))))</f>
        <v>-</v>
      </c>
      <c r="V12" s="25" t="str">
        <f aca="false">IF($A12="","",IF(SUMPRODUCT(('Daily Checklist'!$D$2:$D$2000=$A12)*(TEXT('Daily Checklist'!$B$2:$B$2000,"yyyy-mm-dd")=TEXT(($B$4+20),"yyyy-mm-dd")))=0,"-",IF(SUMPRODUCT(('Daily Checklist'!$D$2:$D$2000=$A12)*(TEXT('Daily Checklist'!$B$2:$B$2000,"yyyy-mm-dd")=TEXT(($B$4+20),"yyyy-mm-dd"))*('Daily Checklist'!$L$2:$L$2000="Y"))&gt;0,SUMPRODUCT(('Daily Checklist'!$D$2:$D$2000=$A12)*(TEXT('Daily Checklist'!$B$2:$B$2000,"yyyy-mm-dd")=TEXT(($B$4+20),"yyyy-mm-dd"))*('Daily Checklist'!$F$2:$F$2000="Done"))&amp;"/"&amp;SUMPRODUCT(('Daily Checklist'!$D$2:$D$2000=$A12)*(TEXT('Daily Checklist'!$B$2:$B$2000,"yyyy-mm-dd")=TEXT(($B$4+20),"yyyy-mm-dd")))&amp;" ESC",SUMPRODUCT(('Daily Checklist'!$D$2:$D$2000=$A12)*(TEXT('Daily Checklist'!$B$2:$B$2000,"yyyy-mm-dd")=TEXT(($B$4+20),"yyyy-mm-dd"))*('Daily Checklist'!$F$2:$F$2000="Done"))&amp;"/"&amp;SUMPRODUCT(('Daily Checklist'!$D$2:$D$2000=$A12)*(TEXT('Daily Checklist'!$B$2:$B$2000,"yyyy-mm-dd")=TEXT(($B$4+20),"yyyy-mm-dd"))))))</f>
        <v>-</v>
      </c>
      <c r="W12" s="25" t="str">
        <f aca="false">IF($A12="","",IF(SUMPRODUCT(('Daily Checklist'!$D$2:$D$2000=$A12)*(TEXT('Daily Checklist'!$B$2:$B$2000,"yyyy-mm-dd")=TEXT(($B$4+21),"yyyy-mm-dd")))=0,"-",IF(SUMPRODUCT(('Daily Checklist'!$D$2:$D$2000=$A12)*(TEXT('Daily Checklist'!$B$2:$B$2000,"yyyy-mm-dd")=TEXT(($B$4+21),"yyyy-mm-dd"))*('Daily Checklist'!$L$2:$L$2000="Y"))&gt;0,SUMPRODUCT(('Daily Checklist'!$D$2:$D$2000=$A12)*(TEXT('Daily Checklist'!$B$2:$B$2000,"yyyy-mm-dd")=TEXT(($B$4+21),"yyyy-mm-dd"))*('Daily Checklist'!$F$2:$F$2000="Done"))&amp;"/"&amp;SUMPRODUCT(('Daily Checklist'!$D$2:$D$2000=$A12)*(TEXT('Daily Checklist'!$B$2:$B$2000,"yyyy-mm-dd")=TEXT(($B$4+21),"yyyy-mm-dd")))&amp;" ESC",SUMPRODUCT(('Daily Checklist'!$D$2:$D$2000=$A12)*(TEXT('Daily Checklist'!$B$2:$B$2000,"yyyy-mm-dd")=TEXT(($B$4+21),"yyyy-mm-dd"))*('Daily Checklist'!$F$2:$F$2000="Done"))&amp;"/"&amp;SUMPRODUCT(('Daily Checklist'!$D$2:$D$2000=$A12)*(TEXT('Daily Checklist'!$B$2:$B$2000,"yyyy-mm-dd")=TEXT(($B$4+21),"yyyy-mm-dd"))))))</f>
        <v>-</v>
      </c>
      <c r="X12" s="25" t="str">
        <f aca="false">IF($A12="","",IF(SUMPRODUCT(('Daily Checklist'!$D$2:$D$2000=$A12)*(TEXT('Daily Checklist'!$B$2:$B$2000,"yyyy-mm-dd")=TEXT(($B$4+22),"yyyy-mm-dd")))=0,"-",IF(SUMPRODUCT(('Daily Checklist'!$D$2:$D$2000=$A12)*(TEXT('Daily Checklist'!$B$2:$B$2000,"yyyy-mm-dd")=TEXT(($B$4+22),"yyyy-mm-dd"))*('Daily Checklist'!$L$2:$L$2000="Y"))&gt;0,SUMPRODUCT(('Daily Checklist'!$D$2:$D$2000=$A12)*(TEXT('Daily Checklist'!$B$2:$B$2000,"yyyy-mm-dd")=TEXT(($B$4+22),"yyyy-mm-dd"))*('Daily Checklist'!$F$2:$F$2000="Done"))&amp;"/"&amp;SUMPRODUCT(('Daily Checklist'!$D$2:$D$2000=$A12)*(TEXT('Daily Checklist'!$B$2:$B$2000,"yyyy-mm-dd")=TEXT(($B$4+22),"yyyy-mm-dd")))&amp;" ESC",SUMPRODUCT(('Daily Checklist'!$D$2:$D$2000=$A12)*(TEXT('Daily Checklist'!$B$2:$B$2000,"yyyy-mm-dd")=TEXT(($B$4+22),"yyyy-mm-dd"))*('Daily Checklist'!$F$2:$F$2000="Done"))&amp;"/"&amp;SUMPRODUCT(('Daily Checklist'!$D$2:$D$2000=$A12)*(TEXT('Daily Checklist'!$B$2:$B$2000,"yyyy-mm-dd")=TEXT(($B$4+22),"yyyy-mm-dd"))))))</f>
        <v>-</v>
      </c>
      <c r="Y12" s="25" t="str">
        <f aca="false">IF($A12="","",IF(SUMPRODUCT(('Daily Checklist'!$D$2:$D$2000=$A12)*(TEXT('Daily Checklist'!$B$2:$B$2000,"yyyy-mm-dd")=TEXT(($B$4+23),"yyyy-mm-dd")))=0,"-",IF(SUMPRODUCT(('Daily Checklist'!$D$2:$D$2000=$A12)*(TEXT('Daily Checklist'!$B$2:$B$2000,"yyyy-mm-dd")=TEXT(($B$4+23),"yyyy-mm-dd"))*('Daily Checklist'!$L$2:$L$2000="Y"))&gt;0,SUMPRODUCT(('Daily Checklist'!$D$2:$D$2000=$A12)*(TEXT('Daily Checklist'!$B$2:$B$2000,"yyyy-mm-dd")=TEXT(($B$4+23),"yyyy-mm-dd"))*('Daily Checklist'!$F$2:$F$2000="Done"))&amp;"/"&amp;SUMPRODUCT(('Daily Checklist'!$D$2:$D$2000=$A12)*(TEXT('Daily Checklist'!$B$2:$B$2000,"yyyy-mm-dd")=TEXT(($B$4+23),"yyyy-mm-dd")))&amp;" ESC",SUMPRODUCT(('Daily Checklist'!$D$2:$D$2000=$A12)*(TEXT('Daily Checklist'!$B$2:$B$2000,"yyyy-mm-dd")=TEXT(($B$4+23),"yyyy-mm-dd"))*('Daily Checklist'!$F$2:$F$2000="Done"))&amp;"/"&amp;SUMPRODUCT(('Daily Checklist'!$D$2:$D$2000=$A12)*(TEXT('Daily Checklist'!$B$2:$B$2000,"yyyy-mm-dd")=TEXT(($B$4+23),"yyyy-mm-dd"))))))</f>
        <v>-</v>
      </c>
      <c r="Z12" s="25" t="str">
        <f aca="false">IF($A12="","",IF(SUMPRODUCT(('Daily Checklist'!$D$2:$D$2000=$A12)*(TEXT('Daily Checklist'!$B$2:$B$2000,"yyyy-mm-dd")=TEXT(($B$4+24),"yyyy-mm-dd")))=0,"-",IF(SUMPRODUCT(('Daily Checklist'!$D$2:$D$2000=$A12)*(TEXT('Daily Checklist'!$B$2:$B$2000,"yyyy-mm-dd")=TEXT(($B$4+24),"yyyy-mm-dd"))*('Daily Checklist'!$L$2:$L$2000="Y"))&gt;0,SUMPRODUCT(('Daily Checklist'!$D$2:$D$2000=$A12)*(TEXT('Daily Checklist'!$B$2:$B$2000,"yyyy-mm-dd")=TEXT(($B$4+24),"yyyy-mm-dd"))*('Daily Checklist'!$F$2:$F$2000="Done"))&amp;"/"&amp;SUMPRODUCT(('Daily Checklist'!$D$2:$D$2000=$A12)*(TEXT('Daily Checklist'!$B$2:$B$2000,"yyyy-mm-dd")=TEXT(($B$4+24),"yyyy-mm-dd")))&amp;" ESC",SUMPRODUCT(('Daily Checklist'!$D$2:$D$2000=$A12)*(TEXT('Daily Checklist'!$B$2:$B$2000,"yyyy-mm-dd")=TEXT(($B$4+24),"yyyy-mm-dd"))*('Daily Checklist'!$F$2:$F$2000="Done"))&amp;"/"&amp;SUMPRODUCT(('Daily Checklist'!$D$2:$D$2000=$A12)*(TEXT('Daily Checklist'!$B$2:$B$2000,"yyyy-mm-dd")=TEXT(($B$4+24),"yyyy-mm-dd"))))))</f>
        <v>-</v>
      </c>
      <c r="AA12" s="25" t="str">
        <f aca="false">IF($A12="","",IF(SUMPRODUCT(('Daily Checklist'!$D$2:$D$2000=$A12)*(TEXT('Daily Checklist'!$B$2:$B$2000,"yyyy-mm-dd")=TEXT(($B$4+25),"yyyy-mm-dd")))=0,"-",IF(SUMPRODUCT(('Daily Checklist'!$D$2:$D$2000=$A12)*(TEXT('Daily Checklist'!$B$2:$B$2000,"yyyy-mm-dd")=TEXT(($B$4+25),"yyyy-mm-dd"))*('Daily Checklist'!$L$2:$L$2000="Y"))&gt;0,SUMPRODUCT(('Daily Checklist'!$D$2:$D$2000=$A12)*(TEXT('Daily Checklist'!$B$2:$B$2000,"yyyy-mm-dd")=TEXT(($B$4+25),"yyyy-mm-dd"))*('Daily Checklist'!$F$2:$F$2000="Done"))&amp;"/"&amp;SUMPRODUCT(('Daily Checklist'!$D$2:$D$2000=$A12)*(TEXT('Daily Checklist'!$B$2:$B$2000,"yyyy-mm-dd")=TEXT(($B$4+25),"yyyy-mm-dd")))&amp;" ESC",SUMPRODUCT(('Daily Checklist'!$D$2:$D$2000=$A12)*(TEXT('Daily Checklist'!$B$2:$B$2000,"yyyy-mm-dd")=TEXT(($B$4+25),"yyyy-mm-dd"))*('Daily Checklist'!$F$2:$F$2000="Done"))&amp;"/"&amp;SUMPRODUCT(('Daily Checklist'!$D$2:$D$2000=$A12)*(TEXT('Daily Checklist'!$B$2:$B$2000,"yyyy-mm-dd")=TEXT(($B$4+25),"yyyy-mm-dd"))))))</f>
        <v>-</v>
      </c>
      <c r="AB12" s="25" t="str">
        <f aca="false">IF($A12="","",IF(SUMPRODUCT(('Daily Checklist'!$D$2:$D$2000=$A12)*(TEXT('Daily Checklist'!$B$2:$B$2000,"yyyy-mm-dd")=TEXT(($B$4+26),"yyyy-mm-dd")))=0,"-",IF(SUMPRODUCT(('Daily Checklist'!$D$2:$D$2000=$A12)*(TEXT('Daily Checklist'!$B$2:$B$2000,"yyyy-mm-dd")=TEXT(($B$4+26),"yyyy-mm-dd"))*('Daily Checklist'!$L$2:$L$2000="Y"))&gt;0,SUMPRODUCT(('Daily Checklist'!$D$2:$D$2000=$A12)*(TEXT('Daily Checklist'!$B$2:$B$2000,"yyyy-mm-dd")=TEXT(($B$4+26),"yyyy-mm-dd"))*('Daily Checklist'!$F$2:$F$2000="Done"))&amp;"/"&amp;SUMPRODUCT(('Daily Checklist'!$D$2:$D$2000=$A12)*(TEXT('Daily Checklist'!$B$2:$B$2000,"yyyy-mm-dd")=TEXT(($B$4+26),"yyyy-mm-dd")))&amp;" ESC",SUMPRODUCT(('Daily Checklist'!$D$2:$D$2000=$A12)*(TEXT('Daily Checklist'!$B$2:$B$2000,"yyyy-mm-dd")=TEXT(($B$4+26),"yyyy-mm-dd"))*('Daily Checklist'!$F$2:$F$2000="Done"))&amp;"/"&amp;SUMPRODUCT(('Daily Checklist'!$D$2:$D$2000=$A12)*(TEXT('Daily Checklist'!$B$2:$B$2000,"yyyy-mm-dd")=TEXT(($B$4+26),"yyyy-mm-dd"))))))</f>
        <v>-</v>
      </c>
      <c r="AC12" s="25" t="str">
        <f aca="false">IF($A12="","",IF(SUMPRODUCT(('Daily Checklist'!$D$2:$D$2000=$A12)*(TEXT('Daily Checklist'!$B$2:$B$2000,"yyyy-mm-dd")=TEXT(($B$4+27),"yyyy-mm-dd")))=0,"-",IF(SUMPRODUCT(('Daily Checklist'!$D$2:$D$2000=$A12)*(TEXT('Daily Checklist'!$B$2:$B$2000,"yyyy-mm-dd")=TEXT(($B$4+27),"yyyy-mm-dd"))*('Daily Checklist'!$L$2:$L$2000="Y"))&gt;0,SUMPRODUCT(('Daily Checklist'!$D$2:$D$2000=$A12)*(TEXT('Daily Checklist'!$B$2:$B$2000,"yyyy-mm-dd")=TEXT(($B$4+27),"yyyy-mm-dd"))*('Daily Checklist'!$F$2:$F$2000="Done"))&amp;"/"&amp;SUMPRODUCT(('Daily Checklist'!$D$2:$D$2000=$A12)*(TEXT('Daily Checklist'!$B$2:$B$2000,"yyyy-mm-dd")=TEXT(($B$4+27),"yyyy-mm-dd")))&amp;" ESC",SUMPRODUCT(('Daily Checklist'!$D$2:$D$2000=$A12)*(TEXT('Daily Checklist'!$B$2:$B$2000,"yyyy-mm-dd")=TEXT(($B$4+27),"yyyy-mm-dd"))*('Daily Checklist'!$F$2:$F$2000="Done"))&amp;"/"&amp;SUMPRODUCT(('Daily Checklist'!$D$2:$D$2000=$A12)*(TEXT('Daily Checklist'!$B$2:$B$2000,"yyyy-mm-dd")=TEXT(($B$4+27),"yyyy-mm-dd"))))))</f>
        <v>-</v>
      </c>
      <c r="AD12" s="25" t="str">
        <f aca="false">IF($A12="","",IF(SUMPRODUCT(('Daily Checklist'!$D$2:$D$2000=$A12)*(TEXT('Daily Checklist'!$B$2:$B$2000,"yyyy-mm-dd")=TEXT(($B$4+28),"yyyy-mm-dd")))=0,"-",IF(SUMPRODUCT(('Daily Checklist'!$D$2:$D$2000=$A12)*(TEXT('Daily Checklist'!$B$2:$B$2000,"yyyy-mm-dd")=TEXT(($B$4+28),"yyyy-mm-dd"))*('Daily Checklist'!$L$2:$L$2000="Y"))&gt;0,SUMPRODUCT(('Daily Checklist'!$D$2:$D$2000=$A12)*(TEXT('Daily Checklist'!$B$2:$B$2000,"yyyy-mm-dd")=TEXT(($B$4+28),"yyyy-mm-dd"))*('Daily Checklist'!$F$2:$F$2000="Done"))&amp;"/"&amp;SUMPRODUCT(('Daily Checklist'!$D$2:$D$2000=$A12)*(TEXT('Daily Checklist'!$B$2:$B$2000,"yyyy-mm-dd")=TEXT(($B$4+28),"yyyy-mm-dd")))&amp;" ESC",SUMPRODUCT(('Daily Checklist'!$D$2:$D$2000=$A12)*(TEXT('Daily Checklist'!$B$2:$B$2000,"yyyy-mm-dd")=TEXT(($B$4+28),"yyyy-mm-dd"))*('Daily Checklist'!$F$2:$F$2000="Done"))&amp;"/"&amp;SUMPRODUCT(('Daily Checklist'!$D$2:$D$2000=$A12)*(TEXT('Daily Checklist'!$B$2:$B$2000,"yyyy-mm-dd")=TEXT(($B$4+28),"yyyy-mm-dd"))))))</f>
        <v>-</v>
      </c>
      <c r="AE12" s="25" t="str">
        <f aca="false">IF($A12="","",IF(SUMPRODUCT(('Daily Checklist'!$D$2:$D$2000=$A12)*(TEXT('Daily Checklist'!$B$2:$B$2000,"yyyy-mm-dd")=TEXT(($B$4+29),"yyyy-mm-dd")))=0,"-",IF(SUMPRODUCT(('Daily Checklist'!$D$2:$D$2000=$A12)*(TEXT('Daily Checklist'!$B$2:$B$2000,"yyyy-mm-dd")=TEXT(($B$4+29),"yyyy-mm-dd"))*('Daily Checklist'!$L$2:$L$2000="Y"))&gt;0,SUMPRODUCT(('Daily Checklist'!$D$2:$D$2000=$A12)*(TEXT('Daily Checklist'!$B$2:$B$2000,"yyyy-mm-dd")=TEXT(($B$4+29),"yyyy-mm-dd"))*('Daily Checklist'!$F$2:$F$2000="Done"))&amp;"/"&amp;SUMPRODUCT(('Daily Checklist'!$D$2:$D$2000=$A12)*(TEXT('Daily Checklist'!$B$2:$B$2000,"yyyy-mm-dd")=TEXT(($B$4+29),"yyyy-mm-dd")))&amp;" ESC",SUMPRODUCT(('Daily Checklist'!$D$2:$D$2000=$A12)*(TEXT('Daily Checklist'!$B$2:$B$2000,"yyyy-mm-dd")=TEXT(($B$4+29),"yyyy-mm-dd"))*('Daily Checklist'!$F$2:$F$2000="Done"))&amp;"/"&amp;SUMPRODUCT(('Daily Checklist'!$D$2:$D$2000=$A12)*(TEXT('Daily Checklist'!$B$2:$B$2000,"yyyy-mm-dd")=TEXT(($B$4+29),"yyyy-mm-dd"))))))</f>
        <v>-</v>
      </c>
      <c r="AF12" s="25" t="str">
        <f aca="false">IF($A12="","",IF(SUMPRODUCT(('Daily Checklist'!$D$2:$D$2000=$A12)*(TEXT('Daily Checklist'!$B$2:$B$2000,"yyyy-mm-dd")=TEXT(($B$4+30),"yyyy-mm-dd")))=0,"-",IF(SUMPRODUCT(('Daily Checklist'!$D$2:$D$2000=$A12)*(TEXT('Daily Checklist'!$B$2:$B$2000,"yyyy-mm-dd")=TEXT(($B$4+30),"yyyy-mm-dd"))*('Daily Checklist'!$L$2:$L$2000="Y"))&gt;0,SUMPRODUCT(('Daily Checklist'!$D$2:$D$2000=$A12)*(TEXT('Daily Checklist'!$B$2:$B$2000,"yyyy-mm-dd")=TEXT(($B$4+30),"yyyy-mm-dd"))*('Daily Checklist'!$F$2:$F$2000="Done"))&amp;"/"&amp;SUMPRODUCT(('Daily Checklist'!$D$2:$D$2000=$A12)*(TEXT('Daily Checklist'!$B$2:$B$2000,"yyyy-mm-dd")=TEXT(($B$4+30),"yyyy-mm-dd")))&amp;" ESC",SUMPRODUCT(('Daily Checklist'!$D$2:$D$2000=$A12)*(TEXT('Daily Checklist'!$B$2:$B$2000,"yyyy-mm-dd")=TEXT(($B$4+30),"yyyy-mm-dd"))*('Daily Checklist'!$F$2:$F$2000="Done"))&amp;"/"&amp;SUMPRODUCT(('Daily Checklist'!$D$2:$D$2000=$A12)*(TEXT('Daily Checklist'!$B$2:$B$2000,"yyyy-mm-dd")=TEXT(($B$4+30),"yyyy-mm-dd"))))))</f>
        <v>-</v>
      </c>
    </row>
    <row r="13" customFormat="false" ht="15" hidden="false" customHeight="true" outlineLevel="0" collapsed="false">
      <c r="A13" s="24" t="str">
        <f aca="false">IFERROR(IF(Employees!A8="","",Employees!A8),"")</f>
        <v>Deb Kumar Nag</v>
      </c>
      <c r="B13" s="25" t="str">
        <f aca="false">IF($A13="","",IF(SUMPRODUCT(('Daily Checklist'!$D$2:$D$2000=$A13)*(TEXT('Daily Checklist'!$B$2:$B$2000,"yyyy-mm-dd")=TEXT(($B$4+0),"yyyy-mm-dd")))=0,"-",IF(SUMPRODUCT(('Daily Checklist'!$D$2:$D$2000=$A13)*(TEXT('Daily Checklist'!$B$2:$B$2000,"yyyy-mm-dd")=TEXT(($B$4+0),"yyyy-mm-dd"))*('Daily Checklist'!$L$2:$L$2000="Y"))&gt;0,SUMPRODUCT(('Daily Checklist'!$D$2:$D$2000=$A13)*(TEXT('Daily Checklist'!$B$2:$B$2000,"yyyy-mm-dd")=TEXT(($B$4+0),"yyyy-mm-dd"))*('Daily Checklist'!$F$2:$F$2000="Done"))&amp;"/"&amp;SUMPRODUCT(('Daily Checklist'!$D$2:$D$2000=$A13)*(TEXT('Daily Checklist'!$B$2:$B$2000,"yyyy-mm-dd")=TEXT(($B$4+0),"yyyy-mm-dd")))&amp;" ESC",SUMPRODUCT(('Daily Checklist'!$D$2:$D$2000=$A13)*(TEXT('Daily Checklist'!$B$2:$B$2000,"yyyy-mm-dd")=TEXT(($B$4+0),"yyyy-mm-dd"))*('Daily Checklist'!$F$2:$F$2000="Done"))&amp;"/"&amp;SUMPRODUCT(('Daily Checklist'!$D$2:$D$2000=$A13)*(TEXT('Daily Checklist'!$B$2:$B$2000,"yyyy-mm-dd")=TEXT(($B$4+0),"yyyy-mm-dd"))))))</f>
        <v>-</v>
      </c>
      <c r="C13" s="25" t="str">
        <f aca="false">IF($A13="","",IF(SUMPRODUCT(('Daily Checklist'!$D$2:$D$2000=$A13)*(TEXT('Daily Checklist'!$B$2:$B$2000,"yyyy-mm-dd")=TEXT(($B$4+1),"yyyy-mm-dd")))=0,"-",IF(SUMPRODUCT(('Daily Checklist'!$D$2:$D$2000=$A13)*(TEXT('Daily Checklist'!$B$2:$B$2000,"yyyy-mm-dd")=TEXT(($B$4+1),"yyyy-mm-dd"))*('Daily Checklist'!$L$2:$L$2000="Y"))&gt;0,SUMPRODUCT(('Daily Checklist'!$D$2:$D$2000=$A13)*(TEXT('Daily Checklist'!$B$2:$B$2000,"yyyy-mm-dd")=TEXT(($B$4+1),"yyyy-mm-dd"))*('Daily Checklist'!$F$2:$F$2000="Done"))&amp;"/"&amp;SUMPRODUCT(('Daily Checklist'!$D$2:$D$2000=$A13)*(TEXT('Daily Checklist'!$B$2:$B$2000,"yyyy-mm-dd")=TEXT(($B$4+1),"yyyy-mm-dd")))&amp;" ESC",SUMPRODUCT(('Daily Checklist'!$D$2:$D$2000=$A13)*(TEXT('Daily Checklist'!$B$2:$B$2000,"yyyy-mm-dd")=TEXT(($B$4+1),"yyyy-mm-dd"))*('Daily Checklist'!$F$2:$F$2000="Done"))&amp;"/"&amp;SUMPRODUCT(('Daily Checklist'!$D$2:$D$2000=$A13)*(TEXT('Daily Checklist'!$B$2:$B$2000,"yyyy-mm-dd")=TEXT(($B$4+1),"yyyy-mm-dd"))))))</f>
        <v>-</v>
      </c>
      <c r="D13" s="25" t="str">
        <f aca="false">IF($A13="","",IF(SUMPRODUCT(('Daily Checklist'!$D$2:$D$2000=$A13)*(TEXT('Daily Checklist'!$B$2:$B$2000,"yyyy-mm-dd")=TEXT(($B$4+2),"yyyy-mm-dd")))=0,"-",IF(SUMPRODUCT(('Daily Checklist'!$D$2:$D$2000=$A13)*(TEXT('Daily Checklist'!$B$2:$B$2000,"yyyy-mm-dd")=TEXT(($B$4+2),"yyyy-mm-dd"))*('Daily Checklist'!$L$2:$L$2000="Y"))&gt;0,SUMPRODUCT(('Daily Checklist'!$D$2:$D$2000=$A13)*(TEXT('Daily Checklist'!$B$2:$B$2000,"yyyy-mm-dd")=TEXT(($B$4+2),"yyyy-mm-dd"))*('Daily Checklist'!$F$2:$F$2000="Done"))&amp;"/"&amp;SUMPRODUCT(('Daily Checklist'!$D$2:$D$2000=$A13)*(TEXT('Daily Checklist'!$B$2:$B$2000,"yyyy-mm-dd")=TEXT(($B$4+2),"yyyy-mm-dd")))&amp;" ESC",SUMPRODUCT(('Daily Checklist'!$D$2:$D$2000=$A13)*(TEXT('Daily Checklist'!$B$2:$B$2000,"yyyy-mm-dd")=TEXT(($B$4+2),"yyyy-mm-dd"))*('Daily Checklist'!$F$2:$F$2000="Done"))&amp;"/"&amp;SUMPRODUCT(('Daily Checklist'!$D$2:$D$2000=$A13)*(TEXT('Daily Checklist'!$B$2:$B$2000,"yyyy-mm-dd")=TEXT(($B$4+2),"yyyy-mm-dd"))))))</f>
        <v>-</v>
      </c>
      <c r="E13" s="25" t="str">
        <f aca="false">IF($A13="","",IF(SUMPRODUCT(('Daily Checklist'!$D$2:$D$2000=$A13)*(TEXT('Daily Checklist'!$B$2:$B$2000,"yyyy-mm-dd")=TEXT(($B$4+3),"yyyy-mm-dd")))=0,"-",IF(SUMPRODUCT(('Daily Checklist'!$D$2:$D$2000=$A13)*(TEXT('Daily Checklist'!$B$2:$B$2000,"yyyy-mm-dd")=TEXT(($B$4+3),"yyyy-mm-dd"))*('Daily Checklist'!$L$2:$L$2000="Y"))&gt;0,SUMPRODUCT(('Daily Checklist'!$D$2:$D$2000=$A13)*(TEXT('Daily Checklist'!$B$2:$B$2000,"yyyy-mm-dd")=TEXT(($B$4+3),"yyyy-mm-dd"))*('Daily Checklist'!$F$2:$F$2000="Done"))&amp;"/"&amp;SUMPRODUCT(('Daily Checklist'!$D$2:$D$2000=$A13)*(TEXT('Daily Checklist'!$B$2:$B$2000,"yyyy-mm-dd")=TEXT(($B$4+3),"yyyy-mm-dd")))&amp;" ESC",SUMPRODUCT(('Daily Checklist'!$D$2:$D$2000=$A13)*(TEXT('Daily Checklist'!$B$2:$B$2000,"yyyy-mm-dd")=TEXT(($B$4+3),"yyyy-mm-dd"))*('Daily Checklist'!$F$2:$F$2000="Done"))&amp;"/"&amp;SUMPRODUCT(('Daily Checklist'!$D$2:$D$2000=$A13)*(TEXT('Daily Checklist'!$B$2:$B$2000,"yyyy-mm-dd")=TEXT(($B$4+3),"yyyy-mm-dd"))))))</f>
        <v>-</v>
      </c>
      <c r="F13" s="25" t="str">
        <f aca="false">IF($A13="","",IF(SUMPRODUCT(('Daily Checklist'!$D$2:$D$2000=$A13)*(TEXT('Daily Checklist'!$B$2:$B$2000,"yyyy-mm-dd")=TEXT(($B$4+4),"yyyy-mm-dd")))=0,"-",IF(SUMPRODUCT(('Daily Checklist'!$D$2:$D$2000=$A13)*(TEXT('Daily Checklist'!$B$2:$B$2000,"yyyy-mm-dd")=TEXT(($B$4+4),"yyyy-mm-dd"))*('Daily Checklist'!$L$2:$L$2000="Y"))&gt;0,SUMPRODUCT(('Daily Checklist'!$D$2:$D$2000=$A13)*(TEXT('Daily Checklist'!$B$2:$B$2000,"yyyy-mm-dd")=TEXT(($B$4+4),"yyyy-mm-dd"))*('Daily Checklist'!$F$2:$F$2000="Done"))&amp;"/"&amp;SUMPRODUCT(('Daily Checklist'!$D$2:$D$2000=$A13)*(TEXT('Daily Checklist'!$B$2:$B$2000,"yyyy-mm-dd")=TEXT(($B$4+4),"yyyy-mm-dd")))&amp;" ESC",SUMPRODUCT(('Daily Checklist'!$D$2:$D$2000=$A13)*(TEXT('Daily Checklist'!$B$2:$B$2000,"yyyy-mm-dd")=TEXT(($B$4+4),"yyyy-mm-dd"))*('Daily Checklist'!$F$2:$F$2000="Done"))&amp;"/"&amp;SUMPRODUCT(('Daily Checklist'!$D$2:$D$2000=$A13)*(TEXT('Daily Checklist'!$B$2:$B$2000,"yyyy-mm-dd")=TEXT(($B$4+4),"yyyy-mm-dd"))))))</f>
        <v>-</v>
      </c>
      <c r="G13" s="25" t="str">
        <f aca="false">IF($A13="","",IF(SUMPRODUCT(('Daily Checklist'!$D$2:$D$2000=$A13)*(TEXT('Daily Checklist'!$B$2:$B$2000,"yyyy-mm-dd")=TEXT(($B$4+5),"yyyy-mm-dd")))=0,"-",IF(SUMPRODUCT(('Daily Checklist'!$D$2:$D$2000=$A13)*(TEXT('Daily Checklist'!$B$2:$B$2000,"yyyy-mm-dd")=TEXT(($B$4+5),"yyyy-mm-dd"))*('Daily Checklist'!$L$2:$L$2000="Y"))&gt;0,SUMPRODUCT(('Daily Checklist'!$D$2:$D$2000=$A13)*(TEXT('Daily Checklist'!$B$2:$B$2000,"yyyy-mm-dd")=TEXT(($B$4+5),"yyyy-mm-dd"))*('Daily Checklist'!$F$2:$F$2000="Done"))&amp;"/"&amp;SUMPRODUCT(('Daily Checklist'!$D$2:$D$2000=$A13)*(TEXT('Daily Checklist'!$B$2:$B$2000,"yyyy-mm-dd")=TEXT(($B$4+5),"yyyy-mm-dd")))&amp;" ESC",SUMPRODUCT(('Daily Checklist'!$D$2:$D$2000=$A13)*(TEXT('Daily Checklist'!$B$2:$B$2000,"yyyy-mm-dd")=TEXT(($B$4+5),"yyyy-mm-dd"))*('Daily Checklist'!$F$2:$F$2000="Done"))&amp;"/"&amp;SUMPRODUCT(('Daily Checklist'!$D$2:$D$2000=$A13)*(TEXT('Daily Checklist'!$B$2:$B$2000,"yyyy-mm-dd")=TEXT(($B$4+5),"yyyy-mm-dd"))))))</f>
        <v>-</v>
      </c>
      <c r="H13" s="25" t="str">
        <f aca="false">IF($A13="","",IF(SUMPRODUCT(('Daily Checklist'!$D$2:$D$2000=$A13)*(TEXT('Daily Checklist'!$B$2:$B$2000,"yyyy-mm-dd")=TEXT(($B$4+6),"yyyy-mm-dd")))=0,"-",IF(SUMPRODUCT(('Daily Checklist'!$D$2:$D$2000=$A13)*(TEXT('Daily Checklist'!$B$2:$B$2000,"yyyy-mm-dd")=TEXT(($B$4+6),"yyyy-mm-dd"))*('Daily Checklist'!$L$2:$L$2000="Y"))&gt;0,SUMPRODUCT(('Daily Checklist'!$D$2:$D$2000=$A13)*(TEXT('Daily Checklist'!$B$2:$B$2000,"yyyy-mm-dd")=TEXT(($B$4+6),"yyyy-mm-dd"))*('Daily Checklist'!$F$2:$F$2000="Done"))&amp;"/"&amp;SUMPRODUCT(('Daily Checklist'!$D$2:$D$2000=$A13)*(TEXT('Daily Checklist'!$B$2:$B$2000,"yyyy-mm-dd")=TEXT(($B$4+6),"yyyy-mm-dd")))&amp;" ESC",SUMPRODUCT(('Daily Checklist'!$D$2:$D$2000=$A13)*(TEXT('Daily Checklist'!$B$2:$B$2000,"yyyy-mm-dd")=TEXT(($B$4+6),"yyyy-mm-dd"))*('Daily Checklist'!$F$2:$F$2000="Done"))&amp;"/"&amp;SUMPRODUCT(('Daily Checklist'!$D$2:$D$2000=$A13)*(TEXT('Daily Checklist'!$B$2:$B$2000,"yyyy-mm-dd")=TEXT(($B$4+6),"yyyy-mm-dd"))))))</f>
        <v>-</v>
      </c>
      <c r="I13" s="25" t="str">
        <f aca="false">IF($A13="","",IF(SUMPRODUCT(('Daily Checklist'!$D$2:$D$2000=$A13)*(TEXT('Daily Checklist'!$B$2:$B$2000,"yyyy-mm-dd")=TEXT(($B$4+7),"yyyy-mm-dd")))=0,"-",IF(SUMPRODUCT(('Daily Checklist'!$D$2:$D$2000=$A13)*(TEXT('Daily Checklist'!$B$2:$B$2000,"yyyy-mm-dd")=TEXT(($B$4+7),"yyyy-mm-dd"))*('Daily Checklist'!$L$2:$L$2000="Y"))&gt;0,SUMPRODUCT(('Daily Checklist'!$D$2:$D$2000=$A13)*(TEXT('Daily Checklist'!$B$2:$B$2000,"yyyy-mm-dd")=TEXT(($B$4+7),"yyyy-mm-dd"))*('Daily Checklist'!$F$2:$F$2000="Done"))&amp;"/"&amp;SUMPRODUCT(('Daily Checklist'!$D$2:$D$2000=$A13)*(TEXT('Daily Checklist'!$B$2:$B$2000,"yyyy-mm-dd")=TEXT(($B$4+7),"yyyy-mm-dd")))&amp;" ESC",SUMPRODUCT(('Daily Checklist'!$D$2:$D$2000=$A13)*(TEXT('Daily Checklist'!$B$2:$B$2000,"yyyy-mm-dd")=TEXT(($B$4+7),"yyyy-mm-dd"))*('Daily Checklist'!$F$2:$F$2000="Done"))&amp;"/"&amp;SUMPRODUCT(('Daily Checklist'!$D$2:$D$2000=$A13)*(TEXT('Daily Checklist'!$B$2:$B$2000,"yyyy-mm-dd")=TEXT(($B$4+7),"yyyy-mm-dd"))))))</f>
        <v>-</v>
      </c>
      <c r="J13" s="25" t="str">
        <f aca="false">IF($A13="","",IF(SUMPRODUCT(('Daily Checklist'!$D$2:$D$2000=$A13)*(TEXT('Daily Checklist'!$B$2:$B$2000,"yyyy-mm-dd")=TEXT(($B$4+8),"yyyy-mm-dd")))=0,"-",IF(SUMPRODUCT(('Daily Checklist'!$D$2:$D$2000=$A13)*(TEXT('Daily Checklist'!$B$2:$B$2000,"yyyy-mm-dd")=TEXT(($B$4+8),"yyyy-mm-dd"))*('Daily Checklist'!$L$2:$L$2000="Y"))&gt;0,SUMPRODUCT(('Daily Checklist'!$D$2:$D$2000=$A13)*(TEXT('Daily Checklist'!$B$2:$B$2000,"yyyy-mm-dd")=TEXT(($B$4+8),"yyyy-mm-dd"))*('Daily Checklist'!$F$2:$F$2000="Done"))&amp;"/"&amp;SUMPRODUCT(('Daily Checklist'!$D$2:$D$2000=$A13)*(TEXT('Daily Checklist'!$B$2:$B$2000,"yyyy-mm-dd")=TEXT(($B$4+8),"yyyy-mm-dd")))&amp;" ESC",SUMPRODUCT(('Daily Checklist'!$D$2:$D$2000=$A13)*(TEXT('Daily Checklist'!$B$2:$B$2000,"yyyy-mm-dd")=TEXT(($B$4+8),"yyyy-mm-dd"))*('Daily Checklist'!$F$2:$F$2000="Done"))&amp;"/"&amp;SUMPRODUCT(('Daily Checklist'!$D$2:$D$2000=$A13)*(TEXT('Daily Checklist'!$B$2:$B$2000,"yyyy-mm-dd")=TEXT(($B$4+8),"yyyy-mm-dd"))))))</f>
        <v>-</v>
      </c>
      <c r="K13" s="25" t="str">
        <f aca="false">IF($A13="","",IF(SUMPRODUCT(('Daily Checklist'!$D$2:$D$2000=$A13)*(TEXT('Daily Checklist'!$B$2:$B$2000,"yyyy-mm-dd")=TEXT(($B$4+9),"yyyy-mm-dd")))=0,"-",IF(SUMPRODUCT(('Daily Checklist'!$D$2:$D$2000=$A13)*(TEXT('Daily Checklist'!$B$2:$B$2000,"yyyy-mm-dd")=TEXT(($B$4+9),"yyyy-mm-dd"))*('Daily Checklist'!$L$2:$L$2000="Y"))&gt;0,SUMPRODUCT(('Daily Checklist'!$D$2:$D$2000=$A13)*(TEXT('Daily Checklist'!$B$2:$B$2000,"yyyy-mm-dd")=TEXT(($B$4+9),"yyyy-mm-dd"))*('Daily Checklist'!$F$2:$F$2000="Done"))&amp;"/"&amp;SUMPRODUCT(('Daily Checklist'!$D$2:$D$2000=$A13)*(TEXT('Daily Checklist'!$B$2:$B$2000,"yyyy-mm-dd")=TEXT(($B$4+9),"yyyy-mm-dd")))&amp;" ESC",SUMPRODUCT(('Daily Checklist'!$D$2:$D$2000=$A13)*(TEXT('Daily Checklist'!$B$2:$B$2000,"yyyy-mm-dd")=TEXT(($B$4+9),"yyyy-mm-dd"))*('Daily Checklist'!$F$2:$F$2000="Done"))&amp;"/"&amp;SUMPRODUCT(('Daily Checklist'!$D$2:$D$2000=$A13)*(TEXT('Daily Checklist'!$B$2:$B$2000,"yyyy-mm-dd")=TEXT(($B$4+9),"yyyy-mm-dd"))))))</f>
        <v>-</v>
      </c>
      <c r="L13" s="25" t="str">
        <f aca="false">IF($A13="","",IF(SUMPRODUCT(('Daily Checklist'!$D$2:$D$2000=$A13)*(TEXT('Daily Checklist'!$B$2:$B$2000,"yyyy-mm-dd")=TEXT(($B$4+10),"yyyy-mm-dd")))=0,"-",IF(SUMPRODUCT(('Daily Checklist'!$D$2:$D$2000=$A13)*(TEXT('Daily Checklist'!$B$2:$B$2000,"yyyy-mm-dd")=TEXT(($B$4+10),"yyyy-mm-dd"))*('Daily Checklist'!$L$2:$L$2000="Y"))&gt;0,SUMPRODUCT(('Daily Checklist'!$D$2:$D$2000=$A13)*(TEXT('Daily Checklist'!$B$2:$B$2000,"yyyy-mm-dd")=TEXT(($B$4+10),"yyyy-mm-dd"))*('Daily Checklist'!$F$2:$F$2000="Done"))&amp;"/"&amp;SUMPRODUCT(('Daily Checklist'!$D$2:$D$2000=$A13)*(TEXT('Daily Checklist'!$B$2:$B$2000,"yyyy-mm-dd")=TEXT(($B$4+10),"yyyy-mm-dd")))&amp;" ESC",SUMPRODUCT(('Daily Checklist'!$D$2:$D$2000=$A13)*(TEXT('Daily Checklist'!$B$2:$B$2000,"yyyy-mm-dd")=TEXT(($B$4+10),"yyyy-mm-dd"))*('Daily Checklist'!$F$2:$F$2000="Done"))&amp;"/"&amp;SUMPRODUCT(('Daily Checklist'!$D$2:$D$2000=$A13)*(TEXT('Daily Checklist'!$B$2:$B$2000,"yyyy-mm-dd")=TEXT(($B$4+10),"yyyy-mm-dd"))))))</f>
        <v>-</v>
      </c>
      <c r="M13" s="25" t="str">
        <f aca="false">IF($A13="","",IF(SUMPRODUCT(('Daily Checklist'!$D$2:$D$2000=$A13)*(TEXT('Daily Checklist'!$B$2:$B$2000,"yyyy-mm-dd")=TEXT(($B$4+11),"yyyy-mm-dd")))=0,"-",IF(SUMPRODUCT(('Daily Checklist'!$D$2:$D$2000=$A13)*(TEXT('Daily Checklist'!$B$2:$B$2000,"yyyy-mm-dd")=TEXT(($B$4+11),"yyyy-mm-dd"))*('Daily Checklist'!$L$2:$L$2000="Y"))&gt;0,SUMPRODUCT(('Daily Checklist'!$D$2:$D$2000=$A13)*(TEXT('Daily Checklist'!$B$2:$B$2000,"yyyy-mm-dd")=TEXT(($B$4+11),"yyyy-mm-dd"))*('Daily Checklist'!$F$2:$F$2000="Done"))&amp;"/"&amp;SUMPRODUCT(('Daily Checklist'!$D$2:$D$2000=$A13)*(TEXT('Daily Checklist'!$B$2:$B$2000,"yyyy-mm-dd")=TEXT(($B$4+11),"yyyy-mm-dd")))&amp;" ESC",SUMPRODUCT(('Daily Checklist'!$D$2:$D$2000=$A13)*(TEXT('Daily Checklist'!$B$2:$B$2000,"yyyy-mm-dd")=TEXT(($B$4+11),"yyyy-mm-dd"))*('Daily Checklist'!$F$2:$F$2000="Done"))&amp;"/"&amp;SUMPRODUCT(('Daily Checklist'!$D$2:$D$2000=$A13)*(TEXT('Daily Checklist'!$B$2:$B$2000,"yyyy-mm-dd")=TEXT(($B$4+11),"yyyy-mm-dd"))))))</f>
        <v>-</v>
      </c>
      <c r="N13" s="25" t="str">
        <f aca="false">IF($A13="","",IF(SUMPRODUCT(('Daily Checklist'!$D$2:$D$2000=$A13)*(TEXT('Daily Checklist'!$B$2:$B$2000,"yyyy-mm-dd")=TEXT(($B$4+12),"yyyy-mm-dd")))=0,"-",IF(SUMPRODUCT(('Daily Checklist'!$D$2:$D$2000=$A13)*(TEXT('Daily Checklist'!$B$2:$B$2000,"yyyy-mm-dd")=TEXT(($B$4+12),"yyyy-mm-dd"))*('Daily Checklist'!$L$2:$L$2000="Y"))&gt;0,SUMPRODUCT(('Daily Checklist'!$D$2:$D$2000=$A13)*(TEXT('Daily Checklist'!$B$2:$B$2000,"yyyy-mm-dd")=TEXT(($B$4+12),"yyyy-mm-dd"))*('Daily Checklist'!$F$2:$F$2000="Done"))&amp;"/"&amp;SUMPRODUCT(('Daily Checklist'!$D$2:$D$2000=$A13)*(TEXT('Daily Checklist'!$B$2:$B$2000,"yyyy-mm-dd")=TEXT(($B$4+12),"yyyy-mm-dd")))&amp;" ESC",SUMPRODUCT(('Daily Checklist'!$D$2:$D$2000=$A13)*(TEXT('Daily Checklist'!$B$2:$B$2000,"yyyy-mm-dd")=TEXT(($B$4+12),"yyyy-mm-dd"))*('Daily Checklist'!$F$2:$F$2000="Done"))&amp;"/"&amp;SUMPRODUCT(('Daily Checklist'!$D$2:$D$2000=$A13)*(TEXT('Daily Checklist'!$B$2:$B$2000,"yyyy-mm-dd")=TEXT(($B$4+12),"yyyy-mm-dd"))))))</f>
        <v>-</v>
      </c>
      <c r="O13" s="25" t="str">
        <f aca="false">IF($A13="","",IF(SUMPRODUCT(('Daily Checklist'!$D$2:$D$2000=$A13)*(TEXT('Daily Checklist'!$B$2:$B$2000,"yyyy-mm-dd")=TEXT(($B$4+13),"yyyy-mm-dd")))=0,"-",IF(SUMPRODUCT(('Daily Checklist'!$D$2:$D$2000=$A13)*(TEXT('Daily Checklist'!$B$2:$B$2000,"yyyy-mm-dd")=TEXT(($B$4+13),"yyyy-mm-dd"))*('Daily Checklist'!$L$2:$L$2000="Y"))&gt;0,SUMPRODUCT(('Daily Checklist'!$D$2:$D$2000=$A13)*(TEXT('Daily Checklist'!$B$2:$B$2000,"yyyy-mm-dd")=TEXT(($B$4+13),"yyyy-mm-dd"))*('Daily Checklist'!$F$2:$F$2000="Done"))&amp;"/"&amp;SUMPRODUCT(('Daily Checklist'!$D$2:$D$2000=$A13)*(TEXT('Daily Checklist'!$B$2:$B$2000,"yyyy-mm-dd")=TEXT(($B$4+13),"yyyy-mm-dd")))&amp;" ESC",SUMPRODUCT(('Daily Checklist'!$D$2:$D$2000=$A13)*(TEXT('Daily Checklist'!$B$2:$B$2000,"yyyy-mm-dd")=TEXT(($B$4+13),"yyyy-mm-dd"))*('Daily Checklist'!$F$2:$F$2000="Done"))&amp;"/"&amp;SUMPRODUCT(('Daily Checklist'!$D$2:$D$2000=$A13)*(TEXT('Daily Checklist'!$B$2:$B$2000,"yyyy-mm-dd")=TEXT(($B$4+13),"yyyy-mm-dd"))))))</f>
        <v>-</v>
      </c>
      <c r="P13" s="25" t="str">
        <f aca="false">IF($A13="","",IF(SUMPRODUCT(('Daily Checklist'!$D$2:$D$2000=$A13)*(TEXT('Daily Checklist'!$B$2:$B$2000,"yyyy-mm-dd")=TEXT(($B$4+14),"yyyy-mm-dd")))=0,"-",IF(SUMPRODUCT(('Daily Checklist'!$D$2:$D$2000=$A13)*(TEXT('Daily Checklist'!$B$2:$B$2000,"yyyy-mm-dd")=TEXT(($B$4+14),"yyyy-mm-dd"))*('Daily Checklist'!$L$2:$L$2000="Y"))&gt;0,SUMPRODUCT(('Daily Checklist'!$D$2:$D$2000=$A13)*(TEXT('Daily Checklist'!$B$2:$B$2000,"yyyy-mm-dd")=TEXT(($B$4+14),"yyyy-mm-dd"))*('Daily Checklist'!$F$2:$F$2000="Done"))&amp;"/"&amp;SUMPRODUCT(('Daily Checklist'!$D$2:$D$2000=$A13)*(TEXT('Daily Checklist'!$B$2:$B$2000,"yyyy-mm-dd")=TEXT(($B$4+14),"yyyy-mm-dd")))&amp;" ESC",SUMPRODUCT(('Daily Checklist'!$D$2:$D$2000=$A13)*(TEXT('Daily Checklist'!$B$2:$B$2000,"yyyy-mm-dd")=TEXT(($B$4+14),"yyyy-mm-dd"))*('Daily Checklist'!$F$2:$F$2000="Done"))&amp;"/"&amp;SUMPRODUCT(('Daily Checklist'!$D$2:$D$2000=$A13)*(TEXT('Daily Checklist'!$B$2:$B$2000,"yyyy-mm-dd")=TEXT(($B$4+14),"yyyy-mm-dd"))))))</f>
        <v>-</v>
      </c>
      <c r="Q13" s="25" t="str">
        <f aca="false">IF($A13="","",IF(SUMPRODUCT(('Daily Checklist'!$D$2:$D$2000=$A13)*(TEXT('Daily Checklist'!$B$2:$B$2000,"yyyy-mm-dd")=TEXT(($B$4+15),"yyyy-mm-dd")))=0,"-",IF(SUMPRODUCT(('Daily Checklist'!$D$2:$D$2000=$A13)*(TEXT('Daily Checklist'!$B$2:$B$2000,"yyyy-mm-dd")=TEXT(($B$4+15),"yyyy-mm-dd"))*('Daily Checklist'!$L$2:$L$2000="Y"))&gt;0,SUMPRODUCT(('Daily Checklist'!$D$2:$D$2000=$A13)*(TEXT('Daily Checklist'!$B$2:$B$2000,"yyyy-mm-dd")=TEXT(($B$4+15),"yyyy-mm-dd"))*('Daily Checklist'!$F$2:$F$2000="Done"))&amp;"/"&amp;SUMPRODUCT(('Daily Checklist'!$D$2:$D$2000=$A13)*(TEXT('Daily Checklist'!$B$2:$B$2000,"yyyy-mm-dd")=TEXT(($B$4+15),"yyyy-mm-dd")))&amp;" ESC",SUMPRODUCT(('Daily Checklist'!$D$2:$D$2000=$A13)*(TEXT('Daily Checklist'!$B$2:$B$2000,"yyyy-mm-dd")=TEXT(($B$4+15),"yyyy-mm-dd"))*('Daily Checklist'!$F$2:$F$2000="Done"))&amp;"/"&amp;SUMPRODUCT(('Daily Checklist'!$D$2:$D$2000=$A13)*(TEXT('Daily Checklist'!$B$2:$B$2000,"yyyy-mm-dd")=TEXT(($B$4+15),"yyyy-mm-dd"))))))</f>
        <v>-</v>
      </c>
      <c r="R13" s="25" t="str">
        <f aca="false">IF($A13="","",IF(SUMPRODUCT(('Daily Checklist'!$D$2:$D$2000=$A13)*(TEXT('Daily Checklist'!$B$2:$B$2000,"yyyy-mm-dd")=TEXT(($B$4+16),"yyyy-mm-dd")))=0,"-",IF(SUMPRODUCT(('Daily Checklist'!$D$2:$D$2000=$A13)*(TEXT('Daily Checklist'!$B$2:$B$2000,"yyyy-mm-dd")=TEXT(($B$4+16),"yyyy-mm-dd"))*('Daily Checklist'!$L$2:$L$2000="Y"))&gt;0,SUMPRODUCT(('Daily Checklist'!$D$2:$D$2000=$A13)*(TEXT('Daily Checklist'!$B$2:$B$2000,"yyyy-mm-dd")=TEXT(($B$4+16),"yyyy-mm-dd"))*('Daily Checklist'!$F$2:$F$2000="Done"))&amp;"/"&amp;SUMPRODUCT(('Daily Checklist'!$D$2:$D$2000=$A13)*(TEXT('Daily Checklist'!$B$2:$B$2000,"yyyy-mm-dd")=TEXT(($B$4+16),"yyyy-mm-dd")))&amp;" ESC",SUMPRODUCT(('Daily Checklist'!$D$2:$D$2000=$A13)*(TEXT('Daily Checklist'!$B$2:$B$2000,"yyyy-mm-dd")=TEXT(($B$4+16),"yyyy-mm-dd"))*('Daily Checklist'!$F$2:$F$2000="Done"))&amp;"/"&amp;SUMPRODUCT(('Daily Checklist'!$D$2:$D$2000=$A13)*(TEXT('Daily Checklist'!$B$2:$B$2000,"yyyy-mm-dd")=TEXT(($B$4+16),"yyyy-mm-dd"))))))</f>
        <v>-</v>
      </c>
      <c r="S13" s="25" t="str">
        <f aca="false">IF($A13="","",IF(SUMPRODUCT(('Daily Checklist'!$D$2:$D$2000=$A13)*(TEXT('Daily Checklist'!$B$2:$B$2000,"yyyy-mm-dd")=TEXT(($B$4+17),"yyyy-mm-dd")))=0,"-",IF(SUMPRODUCT(('Daily Checklist'!$D$2:$D$2000=$A13)*(TEXT('Daily Checklist'!$B$2:$B$2000,"yyyy-mm-dd")=TEXT(($B$4+17),"yyyy-mm-dd"))*('Daily Checklist'!$L$2:$L$2000="Y"))&gt;0,SUMPRODUCT(('Daily Checklist'!$D$2:$D$2000=$A13)*(TEXT('Daily Checklist'!$B$2:$B$2000,"yyyy-mm-dd")=TEXT(($B$4+17),"yyyy-mm-dd"))*('Daily Checklist'!$F$2:$F$2000="Done"))&amp;"/"&amp;SUMPRODUCT(('Daily Checklist'!$D$2:$D$2000=$A13)*(TEXT('Daily Checklist'!$B$2:$B$2000,"yyyy-mm-dd")=TEXT(($B$4+17),"yyyy-mm-dd")))&amp;" ESC",SUMPRODUCT(('Daily Checklist'!$D$2:$D$2000=$A13)*(TEXT('Daily Checklist'!$B$2:$B$2000,"yyyy-mm-dd")=TEXT(($B$4+17),"yyyy-mm-dd"))*('Daily Checklist'!$F$2:$F$2000="Done"))&amp;"/"&amp;SUMPRODUCT(('Daily Checklist'!$D$2:$D$2000=$A13)*(TEXT('Daily Checklist'!$B$2:$B$2000,"yyyy-mm-dd")=TEXT(($B$4+17),"yyyy-mm-dd"))))))</f>
        <v>-</v>
      </c>
      <c r="T13" s="25" t="str">
        <f aca="false">IF($A13="","",IF(SUMPRODUCT(('Daily Checklist'!$D$2:$D$2000=$A13)*(TEXT('Daily Checklist'!$B$2:$B$2000,"yyyy-mm-dd")=TEXT(($B$4+18),"yyyy-mm-dd")))=0,"-",IF(SUMPRODUCT(('Daily Checklist'!$D$2:$D$2000=$A13)*(TEXT('Daily Checklist'!$B$2:$B$2000,"yyyy-mm-dd")=TEXT(($B$4+18),"yyyy-mm-dd"))*('Daily Checklist'!$L$2:$L$2000="Y"))&gt;0,SUMPRODUCT(('Daily Checklist'!$D$2:$D$2000=$A13)*(TEXT('Daily Checklist'!$B$2:$B$2000,"yyyy-mm-dd")=TEXT(($B$4+18),"yyyy-mm-dd"))*('Daily Checklist'!$F$2:$F$2000="Done"))&amp;"/"&amp;SUMPRODUCT(('Daily Checklist'!$D$2:$D$2000=$A13)*(TEXT('Daily Checklist'!$B$2:$B$2000,"yyyy-mm-dd")=TEXT(($B$4+18),"yyyy-mm-dd")))&amp;" ESC",SUMPRODUCT(('Daily Checklist'!$D$2:$D$2000=$A13)*(TEXT('Daily Checklist'!$B$2:$B$2000,"yyyy-mm-dd")=TEXT(($B$4+18),"yyyy-mm-dd"))*('Daily Checklist'!$F$2:$F$2000="Done"))&amp;"/"&amp;SUMPRODUCT(('Daily Checklist'!$D$2:$D$2000=$A13)*(TEXT('Daily Checklist'!$B$2:$B$2000,"yyyy-mm-dd")=TEXT(($B$4+18),"yyyy-mm-dd"))))))</f>
        <v>-</v>
      </c>
      <c r="U13" s="25" t="str">
        <f aca="false">IF($A13="","",IF(SUMPRODUCT(('Daily Checklist'!$D$2:$D$2000=$A13)*(TEXT('Daily Checklist'!$B$2:$B$2000,"yyyy-mm-dd")=TEXT(($B$4+19),"yyyy-mm-dd")))=0,"-",IF(SUMPRODUCT(('Daily Checklist'!$D$2:$D$2000=$A13)*(TEXT('Daily Checklist'!$B$2:$B$2000,"yyyy-mm-dd")=TEXT(($B$4+19),"yyyy-mm-dd"))*('Daily Checklist'!$L$2:$L$2000="Y"))&gt;0,SUMPRODUCT(('Daily Checklist'!$D$2:$D$2000=$A13)*(TEXT('Daily Checklist'!$B$2:$B$2000,"yyyy-mm-dd")=TEXT(($B$4+19),"yyyy-mm-dd"))*('Daily Checklist'!$F$2:$F$2000="Done"))&amp;"/"&amp;SUMPRODUCT(('Daily Checklist'!$D$2:$D$2000=$A13)*(TEXT('Daily Checklist'!$B$2:$B$2000,"yyyy-mm-dd")=TEXT(($B$4+19),"yyyy-mm-dd")))&amp;" ESC",SUMPRODUCT(('Daily Checklist'!$D$2:$D$2000=$A13)*(TEXT('Daily Checklist'!$B$2:$B$2000,"yyyy-mm-dd")=TEXT(($B$4+19),"yyyy-mm-dd"))*('Daily Checklist'!$F$2:$F$2000="Done"))&amp;"/"&amp;SUMPRODUCT(('Daily Checklist'!$D$2:$D$2000=$A13)*(TEXT('Daily Checklist'!$B$2:$B$2000,"yyyy-mm-dd")=TEXT(($B$4+19),"yyyy-mm-dd"))))))</f>
        <v>-</v>
      </c>
      <c r="V13" s="25" t="str">
        <f aca="false">IF($A13="","",IF(SUMPRODUCT(('Daily Checklist'!$D$2:$D$2000=$A13)*(TEXT('Daily Checklist'!$B$2:$B$2000,"yyyy-mm-dd")=TEXT(($B$4+20),"yyyy-mm-dd")))=0,"-",IF(SUMPRODUCT(('Daily Checklist'!$D$2:$D$2000=$A13)*(TEXT('Daily Checklist'!$B$2:$B$2000,"yyyy-mm-dd")=TEXT(($B$4+20),"yyyy-mm-dd"))*('Daily Checklist'!$L$2:$L$2000="Y"))&gt;0,SUMPRODUCT(('Daily Checklist'!$D$2:$D$2000=$A13)*(TEXT('Daily Checklist'!$B$2:$B$2000,"yyyy-mm-dd")=TEXT(($B$4+20),"yyyy-mm-dd"))*('Daily Checklist'!$F$2:$F$2000="Done"))&amp;"/"&amp;SUMPRODUCT(('Daily Checklist'!$D$2:$D$2000=$A13)*(TEXT('Daily Checklist'!$B$2:$B$2000,"yyyy-mm-dd")=TEXT(($B$4+20),"yyyy-mm-dd")))&amp;" ESC",SUMPRODUCT(('Daily Checklist'!$D$2:$D$2000=$A13)*(TEXT('Daily Checklist'!$B$2:$B$2000,"yyyy-mm-dd")=TEXT(($B$4+20),"yyyy-mm-dd"))*('Daily Checklist'!$F$2:$F$2000="Done"))&amp;"/"&amp;SUMPRODUCT(('Daily Checklist'!$D$2:$D$2000=$A13)*(TEXT('Daily Checklist'!$B$2:$B$2000,"yyyy-mm-dd")=TEXT(($B$4+20),"yyyy-mm-dd"))))))</f>
        <v>-</v>
      </c>
      <c r="W13" s="25" t="str">
        <f aca="false">IF($A13="","",IF(SUMPRODUCT(('Daily Checklist'!$D$2:$D$2000=$A13)*(TEXT('Daily Checklist'!$B$2:$B$2000,"yyyy-mm-dd")=TEXT(($B$4+21),"yyyy-mm-dd")))=0,"-",IF(SUMPRODUCT(('Daily Checklist'!$D$2:$D$2000=$A13)*(TEXT('Daily Checklist'!$B$2:$B$2000,"yyyy-mm-dd")=TEXT(($B$4+21),"yyyy-mm-dd"))*('Daily Checklist'!$L$2:$L$2000="Y"))&gt;0,SUMPRODUCT(('Daily Checklist'!$D$2:$D$2000=$A13)*(TEXT('Daily Checklist'!$B$2:$B$2000,"yyyy-mm-dd")=TEXT(($B$4+21),"yyyy-mm-dd"))*('Daily Checklist'!$F$2:$F$2000="Done"))&amp;"/"&amp;SUMPRODUCT(('Daily Checklist'!$D$2:$D$2000=$A13)*(TEXT('Daily Checklist'!$B$2:$B$2000,"yyyy-mm-dd")=TEXT(($B$4+21),"yyyy-mm-dd")))&amp;" ESC",SUMPRODUCT(('Daily Checklist'!$D$2:$D$2000=$A13)*(TEXT('Daily Checklist'!$B$2:$B$2000,"yyyy-mm-dd")=TEXT(($B$4+21),"yyyy-mm-dd"))*('Daily Checklist'!$F$2:$F$2000="Done"))&amp;"/"&amp;SUMPRODUCT(('Daily Checklist'!$D$2:$D$2000=$A13)*(TEXT('Daily Checklist'!$B$2:$B$2000,"yyyy-mm-dd")=TEXT(($B$4+21),"yyyy-mm-dd"))))))</f>
        <v>-</v>
      </c>
      <c r="X13" s="25" t="str">
        <f aca="false">IF($A13="","",IF(SUMPRODUCT(('Daily Checklist'!$D$2:$D$2000=$A13)*(TEXT('Daily Checklist'!$B$2:$B$2000,"yyyy-mm-dd")=TEXT(($B$4+22),"yyyy-mm-dd")))=0,"-",IF(SUMPRODUCT(('Daily Checklist'!$D$2:$D$2000=$A13)*(TEXT('Daily Checklist'!$B$2:$B$2000,"yyyy-mm-dd")=TEXT(($B$4+22),"yyyy-mm-dd"))*('Daily Checklist'!$L$2:$L$2000="Y"))&gt;0,SUMPRODUCT(('Daily Checklist'!$D$2:$D$2000=$A13)*(TEXT('Daily Checklist'!$B$2:$B$2000,"yyyy-mm-dd")=TEXT(($B$4+22),"yyyy-mm-dd"))*('Daily Checklist'!$F$2:$F$2000="Done"))&amp;"/"&amp;SUMPRODUCT(('Daily Checklist'!$D$2:$D$2000=$A13)*(TEXT('Daily Checklist'!$B$2:$B$2000,"yyyy-mm-dd")=TEXT(($B$4+22),"yyyy-mm-dd")))&amp;" ESC",SUMPRODUCT(('Daily Checklist'!$D$2:$D$2000=$A13)*(TEXT('Daily Checklist'!$B$2:$B$2000,"yyyy-mm-dd")=TEXT(($B$4+22),"yyyy-mm-dd"))*('Daily Checklist'!$F$2:$F$2000="Done"))&amp;"/"&amp;SUMPRODUCT(('Daily Checklist'!$D$2:$D$2000=$A13)*(TEXT('Daily Checklist'!$B$2:$B$2000,"yyyy-mm-dd")=TEXT(($B$4+22),"yyyy-mm-dd"))))))</f>
        <v>-</v>
      </c>
      <c r="Y13" s="25" t="str">
        <f aca="false">IF($A13="","",IF(SUMPRODUCT(('Daily Checklist'!$D$2:$D$2000=$A13)*(TEXT('Daily Checklist'!$B$2:$B$2000,"yyyy-mm-dd")=TEXT(($B$4+23),"yyyy-mm-dd")))=0,"-",IF(SUMPRODUCT(('Daily Checklist'!$D$2:$D$2000=$A13)*(TEXT('Daily Checklist'!$B$2:$B$2000,"yyyy-mm-dd")=TEXT(($B$4+23),"yyyy-mm-dd"))*('Daily Checklist'!$L$2:$L$2000="Y"))&gt;0,SUMPRODUCT(('Daily Checklist'!$D$2:$D$2000=$A13)*(TEXT('Daily Checklist'!$B$2:$B$2000,"yyyy-mm-dd")=TEXT(($B$4+23),"yyyy-mm-dd"))*('Daily Checklist'!$F$2:$F$2000="Done"))&amp;"/"&amp;SUMPRODUCT(('Daily Checklist'!$D$2:$D$2000=$A13)*(TEXT('Daily Checklist'!$B$2:$B$2000,"yyyy-mm-dd")=TEXT(($B$4+23),"yyyy-mm-dd")))&amp;" ESC",SUMPRODUCT(('Daily Checklist'!$D$2:$D$2000=$A13)*(TEXT('Daily Checklist'!$B$2:$B$2000,"yyyy-mm-dd")=TEXT(($B$4+23),"yyyy-mm-dd"))*('Daily Checklist'!$F$2:$F$2000="Done"))&amp;"/"&amp;SUMPRODUCT(('Daily Checklist'!$D$2:$D$2000=$A13)*(TEXT('Daily Checklist'!$B$2:$B$2000,"yyyy-mm-dd")=TEXT(($B$4+23),"yyyy-mm-dd"))))))</f>
        <v>-</v>
      </c>
      <c r="Z13" s="25" t="str">
        <f aca="false">IF($A13="","",IF(SUMPRODUCT(('Daily Checklist'!$D$2:$D$2000=$A13)*(TEXT('Daily Checklist'!$B$2:$B$2000,"yyyy-mm-dd")=TEXT(($B$4+24),"yyyy-mm-dd")))=0,"-",IF(SUMPRODUCT(('Daily Checklist'!$D$2:$D$2000=$A13)*(TEXT('Daily Checklist'!$B$2:$B$2000,"yyyy-mm-dd")=TEXT(($B$4+24),"yyyy-mm-dd"))*('Daily Checklist'!$L$2:$L$2000="Y"))&gt;0,SUMPRODUCT(('Daily Checklist'!$D$2:$D$2000=$A13)*(TEXT('Daily Checklist'!$B$2:$B$2000,"yyyy-mm-dd")=TEXT(($B$4+24),"yyyy-mm-dd"))*('Daily Checklist'!$F$2:$F$2000="Done"))&amp;"/"&amp;SUMPRODUCT(('Daily Checklist'!$D$2:$D$2000=$A13)*(TEXT('Daily Checklist'!$B$2:$B$2000,"yyyy-mm-dd")=TEXT(($B$4+24),"yyyy-mm-dd")))&amp;" ESC",SUMPRODUCT(('Daily Checklist'!$D$2:$D$2000=$A13)*(TEXT('Daily Checklist'!$B$2:$B$2000,"yyyy-mm-dd")=TEXT(($B$4+24),"yyyy-mm-dd"))*('Daily Checklist'!$F$2:$F$2000="Done"))&amp;"/"&amp;SUMPRODUCT(('Daily Checklist'!$D$2:$D$2000=$A13)*(TEXT('Daily Checklist'!$B$2:$B$2000,"yyyy-mm-dd")=TEXT(($B$4+24),"yyyy-mm-dd"))))))</f>
        <v>-</v>
      </c>
      <c r="AA13" s="25" t="str">
        <f aca="false">IF($A13="","",IF(SUMPRODUCT(('Daily Checklist'!$D$2:$D$2000=$A13)*(TEXT('Daily Checklist'!$B$2:$B$2000,"yyyy-mm-dd")=TEXT(($B$4+25),"yyyy-mm-dd")))=0,"-",IF(SUMPRODUCT(('Daily Checklist'!$D$2:$D$2000=$A13)*(TEXT('Daily Checklist'!$B$2:$B$2000,"yyyy-mm-dd")=TEXT(($B$4+25),"yyyy-mm-dd"))*('Daily Checklist'!$L$2:$L$2000="Y"))&gt;0,SUMPRODUCT(('Daily Checklist'!$D$2:$D$2000=$A13)*(TEXT('Daily Checklist'!$B$2:$B$2000,"yyyy-mm-dd")=TEXT(($B$4+25),"yyyy-mm-dd"))*('Daily Checklist'!$F$2:$F$2000="Done"))&amp;"/"&amp;SUMPRODUCT(('Daily Checklist'!$D$2:$D$2000=$A13)*(TEXT('Daily Checklist'!$B$2:$B$2000,"yyyy-mm-dd")=TEXT(($B$4+25),"yyyy-mm-dd")))&amp;" ESC",SUMPRODUCT(('Daily Checklist'!$D$2:$D$2000=$A13)*(TEXT('Daily Checklist'!$B$2:$B$2000,"yyyy-mm-dd")=TEXT(($B$4+25),"yyyy-mm-dd"))*('Daily Checklist'!$F$2:$F$2000="Done"))&amp;"/"&amp;SUMPRODUCT(('Daily Checklist'!$D$2:$D$2000=$A13)*(TEXT('Daily Checklist'!$B$2:$B$2000,"yyyy-mm-dd")=TEXT(($B$4+25),"yyyy-mm-dd"))))))</f>
        <v>-</v>
      </c>
      <c r="AB13" s="25" t="str">
        <f aca="false">IF($A13="","",IF(SUMPRODUCT(('Daily Checklist'!$D$2:$D$2000=$A13)*(TEXT('Daily Checklist'!$B$2:$B$2000,"yyyy-mm-dd")=TEXT(($B$4+26),"yyyy-mm-dd")))=0,"-",IF(SUMPRODUCT(('Daily Checklist'!$D$2:$D$2000=$A13)*(TEXT('Daily Checklist'!$B$2:$B$2000,"yyyy-mm-dd")=TEXT(($B$4+26),"yyyy-mm-dd"))*('Daily Checklist'!$L$2:$L$2000="Y"))&gt;0,SUMPRODUCT(('Daily Checklist'!$D$2:$D$2000=$A13)*(TEXT('Daily Checklist'!$B$2:$B$2000,"yyyy-mm-dd")=TEXT(($B$4+26),"yyyy-mm-dd"))*('Daily Checklist'!$F$2:$F$2000="Done"))&amp;"/"&amp;SUMPRODUCT(('Daily Checklist'!$D$2:$D$2000=$A13)*(TEXT('Daily Checklist'!$B$2:$B$2000,"yyyy-mm-dd")=TEXT(($B$4+26),"yyyy-mm-dd")))&amp;" ESC",SUMPRODUCT(('Daily Checklist'!$D$2:$D$2000=$A13)*(TEXT('Daily Checklist'!$B$2:$B$2000,"yyyy-mm-dd")=TEXT(($B$4+26),"yyyy-mm-dd"))*('Daily Checklist'!$F$2:$F$2000="Done"))&amp;"/"&amp;SUMPRODUCT(('Daily Checklist'!$D$2:$D$2000=$A13)*(TEXT('Daily Checklist'!$B$2:$B$2000,"yyyy-mm-dd")=TEXT(($B$4+26),"yyyy-mm-dd"))))))</f>
        <v>-</v>
      </c>
      <c r="AC13" s="25" t="str">
        <f aca="false">IF($A13="","",IF(SUMPRODUCT(('Daily Checklist'!$D$2:$D$2000=$A13)*(TEXT('Daily Checklist'!$B$2:$B$2000,"yyyy-mm-dd")=TEXT(($B$4+27),"yyyy-mm-dd")))=0,"-",IF(SUMPRODUCT(('Daily Checklist'!$D$2:$D$2000=$A13)*(TEXT('Daily Checklist'!$B$2:$B$2000,"yyyy-mm-dd")=TEXT(($B$4+27),"yyyy-mm-dd"))*('Daily Checklist'!$L$2:$L$2000="Y"))&gt;0,SUMPRODUCT(('Daily Checklist'!$D$2:$D$2000=$A13)*(TEXT('Daily Checklist'!$B$2:$B$2000,"yyyy-mm-dd")=TEXT(($B$4+27),"yyyy-mm-dd"))*('Daily Checklist'!$F$2:$F$2000="Done"))&amp;"/"&amp;SUMPRODUCT(('Daily Checklist'!$D$2:$D$2000=$A13)*(TEXT('Daily Checklist'!$B$2:$B$2000,"yyyy-mm-dd")=TEXT(($B$4+27),"yyyy-mm-dd")))&amp;" ESC",SUMPRODUCT(('Daily Checklist'!$D$2:$D$2000=$A13)*(TEXT('Daily Checklist'!$B$2:$B$2000,"yyyy-mm-dd")=TEXT(($B$4+27),"yyyy-mm-dd"))*('Daily Checklist'!$F$2:$F$2000="Done"))&amp;"/"&amp;SUMPRODUCT(('Daily Checklist'!$D$2:$D$2000=$A13)*(TEXT('Daily Checklist'!$B$2:$B$2000,"yyyy-mm-dd")=TEXT(($B$4+27),"yyyy-mm-dd"))))))</f>
        <v>-</v>
      </c>
      <c r="AD13" s="25" t="str">
        <f aca="false">IF($A13="","",IF(SUMPRODUCT(('Daily Checklist'!$D$2:$D$2000=$A13)*(TEXT('Daily Checklist'!$B$2:$B$2000,"yyyy-mm-dd")=TEXT(($B$4+28),"yyyy-mm-dd")))=0,"-",IF(SUMPRODUCT(('Daily Checklist'!$D$2:$D$2000=$A13)*(TEXT('Daily Checklist'!$B$2:$B$2000,"yyyy-mm-dd")=TEXT(($B$4+28),"yyyy-mm-dd"))*('Daily Checklist'!$L$2:$L$2000="Y"))&gt;0,SUMPRODUCT(('Daily Checklist'!$D$2:$D$2000=$A13)*(TEXT('Daily Checklist'!$B$2:$B$2000,"yyyy-mm-dd")=TEXT(($B$4+28),"yyyy-mm-dd"))*('Daily Checklist'!$F$2:$F$2000="Done"))&amp;"/"&amp;SUMPRODUCT(('Daily Checklist'!$D$2:$D$2000=$A13)*(TEXT('Daily Checklist'!$B$2:$B$2000,"yyyy-mm-dd")=TEXT(($B$4+28),"yyyy-mm-dd")))&amp;" ESC",SUMPRODUCT(('Daily Checklist'!$D$2:$D$2000=$A13)*(TEXT('Daily Checklist'!$B$2:$B$2000,"yyyy-mm-dd")=TEXT(($B$4+28),"yyyy-mm-dd"))*('Daily Checklist'!$F$2:$F$2000="Done"))&amp;"/"&amp;SUMPRODUCT(('Daily Checklist'!$D$2:$D$2000=$A13)*(TEXT('Daily Checklist'!$B$2:$B$2000,"yyyy-mm-dd")=TEXT(($B$4+28),"yyyy-mm-dd"))))))</f>
        <v>-</v>
      </c>
      <c r="AE13" s="25" t="str">
        <f aca="false">IF($A13="","",IF(SUMPRODUCT(('Daily Checklist'!$D$2:$D$2000=$A13)*(TEXT('Daily Checklist'!$B$2:$B$2000,"yyyy-mm-dd")=TEXT(($B$4+29),"yyyy-mm-dd")))=0,"-",IF(SUMPRODUCT(('Daily Checklist'!$D$2:$D$2000=$A13)*(TEXT('Daily Checklist'!$B$2:$B$2000,"yyyy-mm-dd")=TEXT(($B$4+29),"yyyy-mm-dd"))*('Daily Checklist'!$L$2:$L$2000="Y"))&gt;0,SUMPRODUCT(('Daily Checklist'!$D$2:$D$2000=$A13)*(TEXT('Daily Checklist'!$B$2:$B$2000,"yyyy-mm-dd")=TEXT(($B$4+29),"yyyy-mm-dd"))*('Daily Checklist'!$F$2:$F$2000="Done"))&amp;"/"&amp;SUMPRODUCT(('Daily Checklist'!$D$2:$D$2000=$A13)*(TEXT('Daily Checklist'!$B$2:$B$2000,"yyyy-mm-dd")=TEXT(($B$4+29),"yyyy-mm-dd")))&amp;" ESC",SUMPRODUCT(('Daily Checklist'!$D$2:$D$2000=$A13)*(TEXT('Daily Checklist'!$B$2:$B$2000,"yyyy-mm-dd")=TEXT(($B$4+29),"yyyy-mm-dd"))*('Daily Checklist'!$F$2:$F$2000="Done"))&amp;"/"&amp;SUMPRODUCT(('Daily Checklist'!$D$2:$D$2000=$A13)*(TEXT('Daily Checklist'!$B$2:$B$2000,"yyyy-mm-dd")=TEXT(($B$4+29),"yyyy-mm-dd"))))))</f>
        <v>-</v>
      </c>
      <c r="AF13" s="25" t="str">
        <f aca="false">IF($A13="","",IF(SUMPRODUCT(('Daily Checklist'!$D$2:$D$2000=$A13)*(TEXT('Daily Checklist'!$B$2:$B$2000,"yyyy-mm-dd")=TEXT(($B$4+30),"yyyy-mm-dd")))=0,"-",IF(SUMPRODUCT(('Daily Checklist'!$D$2:$D$2000=$A13)*(TEXT('Daily Checklist'!$B$2:$B$2000,"yyyy-mm-dd")=TEXT(($B$4+30),"yyyy-mm-dd"))*('Daily Checklist'!$L$2:$L$2000="Y"))&gt;0,SUMPRODUCT(('Daily Checklist'!$D$2:$D$2000=$A13)*(TEXT('Daily Checklist'!$B$2:$B$2000,"yyyy-mm-dd")=TEXT(($B$4+30),"yyyy-mm-dd"))*('Daily Checklist'!$F$2:$F$2000="Done"))&amp;"/"&amp;SUMPRODUCT(('Daily Checklist'!$D$2:$D$2000=$A13)*(TEXT('Daily Checklist'!$B$2:$B$2000,"yyyy-mm-dd")=TEXT(($B$4+30),"yyyy-mm-dd")))&amp;" ESC",SUMPRODUCT(('Daily Checklist'!$D$2:$D$2000=$A13)*(TEXT('Daily Checklist'!$B$2:$B$2000,"yyyy-mm-dd")=TEXT(($B$4+30),"yyyy-mm-dd"))*('Daily Checklist'!$F$2:$F$2000="Done"))&amp;"/"&amp;SUMPRODUCT(('Daily Checklist'!$D$2:$D$2000=$A13)*(TEXT('Daily Checklist'!$B$2:$B$2000,"yyyy-mm-dd")=TEXT(($B$4+30),"yyyy-mm-dd"))))))</f>
        <v>-</v>
      </c>
    </row>
    <row r="14" customFormat="false" ht="15" hidden="false" customHeight="true" outlineLevel="0" collapsed="false">
      <c r="A14" s="24" t="str">
        <f aca="false">IFERROR(IF(Employees!A9="","",Employees!A9),"")</f>
        <v>Pratyush Nanda</v>
      </c>
      <c r="B14" s="25" t="str">
        <f aca="false">IF($A14="","",IF(SUMPRODUCT(('Daily Checklist'!$D$2:$D$2000=$A14)*(TEXT('Daily Checklist'!$B$2:$B$2000,"yyyy-mm-dd")=TEXT(($B$4+0),"yyyy-mm-dd")))=0,"-",IF(SUMPRODUCT(('Daily Checklist'!$D$2:$D$2000=$A14)*(TEXT('Daily Checklist'!$B$2:$B$2000,"yyyy-mm-dd")=TEXT(($B$4+0),"yyyy-mm-dd"))*('Daily Checklist'!$L$2:$L$2000="Y"))&gt;0,SUMPRODUCT(('Daily Checklist'!$D$2:$D$2000=$A14)*(TEXT('Daily Checklist'!$B$2:$B$2000,"yyyy-mm-dd")=TEXT(($B$4+0),"yyyy-mm-dd"))*('Daily Checklist'!$F$2:$F$2000="Done"))&amp;"/"&amp;SUMPRODUCT(('Daily Checklist'!$D$2:$D$2000=$A14)*(TEXT('Daily Checklist'!$B$2:$B$2000,"yyyy-mm-dd")=TEXT(($B$4+0),"yyyy-mm-dd")))&amp;" ESC",SUMPRODUCT(('Daily Checklist'!$D$2:$D$2000=$A14)*(TEXT('Daily Checklist'!$B$2:$B$2000,"yyyy-mm-dd")=TEXT(($B$4+0),"yyyy-mm-dd"))*('Daily Checklist'!$F$2:$F$2000="Done"))&amp;"/"&amp;SUMPRODUCT(('Daily Checklist'!$D$2:$D$2000=$A14)*(TEXT('Daily Checklist'!$B$2:$B$2000,"yyyy-mm-dd")=TEXT(($B$4+0),"yyyy-mm-dd"))))))</f>
        <v>-</v>
      </c>
      <c r="C14" s="25" t="str">
        <f aca="false">IF($A14="","",IF(SUMPRODUCT(('Daily Checklist'!$D$2:$D$2000=$A14)*(TEXT('Daily Checklist'!$B$2:$B$2000,"yyyy-mm-dd")=TEXT(($B$4+1),"yyyy-mm-dd")))=0,"-",IF(SUMPRODUCT(('Daily Checklist'!$D$2:$D$2000=$A14)*(TEXT('Daily Checklist'!$B$2:$B$2000,"yyyy-mm-dd")=TEXT(($B$4+1),"yyyy-mm-dd"))*('Daily Checklist'!$L$2:$L$2000="Y"))&gt;0,SUMPRODUCT(('Daily Checklist'!$D$2:$D$2000=$A14)*(TEXT('Daily Checklist'!$B$2:$B$2000,"yyyy-mm-dd")=TEXT(($B$4+1),"yyyy-mm-dd"))*('Daily Checklist'!$F$2:$F$2000="Done"))&amp;"/"&amp;SUMPRODUCT(('Daily Checklist'!$D$2:$D$2000=$A14)*(TEXT('Daily Checklist'!$B$2:$B$2000,"yyyy-mm-dd")=TEXT(($B$4+1),"yyyy-mm-dd")))&amp;" ESC",SUMPRODUCT(('Daily Checklist'!$D$2:$D$2000=$A14)*(TEXT('Daily Checklist'!$B$2:$B$2000,"yyyy-mm-dd")=TEXT(($B$4+1),"yyyy-mm-dd"))*('Daily Checklist'!$F$2:$F$2000="Done"))&amp;"/"&amp;SUMPRODUCT(('Daily Checklist'!$D$2:$D$2000=$A14)*(TEXT('Daily Checklist'!$B$2:$B$2000,"yyyy-mm-dd")=TEXT(($B$4+1),"yyyy-mm-dd"))))))</f>
        <v>-</v>
      </c>
      <c r="D14" s="25" t="str">
        <f aca="false">IF($A14="","",IF(SUMPRODUCT(('Daily Checklist'!$D$2:$D$2000=$A14)*(TEXT('Daily Checklist'!$B$2:$B$2000,"yyyy-mm-dd")=TEXT(($B$4+2),"yyyy-mm-dd")))=0,"-",IF(SUMPRODUCT(('Daily Checklist'!$D$2:$D$2000=$A14)*(TEXT('Daily Checklist'!$B$2:$B$2000,"yyyy-mm-dd")=TEXT(($B$4+2),"yyyy-mm-dd"))*('Daily Checklist'!$L$2:$L$2000="Y"))&gt;0,SUMPRODUCT(('Daily Checklist'!$D$2:$D$2000=$A14)*(TEXT('Daily Checklist'!$B$2:$B$2000,"yyyy-mm-dd")=TEXT(($B$4+2),"yyyy-mm-dd"))*('Daily Checklist'!$F$2:$F$2000="Done"))&amp;"/"&amp;SUMPRODUCT(('Daily Checklist'!$D$2:$D$2000=$A14)*(TEXT('Daily Checklist'!$B$2:$B$2000,"yyyy-mm-dd")=TEXT(($B$4+2),"yyyy-mm-dd")))&amp;" ESC",SUMPRODUCT(('Daily Checklist'!$D$2:$D$2000=$A14)*(TEXT('Daily Checklist'!$B$2:$B$2000,"yyyy-mm-dd")=TEXT(($B$4+2),"yyyy-mm-dd"))*('Daily Checklist'!$F$2:$F$2000="Done"))&amp;"/"&amp;SUMPRODUCT(('Daily Checklist'!$D$2:$D$2000=$A14)*(TEXT('Daily Checklist'!$B$2:$B$2000,"yyyy-mm-dd")=TEXT(($B$4+2),"yyyy-mm-dd"))))))</f>
        <v>-</v>
      </c>
      <c r="E14" s="25" t="str">
        <f aca="false">IF($A14="","",IF(SUMPRODUCT(('Daily Checklist'!$D$2:$D$2000=$A14)*(TEXT('Daily Checklist'!$B$2:$B$2000,"yyyy-mm-dd")=TEXT(($B$4+3),"yyyy-mm-dd")))=0,"-",IF(SUMPRODUCT(('Daily Checklist'!$D$2:$D$2000=$A14)*(TEXT('Daily Checklist'!$B$2:$B$2000,"yyyy-mm-dd")=TEXT(($B$4+3),"yyyy-mm-dd"))*('Daily Checklist'!$L$2:$L$2000="Y"))&gt;0,SUMPRODUCT(('Daily Checklist'!$D$2:$D$2000=$A14)*(TEXT('Daily Checklist'!$B$2:$B$2000,"yyyy-mm-dd")=TEXT(($B$4+3),"yyyy-mm-dd"))*('Daily Checklist'!$F$2:$F$2000="Done"))&amp;"/"&amp;SUMPRODUCT(('Daily Checklist'!$D$2:$D$2000=$A14)*(TEXT('Daily Checklist'!$B$2:$B$2000,"yyyy-mm-dd")=TEXT(($B$4+3),"yyyy-mm-dd")))&amp;" ESC",SUMPRODUCT(('Daily Checklist'!$D$2:$D$2000=$A14)*(TEXT('Daily Checklist'!$B$2:$B$2000,"yyyy-mm-dd")=TEXT(($B$4+3),"yyyy-mm-dd"))*('Daily Checklist'!$F$2:$F$2000="Done"))&amp;"/"&amp;SUMPRODUCT(('Daily Checklist'!$D$2:$D$2000=$A14)*(TEXT('Daily Checklist'!$B$2:$B$2000,"yyyy-mm-dd")=TEXT(($B$4+3),"yyyy-mm-dd"))))))</f>
        <v>-</v>
      </c>
      <c r="F14" s="25" t="str">
        <f aca="false">IF($A14="","",IF(SUMPRODUCT(('Daily Checklist'!$D$2:$D$2000=$A14)*(TEXT('Daily Checklist'!$B$2:$B$2000,"yyyy-mm-dd")=TEXT(($B$4+4),"yyyy-mm-dd")))=0,"-",IF(SUMPRODUCT(('Daily Checklist'!$D$2:$D$2000=$A14)*(TEXT('Daily Checklist'!$B$2:$B$2000,"yyyy-mm-dd")=TEXT(($B$4+4),"yyyy-mm-dd"))*('Daily Checklist'!$L$2:$L$2000="Y"))&gt;0,SUMPRODUCT(('Daily Checklist'!$D$2:$D$2000=$A14)*(TEXT('Daily Checklist'!$B$2:$B$2000,"yyyy-mm-dd")=TEXT(($B$4+4),"yyyy-mm-dd"))*('Daily Checklist'!$F$2:$F$2000="Done"))&amp;"/"&amp;SUMPRODUCT(('Daily Checklist'!$D$2:$D$2000=$A14)*(TEXT('Daily Checklist'!$B$2:$B$2000,"yyyy-mm-dd")=TEXT(($B$4+4),"yyyy-mm-dd")))&amp;" ESC",SUMPRODUCT(('Daily Checklist'!$D$2:$D$2000=$A14)*(TEXT('Daily Checklist'!$B$2:$B$2000,"yyyy-mm-dd")=TEXT(($B$4+4),"yyyy-mm-dd"))*('Daily Checklist'!$F$2:$F$2000="Done"))&amp;"/"&amp;SUMPRODUCT(('Daily Checklist'!$D$2:$D$2000=$A14)*(TEXT('Daily Checklist'!$B$2:$B$2000,"yyyy-mm-dd")=TEXT(($B$4+4),"yyyy-mm-dd"))))))</f>
        <v>-</v>
      </c>
      <c r="G14" s="25" t="str">
        <f aca="false">IF($A14="","",IF(SUMPRODUCT(('Daily Checklist'!$D$2:$D$2000=$A14)*(TEXT('Daily Checklist'!$B$2:$B$2000,"yyyy-mm-dd")=TEXT(($B$4+5),"yyyy-mm-dd")))=0,"-",IF(SUMPRODUCT(('Daily Checklist'!$D$2:$D$2000=$A14)*(TEXT('Daily Checklist'!$B$2:$B$2000,"yyyy-mm-dd")=TEXT(($B$4+5),"yyyy-mm-dd"))*('Daily Checklist'!$L$2:$L$2000="Y"))&gt;0,SUMPRODUCT(('Daily Checklist'!$D$2:$D$2000=$A14)*(TEXT('Daily Checklist'!$B$2:$B$2000,"yyyy-mm-dd")=TEXT(($B$4+5),"yyyy-mm-dd"))*('Daily Checklist'!$F$2:$F$2000="Done"))&amp;"/"&amp;SUMPRODUCT(('Daily Checklist'!$D$2:$D$2000=$A14)*(TEXT('Daily Checklist'!$B$2:$B$2000,"yyyy-mm-dd")=TEXT(($B$4+5),"yyyy-mm-dd")))&amp;" ESC",SUMPRODUCT(('Daily Checklist'!$D$2:$D$2000=$A14)*(TEXT('Daily Checklist'!$B$2:$B$2000,"yyyy-mm-dd")=TEXT(($B$4+5),"yyyy-mm-dd"))*('Daily Checklist'!$F$2:$F$2000="Done"))&amp;"/"&amp;SUMPRODUCT(('Daily Checklist'!$D$2:$D$2000=$A14)*(TEXT('Daily Checklist'!$B$2:$B$2000,"yyyy-mm-dd")=TEXT(($B$4+5),"yyyy-mm-dd"))))))</f>
        <v>-</v>
      </c>
      <c r="H14" s="25" t="str">
        <f aca="false">IF($A14="","",IF(SUMPRODUCT(('Daily Checklist'!$D$2:$D$2000=$A14)*(TEXT('Daily Checklist'!$B$2:$B$2000,"yyyy-mm-dd")=TEXT(($B$4+6),"yyyy-mm-dd")))=0,"-",IF(SUMPRODUCT(('Daily Checklist'!$D$2:$D$2000=$A14)*(TEXT('Daily Checklist'!$B$2:$B$2000,"yyyy-mm-dd")=TEXT(($B$4+6),"yyyy-mm-dd"))*('Daily Checklist'!$L$2:$L$2000="Y"))&gt;0,SUMPRODUCT(('Daily Checklist'!$D$2:$D$2000=$A14)*(TEXT('Daily Checklist'!$B$2:$B$2000,"yyyy-mm-dd")=TEXT(($B$4+6),"yyyy-mm-dd"))*('Daily Checklist'!$F$2:$F$2000="Done"))&amp;"/"&amp;SUMPRODUCT(('Daily Checklist'!$D$2:$D$2000=$A14)*(TEXT('Daily Checklist'!$B$2:$B$2000,"yyyy-mm-dd")=TEXT(($B$4+6),"yyyy-mm-dd")))&amp;" ESC",SUMPRODUCT(('Daily Checklist'!$D$2:$D$2000=$A14)*(TEXT('Daily Checklist'!$B$2:$B$2000,"yyyy-mm-dd")=TEXT(($B$4+6),"yyyy-mm-dd"))*('Daily Checklist'!$F$2:$F$2000="Done"))&amp;"/"&amp;SUMPRODUCT(('Daily Checklist'!$D$2:$D$2000=$A14)*(TEXT('Daily Checklist'!$B$2:$B$2000,"yyyy-mm-dd")=TEXT(($B$4+6),"yyyy-mm-dd"))))))</f>
        <v>-</v>
      </c>
      <c r="I14" s="25" t="str">
        <f aca="false">IF($A14="","",IF(SUMPRODUCT(('Daily Checklist'!$D$2:$D$2000=$A14)*(TEXT('Daily Checklist'!$B$2:$B$2000,"yyyy-mm-dd")=TEXT(($B$4+7),"yyyy-mm-dd")))=0,"-",IF(SUMPRODUCT(('Daily Checklist'!$D$2:$D$2000=$A14)*(TEXT('Daily Checklist'!$B$2:$B$2000,"yyyy-mm-dd")=TEXT(($B$4+7),"yyyy-mm-dd"))*('Daily Checklist'!$L$2:$L$2000="Y"))&gt;0,SUMPRODUCT(('Daily Checklist'!$D$2:$D$2000=$A14)*(TEXT('Daily Checklist'!$B$2:$B$2000,"yyyy-mm-dd")=TEXT(($B$4+7),"yyyy-mm-dd"))*('Daily Checklist'!$F$2:$F$2000="Done"))&amp;"/"&amp;SUMPRODUCT(('Daily Checklist'!$D$2:$D$2000=$A14)*(TEXT('Daily Checklist'!$B$2:$B$2000,"yyyy-mm-dd")=TEXT(($B$4+7),"yyyy-mm-dd")))&amp;" ESC",SUMPRODUCT(('Daily Checklist'!$D$2:$D$2000=$A14)*(TEXT('Daily Checklist'!$B$2:$B$2000,"yyyy-mm-dd")=TEXT(($B$4+7),"yyyy-mm-dd"))*('Daily Checklist'!$F$2:$F$2000="Done"))&amp;"/"&amp;SUMPRODUCT(('Daily Checklist'!$D$2:$D$2000=$A14)*(TEXT('Daily Checklist'!$B$2:$B$2000,"yyyy-mm-dd")=TEXT(($B$4+7),"yyyy-mm-dd"))))))</f>
        <v>-</v>
      </c>
      <c r="J14" s="25" t="str">
        <f aca="false">IF($A14="","",IF(SUMPRODUCT(('Daily Checklist'!$D$2:$D$2000=$A14)*(TEXT('Daily Checklist'!$B$2:$B$2000,"yyyy-mm-dd")=TEXT(($B$4+8),"yyyy-mm-dd")))=0,"-",IF(SUMPRODUCT(('Daily Checklist'!$D$2:$D$2000=$A14)*(TEXT('Daily Checklist'!$B$2:$B$2000,"yyyy-mm-dd")=TEXT(($B$4+8),"yyyy-mm-dd"))*('Daily Checklist'!$L$2:$L$2000="Y"))&gt;0,SUMPRODUCT(('Daily Checklist'!$D$2:$D$2000=$A14)*(TEXT('Daily Checklist'!$B$2:$B$2000,"yyyy-mm-dd")=TEXT(($B$4+8),"yyyy-mm-dd"))*('Daily Checklist'!$F$2:$F$2000="Done"))&amp;"/"&amp;SUMPRODUCT(('Daily Checklist'!$D$2:$D$2000=$A14)*(TEXT('Daily Checklist'!$B$2:$B$2000,"yyyy-mm-dd")=TEXT(($B$4+8),"yyyy-mm-dd")))&amp;" ESC",SUMPRODUCT(('Daily Checklist'!$D$2:$D$2000=$A14)*(TEXT('Daily Checklist'!$B$2:$B$2000,"yyyy-mm-dd")=TEXT(($B$4+8),"yyyy-mm-dd"))*('Daily Checklist'!$F$2:$F$2000="Done"))&amp;"/"&amp;SUMPRODUCT(('Daily Checklist'!$D$2:$D$2000=$A14)*(TEXT('Daily Checklist'!$B$2:$B$2000,"yyyy-mm-dd")=TEXT(($B$4+8),"yyyy-mm-dd"))))))</f>
        <v>-</v>
      </c>
      <c r="K14" s="25" t="str">
        <f aca="false">IF($A14="","",IF(SUMPRODUCT(('Daily Checklist'!$D$2:$D$2000=$A14)*(TEXT('Daily Checklist'!$B$2:$B$2000,"yyyy-mm-dd")=TEXT(($B$4+9),"yyyy-mm-dd")))=0,"-",IF(SUMPRODUCT(('Daily Checklist'!$D$2:$D$2000=$A14)*(TEXT('Daily Checklist'!$B$2:$B$2000,"yyyy-mm-dd")=TEXT(($B$4+9),"yyyy-mm-dd"))*('Daily Checklist'!$L$2:$L$2000="Y"))&gt;0,SUMPRODUCT(('Daily Checklist'!$D$2:$D$2000=$A14)*(TEXT('Daily Checklist'!$B$2:$B$2000,"yyyy-mm-dd")=TEXT(($B$4+9),"yyyy-mm-dd"))*('Daily Checklist'!$F$2:$F$2000="Done"))&amp;"/"&amp;SUMPRODUCT(('Daily Checklist'!$D$2:$D$2000=$A14)*(TEXT('Daily Checklist'!$B$2:$B$2000,"yyyy-mm-dd")=TEXT(($B$4+9),"yyyy-mm-dd")))&amp;" ESC",SUMPRODUCT(('Daily Checklist'!$D$2:$D$2000=$A14)*(TEXT('Daily Checklist'!$B$2:$B$2000,"yyyy-mm-dd")=TEXT(($B$4+9),"yyyy-mm-dd"))*('Daily Checklist'!$F$2:$F$2000="Done"))&amp;"/"&amp;SUMPRODUCT(('Daily Checklist'!$D$2:$D$2000=$A14)*(TEXT('Daily Checklist'!$B$2:$B$2000,"yyyy-mm-dd")=TEXT(($B$4+9),"yyyy-mm-dd"))))))</f>
        <v>-</v>
      </c>
      <c r="L14" s="25" t="str">
        <f aca="false">IF($A14="","",IF(SUMPRODUCT(('Daily Checklist'!$D$2:$D$2000=$A14)*(TEXT('Daily Checklist'!$B$2:$B$2000,"yyyy-mm-dd")=TEXT(($B$4+10),"yyyy-mm-dd")))=0,"-",IF(SUMPRODUCT(('Daily Checklist'!$D$2:$D$2000=$A14)*(TEXT('Daily Checklist'!$B$2:$B$2000,"yyyy-mm-dd")=TEXT(($B$4+10),"yyyy-mm-dd"))*('Daily Checklist'!$L$2:$L$2000="Y"))&gt;0,SUMPRODUCT(('Daily Checklist'!$D$2:$D$2000=$A14)*(TEXT('Daily Checklist'!$B$2:$B$2000,"yyyy-mm-dd")=TEXT(($B$4+10),"yyyy-mm-dd"))*('Daily Checklist'!$F$2:$F$2000="Done"))&amp;"/"&amp;SUMPRODUCT(('Daily Checklist'!$D$2:$D$2000=$A14)*(TEXT('Daily Checklist'!$B$2:$B$2000,"yyyy-mm-dd")=TEXT(($B$4+10),"yyyy-mm-dd")))&amp;" ESC",SUMPRODUCT(('Daily Checklist'!$D$2:$D$2000=$A14)*(TEXT('Daily Checklist'!$B$2:$B$2000,"yyyy-mm-dd")=TEXT(($B$4+10),"yyyy-mm-dd"))*('Daily Checklist'!$F$2:$F$2000="Done"))&amp;"/"&amp;SUMPRODUCT(('Daily Checklist'!$D$2:$D$2000=$A14)*(TEXT('Daily Checklist'!$B$2:$B$2000,"yyyy-mm-dd")=TEXT(($B$4+10),"yyyy-mm-dd"))))))</f>
        <v>-</v>
      </c>
      <c r="M14" s="25" t="str">
        <f aca="false">IF($A14="","",IF(SUMPRODUCT(('Daily Checklist'!$D$2:$D$2000=$A14)*(TEXT('Daily Checklist'!$B$2:$B$2000,"yyyy-mm-dd")=TEXT(($B$4+11),"yyyy-mm-dd")))=0,"-",IF(SUMPRODUCT(('Daily Checklist'!$D$2:$D$2000=$A14)*(TEXT('Daily Checklist'!$B$2:$B$2000,"yyyy-mm-dd")=TEXT(($B$4+11),"yyyy-mm-dd"))*('Daily Checklist'!$L$2:$L$2000="Y"))&gt;0,SUMPRODUCT(('Daily Checklist'!$D$2:$D$2000=$A14)*(TEXT('Daily Checklist'!$B$2:$B$2000,"yyyy-mm-dd")=TEXT(($B$4+11),"yyyy-mm-dd"))*('Daily Checklist'!$F$2:$F$2000="Done"))&amp;"/"&amp;SUMPRODUCT(('Daily Checklist'!$D$2:$D$2000=$A14)*(TEXT('Daily Checklist'!$B$2:$B$2000,"yyyy-mm-dd")=TEXT(($B$4+11),"yyyy-mm-dd")))&amp;" ESC",SUMPRODUCT(('Daily Checklist'!$D$2:$D$2000=$A14)*(TEXT('Daily Checklist'!$B$2:$B$2000,"yyyy-mm-dd")=TEXT(($B$4+11),"yyyy-mm-dd"))*('Daily Checklist'!$F$2:$F$2000="Done"))&amp;"/"&amp;SUMPRODUCT(('Daily Checklist'!$D$2:$D$2000=$A14)*(TEXT('Daily Checklist'!$B$2:$B$2000,"yyyy-mm-dd")=TEXT(($B$4+11),"yyyy-mm-dd"))))))</f>
        <v>-</v>
      </c>
      <c r="N14" s="25" t="str">
        <f aca="false">IF($A14="","",IF(SUMPRODUCT(('Daily Checklist'!$D$2:$D$2000=$A14)*(TEXT('Daily Checklist'!$B$2:$B$2000,"yyyy-mm-dd")=TEXT(($B$4+12),"yyyy-mm-dd")))=0,"-",IF(SUMPRODUCT(('Daily Checklist'!$D$2:$D$2000=$A14)*(TEXT('Daily Checklist'!$B$2:$B$2000,"yyyy-mm-dd")=TEXT(($B$4+12),"yyyy-mm-dd"))*('Daily Checklist'!$L$2:$L$2000="Y"))&gt;0,SUMPRODUCT(('Daily Checklist'!$D$2:$D$2000=$A14)*(TEXT('Daily Checklist'!$B$2:$B$2000,"yyyy-mm-dd")=TEXT(($B$4+12),"yyyy-mm-dd"))*('Daily Checklist'!$F$2:$F$2000="Done"))&amp;"/"&amp;SUMPRODUCT(('Daily Checklist'!$D$2:$D$2000=$A14)*(TEXT('Daily Checklist'!$B$2:$B$2000,"yyyy-mm-dd")=TEXT(($B$4+12),"yyyy-mm-dd")))&amp;" ESC",SUMPRODUCT(('Daily Checklist'!$D$2:$D$2000=$A14)*(TEXT('Daily Checklist'!$B$2:$B$2000,"yyyy-mm-dd")=TEXT(($B$4+12),"yyyy-mm-dd"))*('Daily Checklist'!$F$2:$F$2000="Done"))&amp;"/"&amp;SUMPRODUCT(('Daily Checklist'!$D$2:$D$2000=$A14)*(TEXT('Daily Checklist'!$B$2:$B$2000,"yyyy-mm-dd")=TEXT(($B$4+12),"yyyy-mm-dd"))))))</f>
        <v>-</v>
      </c>
      <c r="O14" s="25" t="str">
        <f aca="false">IF($A14="","",IF(SUMPRODUCT(('Daily Checklist'!$D$2:$D$2000=$A14)*(TEXT('Daily Checklist'!$B$2:$B$2000,"yyyy-mm-dd")=TEXT(($B$4+13),"yyyy-mm-dd")))=0,"-",IF(SUMPRODUCT(('Daily Checklist'!$D$2:$D$2000=$A14)*(TEXT('Daily Checklist'!$B$2:$B$2000,"yyyy-mm-dd")=TEXT(($B$4+13),"yyyy-mm-dd"))*('Daily Checklist'!$L$2:$L$2000="Y"))&gt;0,SUMPRODUCT(('Daily Checklist'!$D$2:$D$2000=$A14)*(TEXT('Daily Checklist'!$B$2:$B$2000,"yyyy-mm-dd")=TEXT(($B$4+13),"yyyy-mm-dd"))*('Daily Checklist'!$F$2:$F$2000="Done"))&amp;"/"&amp;SUMPRODUCT(('Daily Checklist'!$D$2:$D$2000=$A14)*(TEXT('Daily Checklist'!$B$2:$B$2000,"yyyy-mm-dd")=TEXT(($B$4+13),"yyyy-mm-dd")))&amp;" ESC",SUMPRODUCT(('Daily Checklist'!$D$2:$D$2000=$A14)*(TEXT('Daily Checklist'!$B$2:$B$2000,"yyyy-mm-dd")=TEXT(($B$4+13),"yyyy-mm-dd"))*('Daily Checklist'!$F$2:$F$2000="Done"))&amp;"/"&amp;SUMPRODUCT(('Daily Checklist'!$D$2:$D$2000=$A14)*(TEXT('Daily Checklist'!$B$2:$B$2000,"yyyy-mm-dd")=TEXT(($B$4+13),"yyyy-mm-dd"))))))</f>
        <v>-</v>
      </c>
      <c r="P14" s="25" t="str">
        <f aca="false">IF($A14="","",IF(SUMPRODUCT(('Daily Checklist'!$D$2:$D$2000=$A14)*(TEXT('Daily Checklist'!$B$2:$B$2000,"yyyy-mm-dd")=TEXT(($B$4+14),"yyyy-mm-dd")))=0,"-",IF(SUMPRODUCT(('Daily Checklist'!$D$2:$D$2000=$A14)*(TEXT('Daily Checklist'!$B$2:$B$2000,"yyyy-mm-dd")=TEXT(($B$4+14),"yyyy-mm-dd"))*('Daily Checklist'!$L$2:$L$2000="Y"))&gt;0,SUMPRODUCT(('Daily Checklist'!$D$2:$D$2000=$A14)*(TEXT('Daily Checklist'!$B$2:$B$2000,"yyyy-mm-dd")=TEXT(($B$4+14),"yyyy-mm-dd"))*('Daily Checklist'!$F$2:$F$2000="Done"))&amp;"/"&amp;SUMPRODUCT(('Daily Checklist'!$D$2:$D$2000=$A14)*(TEXT('Daily Checklist'!$B$2:$B$2000,"yyyy-mm-dd")=TEXT(($B$4+14),"yyyy-mm-dd")))&amp;" ESC",SUMPRODUCT(('Daily Checklist'!$D$2:$D$2000=$A14)*(TEXT('Daily Checklist'!$B$2:$B$2000,"yyyy-mm-dd")=TEXT(($B$4+14),"yyyy-mm-dd"))*('Daily Checklist'!$F$2:$F$2000="Done"))&amp;"/"&amp;SUMPRODUCT(('Daily Checklist'!$D$2:$D$2000=$A14)*(TEXT('Daily Checklist'!$B$2:$B$2000,"yyyy-mm-dd")=TEXT(($B$4+14),"yyyy-mm-dd"))))))</f>
        <v>-</v>
      </c>
      <c r="Q14" s="25" t="str">
        <f aca="false">IF($A14="","",IF(SUMPRODUCT(('Daily Checklist'!$D$2:$D$2000=$A14)*(TEXT('Daily Checklist'!$B$2:$B$2000,"yyyy-mm-dd")=TEXT(($B$4+15),"yyyy-mm-dd")))=0,"-",IF(SUMPRODUCT(('Daily Checklist'!$D$2:$D$2000=$A14)*(TEXT('Daily Checklist'!$B$2:$B$2000,"yyyy-mm-dd")=TEXT(($B$4+15),"yyyy-mm-dd"))*('Daily Checklist'!$L$2:$L$2000="Y"))&gt;0,SUMPRODUCT(('Daily Checklist'!$D$2:$D$2000=$A14)*(TEXT('Daily Checklist'!$B$2:$B$2000,"yyyy-mm-dd")=TEXT(($B$4+15),"yyyy-mm-dd"))*('Daily Checklist'!$F$2:$F$2000="Done"))&amp;"/"&amp;SUMPRODUCT(('Daily Checklist'!$D$2:$D$2000=$A14)*(TEXT('Daily Checklist'!$B$2:$B$2000,"yyyy-mm-dd")=TEXT(($B$4+15),"yyyy-mm-dd")))&amp;" ESC",SUMPRODUCT(('Daily Checklist'!$D$2:$D$2000=$A14)*(TEXT('Daily Checklist'!$B$2:$B$2000,"yyyy-mm-dd")=TEXT(($B$4+15),"yyyy-mm-dd"))*('Daily Checklist'!$F$2:$F$2000="Done"))&amp;"/"&amp;SUMPRODUCT(('Daily Checklist'!$D$2:$D$2000=$A14)*(TEXT('Daily Checklist'!$B$2:$B$2000,"yyyy-mm-dd")=TEXT(($B$4+15),"yyyy-mm-dd"))))))</f>
        <v>-</v>
      </c>
      <c r="R14" s="25" t="str">
        <f aca="false">IF($A14="","",IF(SUMPRODUCT(('Daily Checklist'!$D$2:$D$2000=$A14)*(TEXT('Daily Checklist'!$B$2:$B$2000,"yyyy-mm-dd")=TEXT(($B$4+16),"yyyy-mm-dd")))=0,"-",IF(SUMPRODUCT(('Daily Checklist'!$D$2:$D$2000=$A14)*(TEXT('Daily Checklist'!$B$2:$B$2000,"yyyy-mm-dd")=TEXT(($B$4+16),"yyyy-mm-dd"))*('Daily Checklist'!$L$2:$L$2000="Y"))&gt;0,SUMPRODUCT(('Daily Checklist'!$D$2:$D$2000=$A14)*(TEXT('Daily Checklist'!$B$2:$B$2000,"yyyy-mm-dd")=TEXT(($B$4+16),"yyyy-mm-dd"))*('Daily Checklist'!$F$2:$F$2000="Done"))&amp;"/"&amp;SUMPRODUCT(('Daily Checklist'!$D$2:$D$2000=$A14)*(TEXT('Daily Checklist'!$B$2:$B$2000,"yyyy-mm-dd")=TEXT(($B$4+16),"yyyy-mm-dd")))&amp;" ESC",SUMPRODUCT(('Daily Checklist'!$D$2:$D$2000=$A14)*(TEXT('Daily Checklist'!$B$2:$B$2000,"yyyy-mm-dd")=TEXT(($B$4+16),"yyyy-mm-dd"))*('Daily Checklist'!$F$2:$F$2000="Done"))&amp;"/"&amp;SUMPRODUCT(('Daily Checklist'!$D$2:$D$2000=$A14)*(TEXT('Daily Checklist'!$B$2:$B$2000,"yyyy-mm-dd")=TEXT(($B$4+16),"yyyy-mm-dd"))))))</f>
        <v>-</v>
      </c>
      <c r="S14" s="25" t="str">
        <f aca="false">IF($A14="","",IF(SUMPRODUCT(('Daily Checklist'!$D$2:$D$2000=$A14)*(TEXT('Daily Checklist'!$B$2:$B$2000,"yyyy-mm-dd")=TEXT(($B$4+17),"yyyy-mm-dd")))=0,"-",IF(SUMPRODUCT(('Daily Checklist'!$D$2:$D$2000=$A14)*(TEXT('Daily Checklist'!$B$2:$B$2000,"yyyy-mm-dd")=TEXT(($B$4+17),"yyyy-mm-dd"))*('Daily Checklist'!$L$2:$L$2000="Y"))&gt;0,SUMPRODUCT(('Daily Checklist'!$D$2:$D$2000=$A14)*(TEXT('Daily Checklist'!$B$2:$B$2000,"yyyy-mm-dd")=TEXT(($B$4+17),"yyyy-mm-dd"))*('Daily Checklist'!$F$2:$F$2000="Done"))&amp;"/"&amp;SUMPRODUCT(('Daily Checklist'!$D$2:$D$2000=$A14)*(TEXT('Daily Checklist'!$B$2:$B$2000,"yyyy-mm-dd")=TEXT(($B$4+17),"yyyy-mm-dd")))&amp;" ESC",SUMPRODUCT(('Daily Checklist'!$D$2:$D$2000=$A14)*(TEXT('Daily Checklist'!$B$2:$B$2000,"yyyy-mm-dd")=TEXT(($B$4+17),"yyyy-mm-dd"))*('Daily Checklist'!$F$2:$F$2000="Done"))&amp;"/"&amp;SUMPRODUCT(('Daily Checklist'!$D$2:$D$2000=$A14)*(TEXT('Daily Checklist'!$B$2:$B$2000,"yyyy-mm-dd")=TEXT(($B$4+17),"yyyy-mm-dd"))))))</f>
        <v>-</v>
      </c>
      <c r="T14" s="25" t="str">
        <f aca="false">IF($A14="","",IF(SUMPRODUCT(('Daily Checklist'!$D$2:$D$2000=$A14)*(TEXT('Daily Checklist'!$B$2:$B$2000,"yyyy-mm-dd")=TEXT(($B$4+18),"yyyy-mm-dd")))=0,"-",IF(SUMPRODUCT(('Daily Checklist'!$D$2:$D$2000=$A14)*(TEXT('Daily Checklist'!$B$2:$B$2000,"yyyy-mm-dd")=TEXT(($B$4+18),"yyyy-mm-dd"))*('Daily Checklist'!$L$2:$L$2000="Y"))&gt;0,SUMPRODUCT(('Daily Checklist'!$D$2:$D$2000=$A14)*(TEXT('Daily Checklist'!$B$2:$B$2000,"yyyy-mm-dd")=TEXT(($B$4+18),"yyyy-mm-dd"))*('Daily Checklist'!$F$2:$F$2000="Done"))&amp;"/"&amp;SUMPRODUCT(('Daily Checklist'!$D$2:$D$2000=$A14)*(TEXT('Daily Checklist'!$B$2:$B$2000,"yyyy-mm-dd")=TEXT(($B$4+18),"yyyy-mm-dd")))&amp;" ESC",SUMPRODUCT(('Daily Checklist'!$D$2:$D$2000=$A14)*(TEXT('Daily Checklist'!$B$2:$B$2000,"yyyy-mm-dd")=TEXT(($B$4+18),"yyyy-mm-dd"))*('Daily Checklist'!$F$2:$F$2000="Done"))&amp;"/"&amp;SUMPRODUCT(('Daily Checklist'!$D$2:$D$2000=$A14)*(TEXT('Daily Checklist'!$B$2:$B$2000,"yyyy-mm-dd")=TEXT(($B$4+18),"yyyy-mm-dd"))))))</f>
        <v>-</v>
      </c>
      <c r="U14" s="25" t="str">
        <f aca="false">IF($A14="","",IF(SUMPRODUCT(('Daily Checklist'!$D$2:$D$2000=$A14)*(TEXT('Daily Checklist'!$B$2:$B$2000,"yyyy-mm-dd")=TEXT(($B$4+19),"yyyy-mm-dd")))=0,"-",IF(SUMPRODUCT(('Daily Checklist'!$D$2:$D$2000=$A14)*(TEXT('Daily Checklist'!$B$2:$B$2000,"yyyy-mm-dd")=TEXT(($B$4+19),"yyyy-mm-dd"))*('Daily Checklist'!$L$2:$L$2000="Y"))&gt;0,SUMPRODUCT(('Daily Checklist'!$D$2:$D$2000=$A14)*(TEXT('Daily Checklist'!$B$2:$B$2000,"yyyy-mm-dd")=TEXT(($B$4+19),"yyyy-mm-dd"))*('Daily Checklist'!$F$2:$F$2000="Done"))&amp;"/"&amp;SUMPRODUCT(('Daily Checklist'!$D$2:$D$2000=$A14)*(TEXT('Daily Checklist'!$B$2:$B$2000,"yyyy-mm-dd")=TEXT(($B$4+19),"yyyy-mm-dd")))&amp;" ESC",SUMPRODUCT(('Daily Checklist'!$D$2:$D$2000=$A14)*(TEXT('Daily Checklist'!$B$2:$B$2000,"yyyy-mm-dd")=TEXT(($B$4+19),"yyyy-mm-dd"))*('Daily Checklist'!$F$2:$F$2000="Done"))&amp;"/"&amp;SUMPRODUCT(('Daily Checklist'!$D$2:$D$2000=$A14)*(TEXT('Daily Checklist'!$B$2:$B$2000,"yyyy-mm-dd")=TEXT(($B$4+19),"yyyy-mm-dd"))))))</f>
        <v>-</v>
      </c>
      <c r="V14" s="25" t="str">
        <f aca="false">IF($A14="","",IF(SUMPRODUCT(('Daily Checklist'!$D$2:$D$2000=$A14)*(TEXT('Daily Checklist'!$B$2:$B$2000,"yyyy-mm-dd")=TEXT(($B$4+20),"yyyy-mm-dd")))=0,"-",IF(SUMPRODUCT(('Daily Checklist'!$D$2:$D$2000=$A14)*(TEXT('Daily Checklist'!$B$2:$B$2000,"yyyy-mm-dd")=TEXT(($B$4+20),"yyyy-mm-dd"))*('Daily Checklist'!$L$2:$L$2000="Y"))&gt;0,SUMPRODUCT(('Daily Checklist'!$D$2:$D$2000=$A14)*(TEXT('Daily Checklist'!$B$2:$B$2000,"yyyy-mm-dd")=TEXT(($B$4+20),"yyyy-mm-dd"))*('Daily Checklist'!$F$2:$F$2000="Done"))&amp;"/"&amp;SUMPRODUCT(('Daily Checklist'!$D$2:$D$2000=$A14)*(TEXT('Daily Checklist'!$B$2:$B$2000,"yyyy-mm-dd")=TEXT(($B$4+20),"yyyy-mm-dd")))&amp;" ESC",SUMPRODUCT(('Daily Checklist'!$D$2:$D$2000=$A14)*(TEXT('Daily Checklist'!$B$2:$B$2000,"yyyy-mm-dd")=TEXT(($B$4+20),"yyyy-mm-dd"))*('Daily Checklist'!$F$2:$F$2000="Done"))&amp;"/"&amp;SUMPRODUCT(('Daily Checklist'!$D$2:$D$2000=$A14)*(TEXT('Daily Checklist'!$B$2:$B$2000,"yyyy-mm-dd")=TEXT(($B$4+20),"yyyy-mm-dd"))))))</f>
        <v>-</v>
      </c>
      <c r="W14" s="25" t="str">
        <f aca="false">IF($A14="","",IF(SUMPRODUCT(('Daily Checklist'!$D$2:$D$2000=$A14)*(TEXT('Daily Checklist'!$B$2:$B$2000,"yyyy-mm-dd")=TEXT(($B$4+21),"yyyy-mm-dd")))=0,"-",IF(SUMPRODUCT(('Daily Checklist'!$D$2:$D$2000=$A14)*(TEXT('Daily Checklist'!$B$2:$B$2000,"yyyy-mm-dd")=TEXT(($B$4+21),"yyyy-mm-dd"))*('Daily Checklist'!$L$2:$L$2000="Y"))&gt;0,SUMPRODUCT(('Daily Checklist'!$D$2:$D$2000=$A14)*(TEXT('Daily Checklist'!$B$2:$B$2000,"yyyy-mm-dd")=TEXT(($B$4+21),"yyyy-mm-dd"))*('Daily Checklist'!$F$2:$F$2000="Done"))&amp;"/"&amp;SUMPRODUCT(('Daily Checklist'!$D$2:$D$2000=$A14)*(TEXT('Daily Checklist'!$B$2:$B$2000,"yyyy-mm-dd")=TEXT(($B$4+21),"yyyy-mm-dd")))&amp;" ESC",SUMPRODUCT(('Daily Checklist'!$D$2:$D$2000=$A14)*(TEXT('Daily Checklist'!$B$2:$B$2000,"yyyy-mm-dd")=TEXT(($B$4+21),"yyyy-mm-dd"))*('Daily Checklist'!$F$2:$F$2000="Done"))&amp;"/"&amp;SUMPRODUCT(('Daily Checklist'!$D$2:$D$2000=$A14)*(TEXT('Daily Checklist'!$B$2:$B$2000,"yyyy-mm-dd")=TEXT(($B$4+21),"yyyy-mm-dd"))))))</f>
        <v>-</v>
      </c>
      <c r="X14" s="25" t="str">
        <f aca="false">IF($A14="","",IF(SUMPRODUCT(('Daily Checklist'!$D$2:$D$2000=$A14)*(TEXT('Daily Checklist'!$B$2:$B$2000,"yyyy-mm-dd")=TEXT(($B$4+22),"yyyy-mm-dd")))=0,"-",IF(SUMPRODUCT(('Daily Checklist'!$D$2:$D$2000=$A14)*(TEXT('Daily Checklist'!$B$2:$B$2000,"yyyy-mm-dd")=TEXT(($B$4+22),"yyyy-mm-dd"))*('Daily Checklist'!$L$2:$L$2000="Y"))&gt;0,SUMPRODUCT(('Daily Checklist'!$D$2:$D$2000=$A14)*(TEXT('Daily Checklist'!$B$2:$B$2000,"yyyy-mm-dd")=TEXT(($B$4+22),"yyyy-mm-dd"))*('Daily Checklist'!$F$2:$F$2000="Done"))&amp;"/"&amp;SUMPRODUCT(('Daily Checklist'!$D$2:$D$2000=$A14)*(TEXT('Daily Checklist'!$B$2:$B$2000,"yyyy-mm-dd")=TEXT(($B$4+22),"yyyy-mm-dd")))&amp;" ESC",SUMPRODUCT(('Daily Checklist'!$D$2:$D$2000=$A14)*(TEXT('Daily Checklist'!$B$2:$B$2000,"yyyy-mm-dd")=TEXT(($B$4+22),"yyyy-mm-dd"))*('Daily Checklist'!$F$2:$F$2000="Done"))&amp;"/"&amp;SUMPRODUCT(('Daily Checklist'!$D$2:$D$2000=$A14)*(TEXT('Daily Checklist'!$B$2:$B$2000,"yyyy-mm-dd")=TEXT(($B$4+22),"yyyy-mm-dd"))))))</f>
        <v>-</v>
      </c>
      <c r="Y14" s="25" t="str">
        <f aca="false">IF($A14="","",IF(SUMPRODUCT(('Daily Checklist'!$D$2:$D$2000=$A14)*(TEXT('Daily Checklist'!$B$2:$B$2000,"yyyy-mm-dd")=TEXT(($B$4+23),"yyyy-mm-dd")))=0,"-",IF(SUMPRODUCT(('Daily Checklist'!$D$2:$D$2000=$A14)*(TEXT('Daily Checklist'!$B$2:$B$2000,"yyyy-mm-dd")=TEXT(($B$4+23),"yyyy-mm-dd"))*('Daily Checklist'!$L$2:$L$2000="Y"))&gt;0,SUMPRODUCT(('Daily Checklist'!$D$2:$D$2000=$A14)*(TEXT('Daily Checklist'!$B$2:$B$2000,"yyyy-mm-dd")=TEXT(($B$4+23),"yyyy-mm-dd"))*('Daily Checklist'!$F$2:$F$2000="Done"))&amp;"/"&amp;SUMPRODUCT(('Daily Checklist'!$D$2:$D$2000=$A14)*(TEXT('Daily Checklist'!$B$2:$B$2000,"yyyy-mm-dd")=TEXT(($B$4+23),"yyyy-mm-dd")))&amp;" ESC",SUMPRODUCT(('Daily Checklist'!$D$2:$D$2000=$A14)*(TEXT('Daily Checklist'!$B$2:$B$2000,"yyyy-mm-dd")=TEXT(($B$4+23),"yyyy-mm-dd"))*('Daily Checklist'!$F$2:$F$2000="Done"))&amp;"/"&amp;SUMPRODUCT(('Daily Checklist'!$D$2:$D$2000=$A14)*(TEXT('Daily Checklist'!$B$2:$B$2000,"yyyy-mm-dd")=TEXT(($B$4+23),"yyyy-mm-dd"))))))</f>
        <v>-</v>
      </c>
      <c r="Z14" s="25" t="str">
        <f aca="false">IF($A14="","",IF(SUMPRODUCT(('Daily Checklist'!$D$2:$D$2000=$A14)*(TEXT('Daily Checklist'!$B$2:$B$2000,"yyyy-mm-dd")=TEXT(($B$4+24),"yyyy-mm-dd")))=0,"-",IF(SUMPRODUCT(('Daily Checklist'!$D$2:$D$2000=$A14)*(TEXT('Daily Checklist'!$B$2:$B$2000,"yyyy-mm-dd")=TEXT(($B$4+24),"yyyy-mm-dd"))*('Daily Checklist'!$L$2:$L$2000="Y"))&gt;0,SUMPRODUCT(('Daily Checklist'!$D$2:$D$2000=$A14)*(TEXT('Daily Checklist'!$B$2:$B$2000,"yyyy-mm-dd")=TEXT(($B$4+24),"yyyy-mm-dd"))*('Daily Checklist'!$F$2:$F$2000="Done"))&amp;"/"&amp;SUMPRODUCT(('Daily Checklist'!$D$2:$D$2000=$A14)*(TEXT('Daily Checklist'!$B$2:$B$2000,"yyyy-mm-dd")=TEXT(($B$4+24),"yyyy-mm-dd")))&amp;" ESC",SUMPRODUCT(('Daily Checklist'!$D$2:$D$2000=$A14)*(TEXT('Daily Checklist'!$B$2:$B$2000,"yyyy-mm-dd")=TEXT(($B$4+24),"yyyy-mm-dd"))*('Daily Checklist'!$F$2:$F$2000="Done"))&amp;"/"&amp;SUMPRODUCT(('Daily Checklist'!$D$2:$D$2000=$A14)*(TEXT('Daily Checklist'!$B$2:$B$2000,"yyyy-mm-dd")=TEXT(($B$4+24),"yyyy-mm-dd"))))))</f>
        <v>-</v>
      </c>
      <c r="AA14" s="25" t="str">
        <f aca="false">IF($A14="","",IF(SUMPRODUCT(('Daily Checklist'!$D$2:$D$2000=$A14)*(TEXT('Daily Checklist'!$B$2:$B$2000,"yyyy-mm-dd")=TEXT(($B$4+25),"yyyy-mm-dd")))=0,"-",IF(SUMPRODUCT(('Daily Checklist'!$D$2:$D$2000=$A14)*(TEXT('Daily Checklist'!$B$2:$B$2000,"yyyy-mm-dd")=TEXT(($B$4+25),"yyyy-mm-dd"))*('Daily Checklist'!$L$2:$L$2000="Y"))&gt;0,SUMPRODUCT(('Daily Checklist'!$D$2:$D$2000=$A14)*(TEXT('Daily Checklist'!$B$2:$B$2000,"yyyy-mm-dd")=TEXT(($B$4+25),"yyyy-mm-dd"))*('Daily Checklist'!$F$2:$F$2000="Done"))&amp;"/"&amp;SUMPRODUCT(('Daily Checklist'!$D$2:$D$2000=$A14)*(TEXT('Daily Checklist'!$B$2:$B$2000,"yyyy-mm-dd")=TEXT(($B$4+25),"yyyy-mm-dd")))&amp;" ESC",SUMPRODUCT(('Daily Checklist'!$D$2:$D$2000=$A14)*(TEXT('Daily Checklist'!$B$2:$B$2000,"yyyy-mm-dd")=TEXT(($B$4+25),"yyyy-mm-dd"))*('Daily Checklist'!$F$2:$F$2000="Done"))&amp;"/"&amp;SUMPRODUCT(('Daily Checklist'!$D$2:$D$2000=$A14)*(TEXT('Daily Checklist'!$B$2:$B$2000,"yyyy-mm-dd")=TEXT(($B$4+25),"yyyy-mm-dd"))))))</f>
        <v>-</v>
      </c>
      <c r="AB14" s="25" t="str">
        <f aca="false">IF($A14="","",IF(SUMPRODUCT(('Daily Checklist'!$D$2:$D$2000=$A14)*(TEXT('Daily Checklist'!$B$2:$B$2000,"yyyy-mm-dd")=TEXT(($B$4+26),"yyyy-mm-dd")))=0,"-",IF(SUMPRODUCT(('Daily Checklist'!$D$2:$D$2000=$A14)*(TEXT('Daily Checklist'!$B$2:$B$2000,"yyyy-mm-dd")=TEXT(($B$4+26),"yyyy-mm-dd"))*('Daily Checklist'!$L$2:$L$2000="Y"))&gt;0,SUMPRODUCT(('Daily Checklist'!$D$2:$D$2000=$A14)*(TEXT('Daily Checklist'!$B$2:$B$2000,"yyyy-mm-dd")=TEXT(($B$4+26),"yyyy-mm-dd"))*('Daily Checklist'!$F$2:$F$2000="Done"))&amp;"/"&amp;SUMPRODUCT(('Daily Checklist'!$D$2:$D$2000=$A14)*(TEXT('Daily Checklist'!$B$2:$B$2000,"yyyy-mm-dd")=TEXT(($B$4+26),"yyyy-mm-dd")))&amp;" ESC",SUMPRODUCT(('Daily Checklist'!$D$2:$D$2000=$A14)*(TEXT('Daily Checklist'!$B$2:$B$2000,"yyyy-mm-dd")=TEXT(($B$4+26),"yyyy-mm-dd"))*('Daily Checklist'!$F$2:$F$2000="Done"))&amp;"/"&amp;SUMPRODUCT(('Daily Checklist'!$D$2:$D$2000=$A14)*(TEXT('Daily Checklist'!$B$2:$B$2000,"yyyy-mm-dd")=TEXT(($B$4+26),"yyyy-mm-dd"))))))</f>
        <v>-</v>
      </c>
      <c r="AC14" s="25" t="str">
        <f aca="false">IF($A14="","",IF(SUMPRODUCT(('Daily Checklist'!$D$2:$D$2000=$A14)*(TEXT('Daily Checklist'!$B$2:$B$2000,"yyyy-mm-dd")=TEXT(($B$4+27),"yyyy-mm-dd")))=0,"-",IF(SUMPRODUCT(('Daily Checklist'!$D$2:$D$2000=$A14)*(TEXT('Daily Checklist'!$B$2:$B$2000,"yyyy-mm-dd")=TEXT(($B$4+27),"yyyy-mm-dd"))*('Daily Checklist'!$L$2:$L$2000="Y"))&gt;0,SUMPRODUCT(('Daily Checklist'!$D$2:$D$2000=$A14)*(TEXT('Daily Checklist'!$B$2:$B$2000,"yyyy-mm-dd")=TEXT(($B$4+27),"yyyy-mm-dd"))*('Daily Checklist'!$F$2:$F$2000="Done"))&amp;"/"&amp;SUMPRODUCT(('Daily Checklist'!$D$2:$D$2000=$A14)*(TEXT('Daily Checklist'!$B$2:$B$2000,"yyyy-mm-dd")=TEXT(($B$4+27),"yyyy-mm-dd")))&amp;" ESC",SUMPRODUCT(('Daily Checklist'!$D$2:$D$2000=$A14)*(TEXT('Daily Checklist'!$B$2:$B$2000,"yyyy-mm-dd")=TEXT(($B$4+27),"yyyy-mm-dd"))*('Daily Checklist'!$F$2:$F$2000="Done"))&amp;"/"&amp;SUMPRODUCT(('Daily Checklist'!$D$2:$D$2000=$A14)*(TEXT('Daily Checklist'!$B$2:$B$2000,"yyyy-mm-dd")=TEXT(($B$4+27),"yyyy-mm-dd"))))))</f>
        <v>-</v>
      </c>
      <c r="AD14" s="25" t="str">
        <f aca="false">IF($A14="","",IF(SUMPRODUCT(('Daily Checklist'!$D$2:$D$2000=$A14)*(TEXT('Daily Checklist'!$B$2:$B$2000,"yyyy-mm-dd")=TEXT(($B$4+28),"yyyy-mm-dd")))=0,"-",IF(SUMPRODUCT(('Daily Checklist'!$D$2:$D$2000=$A14)*(TEXT('Daily Checklist'!$B$2:$B$2000,"yyyy-mm-dd")=TEXT(($B$4+28),"yyyy-mm-dd"))*('Daily Checklist'!$L$2:$L$2000="Y"))&gt;0,SUMPRODUCT(('Daily Checklist'!$D$2:$D$2000=$A14)*(TEXT('Daily Checklist'!$B$2:$B$2000,"yyyy-mm-dd")=TEXT(($B$4+28),"yyyy-mm-dd"))*('Daily Checklist'!$F$2:$F$2000="Done"))&amp;"/"&amp;SUMPRODUCT(('Daily Checklist'!$D$2:$D$2000=$A14)*(TEXT('Daily Checklist'!$B$2:$B$2000,"yyyy-mm-dd")=TEXT(($B$4+28),"yyyy-mm-dd")))&amp;" ESC",SUMPRODUCT(('Daily Checklist'!$D$2:$D$2000=$A14)*(TEXT('Daily Checklist'!$B$2:$B$2000,"yyyy-mm-dd")=TEXT(($B$4+28),"yyyy-mm-dd"))*('Daily Checklist'!$F$2:$F$2000="Done"))&amp;"/"&amp;SUMPRODUCT(('Daily Checklist'!$D$2:$D$2000=$A14)*(TEXT('Daily Checklist'!$B$2:$B$2000,"yyyy-mm-dd")=TEXT(($B$4+28),"yyyy-mm-dd"))))))</f>
        <v>-</v>
      </c>
      <c r="AE14" s="25" t="str">
        <f aca="false">IF($A14="","",IF(SUMPRODUCT(('Daily Checklist'!$D$2:$D$2000=$A14)*(TEXT('Daily Checklist'!$B$2:$B$2000,"yyyy-mm-dd")=TEXT(($B$4+29),"yyyy-mm-dd")))=0,"-",IF(SUMPRODUCT(('Daily Checklist'!$D$2:$D$2000=$A14)*(TEXT('Daily Checklist'!$B$2:$B$2000,"yyyy-mm-dd")=TEXT(($B$4+29),"yyyy-mm-dd"))*('Daily Checklist'!$L$2:$L$2000="Y"))&gt;0,SUMPRODUCT(('Daily Checklist'!$D$2:$D$2000=$A14)*(TEXT('Daily Checklist'!$B$2:$B$2000,"yyyy-mm-dd")=TEXT(($B$4+29),"yyyy-mm-dd"))*('Daily Checklist'!$F$2:$F$2000="Done"))&amp;"/"&amp;SUMPRODUCT(('Daily Checklist'!$D$2:$D$2000=$A14)*(TEXT('Daily Checklist'!$B$2:$B$2000,"yyyy-mm-dd")=TEXT(($B$4+29),"yyyy-mm-dd")))&amp;" ESC",SUMPRODUCT(('Daily Checklist'!$D$2:$D$2000=$A14)*(TEXT('Daily Checklist'!$B$2:$B$2000,"yyyy-mm-dd")=TEXT(($B$4+29),"yyyy-mm-dd"))*('Daily Checklist'!$F$2:$F$2000="Done"))&amp;"/"&amp;SUMPRODUCT(('Daily Checklist'!$D$2:$D$2000=$A14)*(TEXT('Daily Checklist'!$B$2:$B$2000,"yyyy-mm-dd")=TEXT(($B$4+29),"yyyy-mm-dd"))))))</f>
        <v>-</v>
      </c>
      <c r="AF14" s="25" t="str">
        <f aca="false">IF($A14="","",IF(SUMPRODUCT(('Daily Checklist'!$D$2:$D$2000=$A14)*(TEXT('Daily Checklist'!$B$2:$B$2000,"yyyy-mm-dd")=TEXT(($B$4+30),"yyyy-mm-dd")))=0,"-",IF(SUMPRODUCT(('Daily Checklist'!$D$2:$D$2000=$A14)*(TEXT('Daily Checklist'!$B$2:$B$2000,"yyyy-mm-dd")=TEXT(($B$4+30),"yyyy-mm-dd"))*('Daily Checklist'!$L$2:$L$2000="Y"))&gt;0,SUMPRODUCT(('Daily Checklist'!$D$2:$D$2000=$A14)*(TEXT('Daily Checklist'!$B$2:$B$2000,"yyyy-mm-dd")=TEXT(($B$4+30),"yyyy-mm-dd"))*('Daily Checklist'!$F$2:$F$2000="Done"))&amp;"/"&amp;SUMPRODUCT(('Daily Checklist'!$D$2:$D$2000=$A14)*(TEXT('Daily Checklist'!$B$2:$B$2000,"yyyy-mm-dd")=TEXT(($B$4+30),"yyyy-mm-dd")))&amp;" ESC",SUMPRODUCT(('Daily Checklist'!$D$2:$D$2000=$A14)*(TEXT('Daily Checklist'!$B$2:$B$2000,"yyyy-mm-dd")=TEXT(($B$4+30),"yyyy-mm-dd"))*('Daily Checklist'!$F$2:$F$2000="Done"))&amp;"/"&amp;SUMPRODUCT(('Daily Checklist'!$D$2:$D$2000=$A14)*(TEXT('Daily Checklist'!$B$2:$B$2000,"yyyy-mm-dd")=TEXT(($B$4+30),"yyyy-mm-dd"))))))</f>
        <v>-</v>
      </c>
    </row>
    <row r="15" customFormat="false" ht="15" hidden="false" customHeight="true" outlineLevel="0" collapsed="false">
      <c r="A15" s="24" t="str">
        <f aca="false">IFERROR(IF(Employees!A10="","",Employees!A10),"")</f>
        <v>Om Kumar Choudhury</v>
      </c>
      <c r="B15" s="25" t="str">
        <f aca="false">IF($A15="","",IF(SUMPRODUCT(('Daily Checklist'!$D$2:$D$2000=$A15)*(TEXT('Daily Checklist'!$B$2:$B$2000,"yyyy-mm-dd")=TEXT(($B$4+0),"yyyy-mm-dd")))=0,"-",IF(SUMPRODUCT(('Daily Checklist'!$D$2:$D$2000=$A15)*(TEXT('Daily Checklist'!$B$2:$B$2000,"yyyy-mm-dd")=TEXT(($B$4+0),"yyyy-mm-dd"))*('Daily Checklist'!$L$2:$L$2000="Y"))&gt;0,SUMPRODUCT(('Daily Checklist'!$D$2:$D$2000=$A15)*(TEXT('Daily Checklist'!$B$2:$B$2000,"yyyy-mm-dd")=TEXT(($B$4+0),"yyyy-mm-dd"))*('Daily Checklist'!$F$2:$F$2000="Done"))&amp;"/"&amp;SUMPRODUCT(('Daily Checklist'!$D$2:$D$2000=$A15)*(TEXT('Daily Checklist'!$B$2:$B$2000,"yyyy-mm-dd")=TEXT(($B$4+0),"yyyy-mm-dd")))&amp;" ESC",SUMPRODUCT(('Daily Checklist'!$D$2:$D$2000=$A15)*(TEXT('Daily Checklist'!$B$2:$B$2000,"yyyy-mm-dd")=TEXT(($B$4+0),"yyyy-mm-dd"))*('Daily Checklist'!$F$2:$F$2000="Done"))&amp;"/"&amp;SUMPRODUCT(('Daily Checklist'!$D$2:$D$2000=$A15)*(TEXT('Daily Checklist'!$B$2:$B$2000,"yyyy-mm-dd")=TEXT(($B$4+0),"yyyy-mm-dd"))))))</f>
        <v>-</v>
      </c>
      <c r="C15" s="25" t="str">
        <f aca="false">IF($A15="","",IF(SUMPRODUCT(('Daily Checklist'!$D$2:$D$2000=$A15)*(TEXT('Daily Checklist'!$B$2:$B$2000,"yyyy-mm-dd")=TEXT(($B$4+1),"yyyy-mm-dd")))=0,"-",IF(SUMPRODUCT(('Daily Checklist'!$D$2:$D$2000=$A15)*(TEXT('Daily Checklist'!$B$2:$B$2000,"yyyy-mm-dd")=TEXT(($B$4+1),"yyyy-mm-dd"))*('Daily Checklist'!$L$2:$L$2000="Y"))&gt;0,SUMPRODUCT(('Daily Checklist'!$D$2:$D$2000=$A15)*(TEXT('Daily Checklist'!$B$2:$B$2000,"yyyy-mm-dd")=TEXT(($B$4+1),"yyyy-mm-dd"))*('Daily Checklist'!$F$2:$F$2000="Done"))&amp;"/"&amp;SUMPRODUCT(('Daily Checklist'!$D$2:$D$2000=$A15)*(TEXT('Daily Checklist'!$B$2:$B$2000,"yyyy-mm-dd")=TEXT(($B$4+1),"yyyy-mm-dd")))&amp;" ESC",SUMPRODUCT(('Daily Checklist'!$D$2:$D$2000=$A15)*(TEXT('Daily Checklist'!$B$2:$B$2000,"yyyy-mm-dd")=TEXT(($B$4+1),"yyyy-mm-dd"))*('Daily Checklist'!$F$2:$F$2000="Done"))&amp;"/"&amp;SUMPRODUCT(('Daily Checklist'!$D$2:$D$2000=$A15)*(TEXT('Daily Checklist'!$B$2:$B$2000,"yyyy-mm-dd")=TEXT(($B$4+1),"yyyy-mm-dd"))))))</f>
        <v>-</v>
      </c>
      <c r="D15" s="25" t="str">
        <f aca="false">IF($A15="","",IF(SUMPRODUCT(('Daily Checklist'!$D$2:$D$2000=$A15)*(TEXT('Daily Checklist'!$B$2:$B$2000,"yyyy-mm-dd")=TEXT(($B$4+2),"yyyy-mm-dd")))=0,"-",IF(SUMPRODUCT(('Daily Checklist'!$D$2:$D$2000=$A15)*(TEXT('Daily Checklist'!$B$2:$B$2000,"yyyy-mm-dd")=TEXT(($B$4+2),"yyyy-mm-dd"))*('Daily Checklist'!$L$2:$L$2000="Y"))&gt;0,SUMPRODUCT(('Daily Checklist'!$D$2:$D$2000=$A15)*(TEXT('Daily Checklist'!$B$2:$B$2000,"yyyy-mm-dd")=TEXT(($B$4+2),"yyyy-mm-dd"))*('Daily Checklist'!$F$2:$F$2000="Done"))&amp;"/"&amp;SUMPRODUCT(('Daily Checklist'!$D$2:$D$2000=$A15)*(TEXT('Daily Checklist'!$B$2:$B$2000,"yyyy-mm-dd")=TEXT(($B$4+2),"yyyy-mm-dd")))&amp;" ESC",SUMPRODUCT(('Daily Checklist'!$D$2:$D$2000=$A15)*(TEXT('Daily Checklist'!$B$2:$B$2000,"yyyy-mm-dd")=TEXT(($B$4+2),"yyyy-mm-dd"))*('Daily Checklist'!$F$2:$F$2000="Done"))&amp;"/"&amp;SUMPRODUCT(('Daily Checklist'!$D$2:$D$2000=$A15)*(TEXT('Daily Checklist'!$B$2:$B$2000,"yyyy-mm-dd")=TEXT(($B$4+2),"yyyy-mm-dd"))))))</f>
        <v>-</v>
      </c>
      <c r="E15" s="25" t="str">
        <f aca="false">IF($A15="","",IF(SUMPRODUCT(('Daily Checklist'!$D$2:$D$2000=$A15)*(TEXT('Daily Checklist'!$B$2:$B$2000,"yyyy-mm-dd")=TEXT(($B$4+3),"yyyy-mm-dd")))=0,"-",IF(SUMPRODUCT(('Daily Checklist'!$D$2:$D$2000=$A15)*(TEXT('Daily Checklist'!$B$2:$B$2000,"yyyy-mm-dd")=TEXT(($B$4+3),"yyyy-mm-dd"))*('Daily Checklist'!$L$2:$L$2000="Y"))&gt;0,SUMPRODUCT(('Daily Checklist'!$D$2:$D$2000=$A15)*(TEXT('Daily Checklist'!$B$2:$B$2000,"yyyy-mm-dd")=TEXT(($B$4+3),"yyyy-mm-dd"))*('Daily Checklist'!$F$2:$F$2000="Done"))&amp;"/"&amp;SUMPRODUCT(('Daily Checklist'!$D$2:$D$2000=$A15)*(TEXT('Daily Checklist'!$B$2:$B$2000,"yyyy-mm-dd")=TEXT(($B$4+3),"yyyy-mm-dd")))&amp;" ESC",SUMPRODUCT(('Daily Checklist'!$D$2:$D$2000=$A15)*(TEXT('Daily Checklist'!$B$2:$B$2000,"yyyy-mm-dd")=TEXT(($B$4+3),"yyyy-mm-dd"))*('Daily Checklist'!$F$2:$F$2000="Done"))&amp;"/"&amp;SUMPRODUCT(('Daily Checklist'!$D$2:$D$2000=$A15)*(TEXT('Daily Checklist'!$B$2:$B$2000,"yyyy-mm-dd")=TEXT(($B$4+3),"yyyy-mm-dd"))))))</f>
        <v>-</v>
      </c>
      <c r="F15" s="25" t="str">
        <f aca="false">IF($A15="","",IF(SUMPRODUCT(('Daily Checklist'!$D$2:$D$2000=$A15)*(TEXT('Daily Checklist'!$B$2:$B$2000,"yyyy-mm-dd")=TEXT(($B$4+4),"yyyy-mm-dd")))=0,"-",IF(SUMPRODUCT(('Daily Checklist'!$D$2:$D$2000=$A15)*(TEXT('Daily Checklist'!$B$2:$B$2000,"yyyy-mm-dd")=TEXT(($B$4+4),"yyyy-mm-dd"))*('Daily Checklist'!$L$2:$L$2000="Y"))&gt;0,SUMPRODUCT(('Daily Checklist'!$D$2:$D$2000=$A15)*(TEXT('Daily Checklist'!$B$2:$B$2000,"yyyy-mm-dd")=TEXT(($B$4+4),"yyyy-mm-dd"))*('Daily Checklist'!$F$2:$F$2000="Done"))&amp;"/"&amp;SUMPRODUCT(('Daily Checklist'!$D$2:$D$2000=$A15)*(TEXT('Daily Checklist'!$B$2:$B$2000,"yyyy-mm-dd")=TEXT(($B$4+4),"yyyy-mm-dd")))&amp;" ESC",SUMPRODUCT(('Daily Checklist'!$D$2:$D$2000=$A15)*(TEXT('Daily Checklist'!$B$2:$B$2000,"yyyy-mm-dd")=TEXT(($B$4+4),"yyyy-mm-dd"))*('Daily Checklist'!$F$2:$F$2000="Done"))&amp;"/"&amp;SUMPRODUCT(('Daily Checklist'!$D$2:$D$2000=$A15)*(TEXT('Daily Checklist'!$B$2:$B$2000,"yyyy-mm-dd")=TEXT(($B$4+4),"yyyy-mm-dd"))))))</f>
        <v>-</v>
      </c>
      <c r="G15" s="25" t="str">
        <f aca="false">IF($A15="","",IF(SUMPRODUCT(('Daily Checklist'!$D$2:$D$2000=$A15)*(TEXT('Daily Checklist'!$B$2:$B$2000,"yyyy-mm-dd")=TEXT(($B$4+5),"yyyy-mm-dd")))=0,"-",IF(SUMPRODUCT(('Daily Checklist'!$D$2:$D$2000=$A15)*(TEXT('Daily Checklist'!$B$2:$B$2000,"yyyy-mm-dd")=TEXT(($B$4+5),"yyyy-mm-dd"))*('Daily Checklist'!$L$2:$L$2000="Y"))&gt;0,SUMPRODUCT(('Daily Checklist'!$D$2:$D$2000=$A15)*(TEXT('Daily Checklist'!$B$2:$B$2000,"yyyy-mm-dd")=TEXT(($B$4+5),"yyyy-mm-dd"))*('Daily Checklist'!$F$2:$F$2000="Done"))&amp;"/"&amp;SUMPRODUCT(('Daily Checklist'!$D$2:$D$2000=$A15)*(TEXT('Daily Checklist'!$B$2:$B$2000,"yyyy-mm-dd")=TEXT(($B$4+5),"yyyy-mm-dd")))&amp;" ESC",SUMPRODUCT(('Daily Checklist'!$D$2:$D$2000=$A15)*(TEXT('Daily Checklist'!$B$2:$B$2000,"yyyy-mm-dd")=TEXT(($B$4+5),"yyyy-mm-dd"))*('Daily Checklist'!$F$2:$F$2000="Done"))&amp;"/"&amp;SUMPRODUCT(('Daily Checklist'!$D$2:$D$2000=$A15)*(TEXT('Daily Checklist'!$B$2:$B$2000,"yyyy-mm-dd")=TEXT(($B$4+5),"yyyy-mm-dd"))))))</f>
        <v>-</v>
      </c>
      <c r="H15" s="25" t="str">
        <f aca="false">IF($A15="","",IF(SUMPRODUCT(('Daily Checklist'!$D$2:$D$2000=$A15)*(TEXT('Daily Checklist'!$B$2:$B$2000,"yyyy-mm-dd")=TEXT(($B$4+6),"yyyy-mm-dd")))=0,"-",IF(SUMPRODUCT(('Daily Checklist'!$D$2:$D$2000=$A15)*(TEXT('Daily Checklist'!$B$2:$B$2000,"yyyy-mm-dd")=TEXT(($B$4+6),"yyyy-mm-dd"))*('Daily Checklist'!$L$2:$L$2000="Y"))&gt;0,SUMPRODUCT(('Daily Checklist'!$D$2:$D$2000=$A15)*(TEXT('Daily Checklist'!$B$2:$B$2000,"yyyy-mm-dd")=TEXT(($B$4+6),"yyyy-mm-dd"))*('Daily Checklist'!$F$2:$F$2000="Done"))&amp;"/"&amp;SUMPRODUCT(('Daily Checklist'!$D$2:$D$2000=$A15)*(TEXT('Daily Checklist'!$B$2:$B$2000,"yyyy-mm-dd")=TEXT(($B$4+6),"yyyy-mm-dd")))&amp;" ESC",SUMPRODUCT(('Daily Checklist'!$D$2:$D$2000=$A15)*(TEXT('Daily Checklist'!$B$2:$B$2000,"yyyy-mm-dd")=TEXT(($B$4+6),"yyyy-mm-dd"))*('Daily Checklist'!$F$2:$F$2000="Done"))&amp;"/"&amp;SUMPRODUCT(('Daily Checklist'!$D$2:$D$2000=$A15)*(TEXT('Daily Checklist'!$B$2:$B$2000,"yyyy-mm-dd")=TEXT(($B$4+6),"yyyy-mm-dd"))))))</f>
        <v>-</v>
      </c>
      <c r="I15" s="25" t="str">
        <f aca="false">IF($A15="","",IF(SUMPRODUCT(('Daily Checklist'!$D$2:$D$2000=$A15)*(TEXT('Daily Checklist'!$B$2:$B$2000,"yyyy-mm-dd")=TEXT(($B$4+7),"yyyy-mm-dd")))=0,"-",IF(SUMPRODUCT(('Daily Checklist'!$D$2:$D$2000=$A15)*(TEXT('Daily Checklist'!$B$2:$B$2000,"yyyy-mm-dd")=TEXT(($B$4+7),"yyyy-mm-dd"))*('Daily Checklist'!$L$2:$L$2000="Y"))&gt;0,SUMPRODUCT(('Daily Checklist'!$D$2:$D$2000=$A15)*(TEXT('Daily Checklist'!$B$2:$B$2000,"yyyy-mm-dd")=TEXT(($B$4+7),"yyyy-mm-dd"))*('Daily Checklist'!$F$2:$F$2000="Done"))&amp;"/"&amp;SUMPRODUCT(('Daily Checklist'!$D$2:$D$2000=$A15)*(TEXT('Daily Checklist'!$B$2:$B$2000,"yyyy-mm-dd")=TEXT(($B$4+7),"yyyy-mm-dd")))&amp;" ESC",SUMPRODUCT(('Daily Checklist'!$D$2:$D$2000=$A15)*(TEXT('Daily Checklist'!$B$2:$B$2000,"yyyy-mm-dd")=TEXT(($B$4+7),"yyyy-mm-dd"))*('Daily Checklist'!$F$2:$F$2000="Done"))&amp;"/"&amp;SUMPRODUCT(('Daily Checklist'!$D$2:$D$2000=$A15)*(TEXT('Daily Checklist'!$B$2:$B$2000,"yyyy-mm-dd")=TEXT(($B$4+7),"yyyy-mm-dd"))))))</f>
        <v>-</v>
      </c>
      <c r="J15" s="25" t="str">
        <f aca="false">IF($A15="","",IF(SUMPRODUCT(('Daily Checklist'!$D$2:$D$2000=$A15)*(TEXT('Daily Checklist'!$B$2:$B$2000,"yyyy-mm-dd")=TEXT(($B$4+8),"yyyy-mm-dd")))=0,"-",IF(SUMPRODUCT(('Daily Checklist'!$D$2:$D$2000=$A15)*(TEXT('Daily Checklist'!$B$2:$B$2000,"yyyy-mm-dd")=TEXT(($B$4+8),"yyyy-mm-dd"))*('Daily Checklist'!$L$2:$L$2000="Y"))&gt;0,SUMPRODUCT(('Daily Checklist'!$D$2:$D$2000=$A15)*(TEXT('Daily Checklist'!$B$2:$B$2000,"yyyy-mm-dd")=TEXT(($B$4+8),"yyyy-mm-dd"))*('Daily Checklist'!$F$2:$F$2000="Done"))&amp;"/"&amp;SUMPRODUCT(('Daily Checklist'!$D$2:$D$2000=$A15)*(TEXT('Daily Checklist'!$B$2:$B$2000,"yyyy-mm-dd")=TEXT(($B$4+8),"yyyy-mm-dd")))&amp;" ESC",SUMPRODUCT(('Daily Checklist'!$D$2:$D$2000=$A15)*(TEXT('Daily Checklist'!$B$2:$B$2000,"yyyy-mm-dd")=TEXT(($B$4+8),"yyyy-mm-dd"))*('Daily Checklist'!$F$2:$F$2000="Done"))&amp;"/"&amp;SUMPRODUCT(('Daily Checklist'!$D$2:$D$2000=$A15)*(TEXT('Daily Checklist'!$B$2:$B$2000,"yyyy-mm-dd")=TEXT(($B$4+8),"yyyy-mm-dd"))))))</f>
        <v>-</v>
      </c>
      <c r="K15" s="25" t="str">
        <f aca="false">IF($A15="","",IF(SUMPRODUCT(('Daily Checklist'!$D$2:$D$2000=$A15)*(TEXT('Daily Checklist'!$B$2:$B$2000,"yyyy-mm-dd")=TEXT(($B$4+9),"yyyy-mm-dd")))=0,"-",IF(SUMPRODUCT(('Daily Checklist'!$D$2:$D$2000=$A15)*(TEXT('Daily Checklist'!$B$2:$B$2000,"yyyy-mm-dd")=TEXT(($B$4+9),"yyyy-mm-dd"))*('Daily Checklist'!$L$2:$L$2000="Y"))&gt;0,SUMPRODUCT(('Daily Checklist'!$D$2:$D$2000=$A15)*(TEXT('Daily Checklist'!$B$2:$B$2000,"yyyy-mm-dd")=TEXT(($B$4+9),"yyyy-mm-dd"))*('Daily Checklist'!$F$2:$F$2000="Done"))&amp;"/"&amp;SUMPRODUCT(('Daily Checklist'!$D$2:$D$2000=$A15)*(TEXT('Daily Checklist'!$B$2:$B$2000,"yyyy-mm-dd")=TEXT(($B$4+9),"yyyy-mm-dd")))&amp;" ESC",SUMPRODUCT(('Daily Checklist'!$D$2:$D$2000=$A15)*(TEXT('Daily Checklist'!$B$2:$B$2000,"yyyy-mm-dd")=TEXT(($B$4+9),"yyyy-mm-dd"))*('Daily Checklist'!$F$2:$F$2000="Done"))&amp;"/"&amp;SUMPRODUCT(('Daily Checklist'!$D$2:$D$2000=$A15)*(TEXT('Daily Checklist'!$B$2:$B$2000,"yyyy-mm-dd")=TEXT(($B$4+9),"yyyy-mm-dd"))))))</f>
        <v>-</v>
      </c>
      <c r="L15" s="25" t="str">
        <f aca="false">IF($A15="","",IF(SUMPRODUCT(('Daily Checklist'!$D$2:$D$2000=$A15)*(TEXT('Daily Checklist'!$B$2:$B$2000,"yyyy-mm-dd")=TEXT(($B$4+10),"yyyy-mm-dd")))=0,"-",IF(SUMPRODUCT(('Daily Checklist'!$D$2:$D$2000=$A15)*(TEXT('Daily Checklist'!$B$2:$B$2000,"yyyy-mm-dd")=TEXT(($B$4+10),"yyyy-mm-dd"))*('Daily Checklist'!$L$2:$L$2000="Y"))&gt;0,SUMPRODUCT(('Daily Checklist'!$D$2:$D$2000=$A15)*(TEXT('Daily Checklist'!$B$2:$B$2000,"yyyy-mm-dd")=TEXT(($B$4+10),"yyyy-mm-dd"))*('Daily Checklist'!$F$2:$F$2000="Done"))&amp;"/"&amp;SUMPRODUCT(('Daily Checklist'!$D$2:$D$2000=$A15)*(TEXT('Daily Checklist'!$B$2:$B$2000,"yyyy-mm-dd")=TEXT(($B$4+10),"yyyy-mm-dd")))&amp;" ESC",SUMPRODUCT(('Daily Checklist'!$D$2:$D$2000=$A15)*(TEXT('Daily Checklist'!$B$2:$B$2000,"yyyy-mm-dd")=TEXT(($B$4+10),"yyyy-mm-dd"))*('Daily Checklist'!$F$2:$F$2000="Done"))&amp;"/"&amp;SUMPRODUCT(('Daily Checklist'!$D$2:$D$2000=$A15)*(TEXT('Daily Checklist'!$B$2:$B$2000,"yyyy-mm-dd")=TEXT(($B$4+10),"yyyy-mm-dd"))))))</f>
        <v>-</v>
      </c>
      <c r="M15" s="25" t="str">
        <f aca="false">IF($A15="","",IF(SUMPRODUCT(('Daily Checklist'!$D$2:$D$2000=$A15)*(TEXT('Daily Checklist'!$B$2:$B$2000,"yyyy-mm-dd")=TEXT(($B$4+11),"yyyy-mm-dd")))=0,"-",IF(SUMPRODUCT(('Daily Checklist'!$D$2:$D$2000=$A15)*(TEXT('Daily Checklist'!$B$2:$B$2000,"yyyy-mm-dd")=TEXT(($B$4+11),"yyyy-mm-dd"))*('Daily Checklist'!$L$2:$L$2000="Y"))&gt;0,SUMPRODUCT(('Daily Checklist'!$D$2:$D$2000=$A15)*(TEXT('Daily Checklist'!$B$2:$B$2000,"yyyy-mm-dd")=TEXT(($B$4+11),"yyyy-mm-dd"))*('Daily Checklist'!$F$2:$F$2000="Done"))&amp;"/"&amp;SUMPRODUCT(('Daily Checklist'!$D$2:$D$2000=$A15)*(TEXT('Daily Checklist'!$B$2:$B$2000,"yyyy-mm-dd")=TEXT(($B$4+11),"yyyy-mm-dd")))&amp;" ESC",SUMPRODUCT(('Daily Checklist'!$D$2:$D$2000=$A15)*(TEXT('Daily Checklist'!$B$2:$B$2000,"yyyy-mm-dd")=TEXT(($B$4+11),"yyyy-mm-dd"))*('Daily Checklist'!$F$2:$F$2000="Done"))&amp;"/"&amp;SUMPRODUCT(('Daily Checklist'!$D$2:$D$2000=$A15)*(TEXT('Daily Checklist'!$B$2:$B$2000,"yyyy-mm-dd")=TEXT(($B$4+11),"yyyy-mm-dd"))))))</f>
        <v>-</v>
      </c>
      <c r="N15" s="25" t="str">
        <f aca="false">IF($A15="","",IF(SUMPRODUCT(('Daily Checklist'!$D$2:$D$2000=$A15)*(TEXT('Daily Checklist'!$B$2:$B$2000,"yyyy-mm-dd")=TEXT(($B$4+12),"yyyy-mm-dd")))=0,"-",IF(SUMPRODUCT(('Daily Checklist'!$D$2:$D$2000=$A15)*(TEXT('Daily Checklist'!$B$2:$B$2000,"yyyy-mm-dd")=TEXT(($B$4+12),"yyyy-mm-dd"))*('Daily Checklist'!$L$2:$L$2000="Y"))&gt;0,SUMPRODUCT(('Daily Checklist'!$D$2:$D$2000=$A15)*(TEXT('Daily Checklist'!$B$2:$B$2000,"yyyy-mm-dd")=TEXT(($B$4+12),"yyyy-mm-dd"))*('Daily Checklist'!$F$2:$F$2000="Done"))&amp;"/"&amp;SUMPRODUCT(('Daily Checklist'!$D$2:$D$2000=$A15)*(TEXT('Daily Checklist'!$B$2:$B$2000,"yyyy-mm-dd")=TEXT(($B$4+12),"yyyy-mm-dd")))&amp;" ESC",SUMPRODUCT(('Daily Checklist'!$D$2:$D$2000=$A15)*(TEXT('Daily Checklist'!$B$2:$B$2000,"yyyy-mm-dd")=TEXT(($B$4+12),"yyyy-mm-dd"))*('Daily Checklist'!$F$2:$F$2000="Done"))&amp;"/"&amp;SUMPRODUCT(('Daily Checklist'!$D$2:$D$2000=$A15)*(TEXT('Daily Checklist'!$B$2:$B$2000,"yyyy-mm-dd")=TEXT(($B$4+12),"yyyy-mm-dd"))))))</f>
        <v>-</v>
      </c>
      <c r="O15" s="25" t="str">
        <f aca="false">IF($A15="","",IF(SUMPRODUCT(('Daily Checklist'!$D$2:$D$2000=$A15)*(TEXT('Daily Checklist'!$B$2:$B$2000,"yyyy-mm-dd")=TEXT(($B$4+13),"yyyy-mm-dd")))=0,"-",IF(SUMPRODUCT(('Daily Checklist'!$D$2:$D$2000=$A15)*(TEXT('Daily Checklist'!$B$2:$B$2000,"yyyy-mm-dd")=TEXT(($B$4+13),"yyyy-mm-dd"))*('Daily Checklist'!$L$2:$L$2000="Y"))&gt;0,SUMPRODUCT(('Daily Checklist'!$D$2:$D$2000=$A15)*(TEXT('Daily Checklist'!$B$2:$B$2000,"yyyy-mm-dd")=TEXT(($B$4+13),"yyyy-mm-dd"))*('Daily Checklist'!$F$2:$F$2000="Done"))&amp;"/"&amp;SUMPRODUCT(('Daily Checklist'!$D$2:$D$2000=$A15)*(TEXT('Daily Checklist'!$B$2:$B$2000,"yyyy-mm-dd")=TEXT(($B$4+13),"yyyy-mm-dd")))&amp;" ESC",SUMPRODUCT(('Daily Checklist'!$D$2:$D$2000=$A15)*(TEXT('Daily Checklist'!$B$2:$B$2000,"yyyy-mm-dd")=TEXT(($B$4+13),"yyyy-mm-dd"))*('Daily Checklist'!$F$2:$F$2000="Done"))&amp;"/"&amp;SUMPRODUCT(('Daily Checklist'!$D$2:$D$2000=$A15)*(TEXT('Daily Checklist'!$B$2:$B$2000,"yyyy-mm-dd")=TEXT(($B$4+13),"yyyy-mm-dd"))))))</f>
        <v>-</v>
      </c>
      <c r="P15" s="25" t="str">
        <f aca="false">IF($A15="","",IF(SUMPRODUCT(('Daily Checklist'!$D$2:$D$2000=$A15)*(TEXT('Daily Checklist'!$B$2:$B$2000,"yyyy-mm-dd")=TEXT(($B$4+14),"yyyy-mm-dd")))=0,"-",IF(SUMPRODUCT(('Daily Checklist'!$D$2:$D$2000=$A15)*(TEXT('Daily Checklist'!$B$2:$B$2000,"yyyy-mm-dd")=TEXT(($B$4+14),"yyyy-mm-dd"))*('Daily Checklist'!$L$2:$L$2000="Y"))&gt;0,SUMPRODUCT(('Daily Checklist'!$D$2:$D$2000=$A15)*(TEXT('Daily Checklist'!$B$2:$B$2000,"yyyy-mm-dd")=TEXT(($B$4+14),"yyyy-mm-dd"))*('Daily Checklist'!$F$2:$F$2000="Done"))&amp;"/"&amp;SUMPRODUCT(('Daily Checklist'!$D$2:$D$2000=$A15)*(TEXT('Daily Checklist'!$B$2:$B$2000,"yyyy-mm-dd")=TEXT(($B$4+14),"yyyy-mm-dd")))&amp;" ESC",SUMPRODUCT(('Daily Checklist'!$D$2:$D$2000=$A15)*(TEXT('Daily Checklist'!$B$2:$B$2000,"yyyy-mm-dd")=TEXT(($B$4+14),"yyyy-mm-dd"))*('Daily Checklist'!$F$2:$F$2000="Done"))&amp;"/"&amp;SUMPRODUCT(('Daily Checklist'!$D$2:$D$2000=$A15)*(TEXT('Daily Checklist'!$B$2:$B$2000,"yyyy-mm-dd")=TEXT(($B$4+14),"yyyy-mm-dd"))))))</f>
        <v>-</v>
      </c>
      <c r="Q15" s="25" t="str">
        <f aca="false">IF($A15="","",IF(SUMPRODUCT(('Daily Checklist'!$D$2:$D$2000=$A15)*(TEXT('Daily Checklist'!$B$2:$B$2000,"yyyy-mm-dd")=TEXT(($B$4+15),"yyyy-mm-dd")))=0,"-",IF(SUMPRODUCT(('Daily Checklist'!$D$2:$D$2000=$A15)*(TEXT('Daily Checklist'!$B$2:$B$2000,"yyyy-mm-dd")=TEXT(($B$4+15),"yyyy-mm-dd"))*('Daily Checklist'!$L$2:$L$2000="Y"))&gt;0,SUMPRODUCT(('Daily Checklist'!$D$2:$D$2000=$A15)*(TEXT('Daily Checklist'!$B$2:$B$2000,"yyyy-mm-dd")=TEXT(($B$4+15),"yyyy-mm-dd"))*('Daily Checklist'!$F$2:$F$2000="Done"))&amp;"/"&amp;SUMPRODUCT(('Daily Checklist'!$D$2:$D$2000=$A15)*(TEXT('Daily Checklist'!$B$2:$B$2000,"yyyy-mm-dd")=TEXT(($B$4+15),"yyyy-mm-dd")))&amp;" ESC",SUMPRODUCT(('Daily Checklist'!$D$2:$D$2000=$A15)*(TEXT('Daily Checklist'!$B$2:$B$2000,"yyyy-mm-dd")=TEXT(($B$4+15),"yyyy-mm-dd"))*('Daily Checklist'!$F$2:$F$2000="Done"))&amp;"/"&amp;SUMPRODUCT(('Daily Checklist'!$D$2:$D$2000=$A15)*(TEXT('Daily Checklist'!$B$2:$B$2000,"yyyy-mm-dd")=TEXT(($B$4+15),"yyyy-mm-dd"))))))</f>
        <v>-</v>
      </c>
      <c r="R15" s="25" t="str">
        <f aca="false">IF($A15="","",IF(SUMPRODUCT(('Daily Checklist'!$D$2:$D$2000=$A15)*(TEXT('Daily Checklist'!$B$2:$B$2000,"yyyy-mm-dd")=TEXT(($B$4+16),"yyyy-mm-dd")))=0,"-",IF(SUMPRODUCT(('Daily Checklist'!$D$2:$D$2000=$A15)*(TEXT('Daily Checklist'!$B$2:$B$2000,"yyyy-mm-dd")=TEXT(($B$4+16),"yyyy-mm-dd"))*('Daily Checklist'!$L$2:$L$2000="Y"))&gt;0,SUMPRODUCT(('Daily Checklist'!$D$2:$D$2000=$A15)*(TEXT('Daily Checklist'!$B$2:$B$2000,"yyyy-mm-dd")=TEXT(($B$4+16),"yyyy-mm-dd"))*('Daily Checklist'!$F$2:$F$2000="Done"))&amp;"/"&amp;SUMPRODUCT(('Daily Checklist'!$D$2:$D$2000=$A15)*(TEXT('Daily Checklist'!$B$2:$B$2000,"yyyy-mm-dd")=TEXT(($B$4+16),"yyyy-mm-dd")))&amp;" ESC",SUMPRODUCT(('Daily Checklist'!$D$2:$D$2000=$A15)*(TEXT('Daily Checklist'!$B$2:$B$2000,"yyyy-mm-dd")=TEXT(($B$4+16),"yyyy-mm-dd"))*('Daily Checklist'!$F$2:$F$2000="Done"))&amp;"/"&amp;SUMPRODUCT(('Daily Checklist'!$D$2:$D$2000=$A15)*(TEXT('Daily Checklist'!$B$2:$B$2000,"yyyy-mm-dd")=TEXT(($B$4+16),"yyyy-mm-dd"))))))</f>
        <v>-</v>
      </c>
      <c r="S15" s="25" t="str">
        <f aca="false">IF($A15="","",IF(SUMPRODUCT(('Daily Checklist'!$D$2:$D$2000=$A15)*(TEXT('Daily Checklist'!$B$2:$B$2000,"yyyy-mm-dd")=TEXT(($B$4+17),"yyyy-mm-dd")))=0,"-",IF(SUMPRODUCT(('Daily Checklist'!$D$2:$D$2000=$A15)*(TEXT('Daily Checklist'!$B$2:$B$2000,"yyyy-mm-dd")=TEXT(($B$4+17),"yyyy-mm-dd"))*('Daily Checklist'!$L$2:$L$2000="Y"))&gt;0,SUMPRODUCT(('Daily Checklist'!$D$2:$D$2000=$A15)*(TEXT('Daily Checklist'!$B$2:$B$2000,"yyyy-mm-dd")=TEXT(($B$4+17),"yyyy-mm-dd"))*('Daily Checklist'!$F$2:$F$2000="Done"))&amp;"/"&amp;SUMPRODUCT(('Daily Checklist'!$D$2:$D$2000=$A15)*(TEXT('Daily Checklist'!$B$2:$B$2000,"yyyy-mm-dd")=TEXT(($B$4+17),"yyyy-mm-dd")))&amp;" ESC",SUMPRODUCT(('Daily Checklist'!$D$2:$D$2000=$A15)*(TEXT('Daily Checklist'!$B$2:$B$2000,"yyyy-mm-dd")=TEXT(($B$4+17),"yyyy-mm-dd"))*('Daily Checklist'!$F$2:$F$2000="Done"))&amp;"/"&amp;SUMPRODUCT(('Daily Checklist'!$D$2:$D$2000=$A15)*(TEXT('Daily Checklist'!$B$2:$B$2000,"yyyy-mm-dd")=TEXT(($B$4+17),"yyyy-mm-dd"))))))</f>
        <v>-</v>
      </c>
      <c r="T15" s="25" t="str">
        <f aca="false">IF($A15="","",IF(SUMPRODUCT(('Daily Checklist'!$D$2:$D$2000=$A15)*(TEXT('Daily Checklist'!$B$2:$B$2000,"yyyy-mm-dd")=TEXT(($B$4+18),"yyyy-mm-dd")))=0,"-",IF(SUMPRODUCT(('Daily Checklist'!$D$2:$D$2000=$A15)*(TEXT('Daily Checklist'!$B$2:$B$2000,"yyyy-mm-dd")=TEXT(($B$4+18),"yyyy-mm-dd"))*('Daily Checklist'!$L$2:$L$2000="Y"))&gt;0,SUMPRODUCT(('Daily Checklist'!$D$2:$D$2000=$A15)*(TEXT('Daily Checklist'!$B$2:$B$2000,"yyyy-mm-dd")=TEXT(($B$4+18),"yyyy-mm-dd"))*('Daily Checklist'!$F$2:$F$2000="Done"))&amp;"/"&amp;SUMPRODUCT(('Daily Checklist'!$D$2:$D$2000=$A15)*(TEXT('Daily Checklist'!$B$2:$B$2000,"yyyy-mm-dd")=TEXT(($B$4+18),"yyyy-mm-dd")))&amp;" ESC",SUMPRODUCT(('Daily Checklist'!$D$2:$D$2000=$A15)*(TEXT('Daily Checklist'!$B$2:$B$2000,"yyyy-mm-dd")=TEXT(($B$4+18),"yyyy-mm-dd"))*('Daily Checklist'!$F$2:$F$2000="Done"))&amp;"/"&amp;SUMPRODUCT(('Daily Checklist'!$D$2:$D$2000=$A15)*(TEXT('Daily Checklist'!$B$2:$B$2000,"yyyy-mm-dd")=TEXT(($B$4+18),"yyyy-mm-dd"))))))</f>
        <v>-</v>
      </c>
      <c r="U15" s="25" t="str">
        <f aca="false">IF($A15="","",IF(SUMPRODUCT(('Daily Checklist'!$D$2:$D$2000=$A15)*(TEXT('Daily Checklist'!$B$2:$B$2000,"yyyy-mm-dd")=TEXT(($B$4+19),"yyyy-mm-dd")))=0,"-",IF(SUMPRODUCT(('Daily Checklist'!$D$2:$D$2000=$A15)*(TEXT('Daily Checklist'!$B$2:$B$2000,"yyyy-mm-dd")=TEXT(($B$4+19),"yyyy-mm-dd"))*('Daily Checklist'!$L$2:$L$2000="Y"))&gt;0,SUMPRODUCT(('Daily Checklist'!$D$2:$D$2000=$A15)*(TEXT('Daily Checklist'!$B$2:$B$2000,"yyyy-mm-dd")=TEXT(($B$4+19),"yyyy-mm-dd"))*('Daily Checklist'!$F$2:$F$2000="Done"))&amp;"/"&amp;SUMPRODUCT(('Daily Checklist'!$D$2:$D$2000=$A15)*(TEXT('Daily Checklist'!$B$2:$B$2000,"yyyy-mm-dd")=TEXT(($B$4+19),"yyyy-mm-dd")))&amp;" ESC",SUMPRODUCT(('Daily Checklist'!$D$2:$D$2000=$A15)*(TEXT('Daily Checklist'!$B$2:$B$2000,"yyyy-mm-dd")=TEXT(($B$4+19),"yyyy-mm-dd"))*('Daily Checklist'!$F$2:$F$2000="Done"))&amp;"/"&amp;SUMPRODUCT(('Daily Checklist'!$D$2:$D$2000=$A15)*(TEXT('Daily Checklist'!$B$2:$B$2000,"yyyy-mm-dd")=TEXT(($B$4+19),"yyyy-mm-dd"))))))</f>
        <v>-</v>
      </c>
      <c r="V15" s="25" t="str">
        <f aca="false">IF($A15="","",IF(SUMPRODUCT(('Daily Checklist'!$D$2:$D$2000=$A15)*(TEXT('Daily Checklist'!$B$2:$B$2000,"yyyy-mm-dd")=TEXT(($B$4+20),"yyyy-mm-dd")))=0,"-",IF(SUMPRODUCT(('Daily Checklist'!$D$2:$D$2000=$A15)*(TEXT('Daily Checklist'!$B$2:$B$2000,"yyyy-mm-dd")=TEXT(($B$4+20),"yyyy-mm-dd"))*('Daily Checklist'!$L$2:$L$2000="Y"))&gt;0,SUMPRODUCT(('Daily Checklist'!$D$2:$D$2000=$A15)*(TEXT('Daily Checklist'!$B$2:$B$2000,"yyyy-mm-dd")=TEXT(($B$4+20),"yyyy-mm-dd"))*('Daily Checklist'!$F$2:$F$2000="Done"))&amp;"/"&amp;SUMPRODUCT(('Daily Checklist'!$D$2:$D$2000=$A15)*(TEXT('Daily Checklist'!$B$2:$B$2000,"yyyy-mm-dd")=TEXT(($B$4+20),"yyyy-mm-dd")))&amp;" ESC",SUMPRODUCT(('Daily Checklist'!$D$2:$D$2000=$A15)*(TEXT('Daily Checklist'!$B$2:$B$2000,"yyyy-mm-dd")=TEXT(($B$4+20),"yyyy-mm-dd"))*('Daily Checklist'!$F$2:$F$2000="Done"))&amp;"/"&amp;SUMPRODUCT(('Daily Checklist'!$D$2:$D$2000=$A15)*(TEXT('Daily Checklist'!$B$2:$B$2000,"yyyy-mm-dd")=TEXT(($B$4+20),"yyyy-mm-dd"))))))</f>
        <v>-</v>
      </c>
      <c r="W15" s="25" t="str">
        <f aca="false">IF($A15="","",IF(SUMPRODUCT(('Daily Checklist'!$D$2:$D$2000=$A15)*(TEXT('Daily Checklist'!$B$2:$B$2000,"yyyy-mm-dd")=TEXT(($B$4+21),"yyyy-mm-dd")))=0,"-",IF(SUMPRODUCT(('Daily Checklist'!$D$2:$D$2000=$A15)*(TEXT('Daily Checklist'!$B$2:$B$2000,"yyyy-mm-dd")=TEXT(($B$4+21),"yyyy-mm-dd"))*('Daily Checklist'!$L$2:$L$2000="Y"))&gt;0,SUMPRODUCT(('Daily Checklist'!$D$2:$D$2000=$A15)*(TEXT('Daily Checklist'!$B$2:$B$2000,"yyyy-mm-dd")=TEXT(($B$4+21),"yyyy-mm-dd"))*('Daily Checklist'!$F$2:$F$2000="Done"))&amp;"/"&amp;SUMPRODUCT(('Daily Checklist'!$D$2:$D$2000=$A15)*(TEXT('Daily Checklist'!$B$2:$B$2000,"yyyy-mm-dd")=TEXT(($B$4+21),"yyyy-mm-dd")))&amp;" ESC",SUMPRODUCT(('Daily Checklist'!$D$2:$D$2000=$A15)*(TEXT('Daily Checklist'!$B$2:$B$2000,"yyyy-mm-dd")=TEXT(($B$4+21),"yyyy-mm-dd"))*('Daily Checklist'!$F$2:$F$2000="Done"))&amp;"/"&amp;SUMPRODUCT(('Daily Checklist'!$D$2:$D$2000=$A15)*(TEXT('Daily Checklist'!$B$2:$B$2000,"yyyy-mm-dd")=TEXT(($B$4+21),"yyyy-mm-dd"))))))</f>
        <v>-</v>
      </c>
      <c r="X15" s="25" t="str">
        <f aca="false">IF($A15="","",IF(SUMPRODUCT(('Daily Checklist'!$D$2:$D$2000=$A15)*(TEXT('Daily Checklist'!$B$2:$B$2000,"yyyy-mm-dd")=TEXT(($B$4+22),"yyyy-mm-dd")))=0,"-",IF(SUMPRODUCT(('Daily Checklist'!$D$2:$D$2000=$A15)*(TEXT('Daily Checklist'!$B$2:$B$2000,"yyyy-mm-dd")=TEXT(($B$4+22),"yyyy-mm-dd"))*('Daily Checklist'!$L$2:$L$2000="Y"))&gt;0,SUMPRODUCT(('Daily Checklist'!$D$2:$D$2000=$A15)*(TEXT('Daily Checklist'!$B$2:$B$2000,"yyyy-mm-dd")=TEXT(($B$4+22),"yyyy-mm-dd"))*('Daily Checklist'!$F$2:$F$2000="Done"))&amp;"/"&amp;SUMPRODUCT(('Daily Checklist'!$D$2:$D$2000=$A15)*(TEXT('Daily Checklist'!$B$2:$B$2000,"yyyy-mm-dd")=TEXT(($B$4+22),"yyyy-mm-dd")))&amp;" ESC",SUMPRODUCT(('Daily Checklist'!$D$2:$D$2000=$A15)*(TEXT('Daily Checklist'!$B$2:$B$2000,"yyyy-mm-dd")=TEXT(($B$4+22),"yyyy-mm-dd"))*('Daily Checklist'!$F$2:$F$2000="Done"))&amp;"/"&amp;SUMPRODUCT(('Daily Checklist'!$D$2:$D$2000=$A15)*(TEXT('Daily Checklist'!$B$2:$B$2000,"yyyy-mm-dd")=TEXT(($B$4+22),"yyyy-mm-dd"))))))</f>
        <v>-</v>
      </c>
      <c r="Y15" s="25" t="str">
        <f aca="false">IF($A15="","",IF(SUMPRODUCT(('Daily Checklist'!$D$2:$D$2000=$A15)*(TEXT('Daily Checklist'!$B$2:$B$2000,"yyyy-mm-dd")=TEXT(($B$4+23),"yyyy-mm-dd")))=0,"-",IF(SUMPRODUCT(('Daily Checklist'!$D$2:$D$2000=$A15)*(TEXT('Daily Checklist'!$B$2:$B$2000,"yyyy-mm-dd")=TEXT(($B$4+23),"yyyy-mm-dd"))*('Daily Checklist'!$L$2:$L$2000="Y"))&gt;0,SUMPRODUCT(('Daily Checklist'!$D$2:$D$2000=$A15)*(TEXT('Daily Checklist'!$B$2:$B$2000,"yyyy-mm-dd")=TEXT(($B$4+23),"yyyy-mm-dd"))*('Daily Checklist'!$F$2:$F$2000="Done"))&amp;"/"&amp;SUMPRODUCT(('Daily Checklist'!$D$2:$D$2000=$A15)*(TEXT('Daily Checklist'!$B$2:$B$2000,"yyyy-mm-dd")=TEXT(($B$4+23),"yyyy-mm-dd")))&amp;" ESC",SUMPRODUCT(('Daily Checklist'!$D$2:$D$2000=$A15)*(TEXT('Daily Checklist'!$B$2:$B$2000,"yyyy-mm-dd")=TEXT(($B$4+23),"yyyy-mm-dd"))*('Daily Checklist'!$F$2:$F$2000="Done"))&amp;"/"&amp;SUMPRODUCT(('Daily Checklist'!$D$2:$D$2000=$A15)*(TEXT('Daily Checklist'!$B$2:$B$2000,"yyyy-mm-dd")=TEXT(($B$4+23),"yyyy-mm-dd"))))))</f>
        <v>-</v>
      </c>
      <c r="Z15" s="25" t="str">
        <f aca="false">IF($A15="","",IF(SUMPRODUCT(('Daily Checklist'!$D$2:$D$2000=$A15)*(TEXT('Daily Checklist'!$B$2:$B$2000,"yyyy-mm-dd")=TEXT(($B$4+24),"yyyy-mm-dd")))=0,"-",IF(SUMPRODUCT(('Daily Checklist'!$D$2:$D$2000=$A15)*(TEXT('Daily Checklist'!$B$2:$B$2000,"yyyy-mm-dd")=TEXT(($B$4+24),"yyyy-mm-dd"))*('Daily Checklist'!$L$2:$L$2000="Y"))&gt;0,SUMPRODUCT(('Daily Checklist'!$D$2:$D$2000=$A15)*(TEXT('Daily Checklist'!$B$2:$B$2000,"yyyy-mm-dd")=TEXT(($B$4+24),"yyyy-mm-dd"))*('Daily Checklist'!$F$2:$F$2000="Done"))&amp;"/"&amp;SUMPRODUCT(('Daily Checklist'!$D$2:$D$2000=$A15)*(TEXT('Daily Checklist'!$B$2:$B$2000,"yyyy-mm-dd")=TEXT(($B$4+24),"yyyy-mm-dd")))&amp;" ESC",SUMPRODUCT(('Daily Checklist'!$D$2:$D$2000=$A15)*(TEXT('Daily Checklist'!$B$2:$B$2000,"yyyy-mm-dd")=TEXT(($B$4+24),"yyyy-mm-dd"))*('Daily Checklist'!$F$2:$F$2000="Done"))&amp;"/"&amp;SUMPRODUCT(('Daily Checklist'!$D$2:$D$2000=$A15)*(TEXT('Daily Checklist'!$B$2:$B$2000,"yyyy-mm-dd")=TEXT(($B$4+24),"yyyy-mm-dd"))))))</f>
        <v>-</v>
      </c>
      <c r="AA15" s="25" t="str">
        <f aca="false">IF($A15="","",IF(SUMPRODUCT(('Daily Checklist'!$D$2:$D$2000=$A15)*(TEXT('Daily Checklist'!$B$2:$B$2000,"yyyy-mm-dd")=TEXT(($B$4+25),"yyyy-mm-dd")))=0,"-",IF(SUMPRODUCT(('Daily Checklist'!$D$2:$D$2000=$A15)*(TEXT('Daily Checklist'!$B$2:$B$2000,"yyyy-mm-dd")=TEXT(($B$4+25),"yyyy-mm-dd"))*('Daily Checklist'!$L$2:$L$2000="Y"))&gt;0,SUMPRODUCT(('Daily Checklist'!$D$2:$D$2000=$A15)*(TEXT('Daily Checklist'!$B$2:$B$2000,"yyyy-mm-dd")=TEXT(($B$4+25),"yyyy-mm-dd"))*('Daily Checklist'!$F$2:$F$2000="Done"))&amp;"/"&amp;SUMPRODUCT(('Daily Checklist'!$D$2:$D$2000=$A15)*(TEXT('Daily Checklist'!$B$2:$B$2000,"yyyy-mm-dd")=TEXT(($B$4+25),"yyyy-mm-dd")))&amp;" ESC",SUMPRODUCT(('Daily Checklist'!$D$2:$D$2000=$A15)*(TEXT('Daily Checklist'!$B$2:$B$2000,"yyyy-mm-dd")=TEXT(($B$4+25),"yyyy-mm-dd"))*('Daily Checklist'!$F$2:$F$2000="Done"))&amp;"/"&amp;SUMPRODUCT(('Daily Checklist'!$D$2:$D$2000=$A15)*(TEXT('Daily Checklist'!$B$2:$B$2000,"yyyy-mm-dd")=TEXT(($B$4+25),"yyyy-mm-dd"))))))</f>
        <v>-</v>
      </c>
      <c r="AB15" s="25" t="str">
        <f aca="false">IF($A15="","",IF(SUMPRODUCT(('Daily Checklist'!$D$2:$D$2000=$A15)*(TEXT('Daily Checklist'!$B$2:$B$2000,"yyyy-mm-dd")=TEXT(($B$4+26),"yyyy-mm-dd")))=0,"-",IF(SUMPRODUCT(('Daily Checklist'!$D$2:$D$2000=$A15)*(TEXT('Daily Checklist'!$B$2:$B$2000,"yyyy-mm-dd")=TEXT(($B$4+26),"yyyy-mm-dd"))*('Daily Checklist'!$L$2:$L$2000="Y"))&gt;0,SUMPRODUCT(('Daily Checklist'!$D$2:$D$2000=$A15)*(TEXT('Daily Checklist'!$B$2:$B$2000,"yyyy-mm-dd")=TEXT(($B$4+26),"yyyy-mm-dd"))*('Daily Checklist'!$F$2:$F$2000="Done"))&amp;"/"&amp;SUMPRODUCT(('Daily Checklist'!$D$2:$D$2000=$A15)*(TEXT('Daily Checklist'!$B$2:$B$2000,"yyyy-mm-dd")=TEXT(($B$4+26),"yyyy-mm-dd")))&amp;" ESC",SUMPRODUCT(('Daily Checklist'!$D$2:$D$2000=$A15)*(TEXT('Daily Checklist'!$B$2:$B$2000,"yyyy-mm-dd")=TEXT(($B$4+26),"yyyy-mm-dd"))*('Daily Checklist'!$F$2:$F$2000="Done"))&amp;"/"&amp;SUMPRODUCT(('Daily Checklist'!$D$2:$D$2000=$A15)*(TEXT('Daily Checklist'!$B$2:$B$2000,"yyyy-mm-dd")=TEXT(($B$4+26),"yyyy-mm-dd"))))))</f>
        <v>-</v>
      </c>
      <c r="AC15" s="25" t="str">
        <f aca="false">IF($A15="","",IF(SUMPRODUCT(('Daily Checklist'!$D$2:$D$2000=$A15)*(TEXT('Daily Checklist'!$B$2:$B$2000,"yyyy-mm-dd")=TEXT(($B$4+27),"yyyy-mm-dd")))=0,"-",IF(SUMPRODUCT(('Daily Checklist'!$D$2:$D$2000=$A15)*(TEXT('Daily Checklist'!$B$2:$B$2000,"yyyy-mm-dd")=TEXT(($B$4+27),"yyyy-mm-dd"))*('Daily Checklist'!$L$2:$L$2000="Y"))&gt;0,SUMPRODUCT(('Daily Checklist'!$D$2:$D$2000=$A15)*(TEXT('Daily Checklist'!$B$2:$B$2000,"yyyy-mm-dd")=TEXT(($B$4+27),"yyyy-mm-dd"))*('Daily Checklist'!$F$2:$F$2000="Done"))&amp;"/"&amp;SUMPRODUCT(('Daily Checklist'!$D$2:$D$2000=$A15)*(TEXT('Daily Checklist'!$B$2:$B$2000,"yyyy-mm-dd")=TEXT(($B$4+27),"yyyy-mm-dd")))&amp;" ESC",SUMPRODUCT(('Daily Checklist'!$D$2:$D$2000=$A15)*(TEXT('Daily Checklist'!$B$2:$B$2000,"yyyy-mm-dd")=TEXT(($B$4+27),"yyyy-mm-dd"))*('Daily Checklist'!$F$2:$F$2000="Done"))&amp;"/"&amp;SUMPRODUCT(('Daily Checklist'!$D$2:$D$2000=$A15)*(TEXT('Daily Checklist'!$B$2:$B$2000,"yyyy-mm-dd")=TEXT(($B$4+27),"yyyy-mm-dd"))))))</f>
        <v>-</v>
      </c>
      <c r="AD15" s="25" t="str">
        <f aca="false">IF($A15="","",IF(SUMPRODUCT(('Daily Checklist'!$D$2:$D$2000=$A15)*(TEXT('Daily Checklist'!$B$2:$B$2000,"yyyy-mm-dd")=TEXT(($B$4+28),"yyyy-mm-dd")))=0,"-",IF(SUMPRODUCT(('Daily Checklist'!$D$2:$D$2000=$A15)*(TEXT('Daily Checklist'!$B$2:$B$2000,"yyyy-mm-dd")=TEXT(($B$4+28),"yyyy-mm-dd"))*('Daily Checklist'!$L$2:$L$2000="Y"))&gt;0,SUMPRODUCT(('Daily Checklist'!$D$2:$D$2000=$A15)*(TEXT('Daily Checklist'!$B$2:$B$2000,"yyyy-mm-dd")=TEXT(($B$4+28),"yyyy-mm-dd"))*('Daily Checklist'!$F$2:$F$2000="Done"))&amp;"/"&amp;SUMPRODUCT(('Daily Checklist'!$D$2:$D$2000=$A15)*(TEXT('Daily Checklist'!$B$2:$B$2000,"yyyy-mm-dd")=TEXT(($B$4+28),"yyyy-mm-dd")))&amp;" ESC",SUMPRODUCT(('Daily Checklist'!$D$2:$D$2000=$A15)*(TEXT('Daily Checklist'!$B$2:$B$2000,"yyyy-mm-dd")=TEXT(($B$4+28),"yyyy-mm-dd"))*('Daily Checklist'!$F$2:$F$2000="Done"))&amp;"/"&amp;SUMPRODUCT(('Daily Checklist'!$D$2:$D$2000=$A15)*(TEXT('Daily Checklist'!$B$2:$B$2000,"yyyy-mm-dd")=TEXT(($B$4+28),"yyyy-mm-dd"))))))</f>
        <v>-</v>
      </c>
      <c r="AE15" s="25" t="str">
        <f aca="false">IF($A15="","",IF(SUMPRODUCT(('Daily Checklist'!$D$2:$D$2000=$A15)*(TEXT('Daily Checklist'!$B$2:$B$2000,"yyyy-mm-dd")=TEXT(($B$4+29),"yyyy-mm-dd")))=0,"-",IF(SUMPRODUCT(('Daily Checklist'!$D$2:$D$2000=$A15)*(TEXT('Daily Checklist'!$B$2:$B$2000,"yyyy-mm-dd")=TEXT(($B$4+29),"yyyy-mm-dd"))*('Daily Checklist'!$L$2:$L$2000="Y"))&gt;0,SUMPRODUCT(('Daily Checklist'!$D$2:$D$2000=$A15)*(TEXT('Daily Checklist'!$B$2:$B$2000,"yyyy-mm-dd")=TEXT(($B$4+29),"yyyy-mm-dd"))*('Daily Checklist'!$F$2:$F$2000="Done"))&amp;"/"&amp;SUMPRODUCT(('Daily Checklist'!$D$2:$D$2000=$A15)*(TEXT('Daily Checklist'!$B$2:$B$2000,"yyyy-mm-dd")=TEXT(($B$4+29),"yyyy-mm-dd")))&amp;" ESC",SUMPRODUCT(('Daily Checklist'!$D$2:$D$2000=$A15)*(TEXT('Daily Checklist'!$B$2:$B$2000,"yyyy-mm-dd")=TEXT(($B$4+29),"yyyy-mm-dd"))*('Daily Checklist'!$F$2:$F$2000="Done"))&amp;"/"&amp;SUMPRODUCT(('Daily Checklist'!$D$2:$D$2000=$A15)*(TEXT('Daily Checklist'!$B$2:$B$2000,"yyyy-mm-dd")=TEXT(($B$4+29),"yyyy-mm-dd"))))))</f>
        <v>-</v>
      </c>
      <c r="AF15" s="25" t="str">
        <f aca="false">IF($A15="","",IF(SUMPRODUCT(('Daily Checklist'!$D$2:$D$2000=$A15)*(TEXT('Daily Checklist'!$B$2:$B$2000,"yyyy-mm-dd")=TEXT(($B$4+30),"yyyy-mm-dd")))=0,"-",IF(SUMPRODUCT(('Daily Checklist'!$D$2:$D$2000=$A15)*(TEXT('Daily Checklist'!$B$2:$B$2000,"yyyy-mm-dd")=TEXT(($B$4+30),"yyyy-mm-dd"))*('Daily Checklist'!$L$2:$L$2000="Y"))&gt;0,SUMPRODUCT(('Daily Checklist'!$D$2:$D$2000=$A15)*(TEXT('Daily Checklist'!$B$2:$B$2000,"yyyy-mm-dd")=TEXT(($B$4+30),"yyyy-mm-dd"))*('Daily Checklist'!$F$2:$F$2000="Done"))&amp;"/"&amp;SUMPRODUCT(('Daily Checklist'!$D$2:$D$2000=$A15)*(TEXT('Daily Checklist'!$B$2:$B$2000,"yyyy-mm-dd")=TEXT(($B$4+30),"yyyy-mm-dd")))&amp;" ESC",SUMPRODUCT(('Daily Checklist'!$D$2:$D$2000=$A15)*(TEXT('Daily Checklist'!$B$2:$B$2000,"yyyy-mm-dd")=TEXT(($B$4+30),"yyyy-mm-dd"))*('Daily Checklist'!$F$2:$F$2000="Done"))&amp;"/"&amp;SUMPRODUCT(('Daily Checklist'!$D$2:$D$2000=$A15)*(TEXT('Daily Checklist'!$B$2:$B$2000,"yyyy-mm-dd")=TEXT(($B$4+30),"yyyy-mm-dd"))))))</f>
        <v>-</v>
      </c>
    </row>
    <row r="16" customFormat="false" ht="15" hidden="false" customHeight="true" outlineLevel="0" collapsed="false">
      <c r="A16" s="24" t="str">
        <f aca="false">IFERROR(IF(Employees!A11="","",Employees!A11),"")</f>
        <v>Chandan Kumar</v>
      </c>
      <c r="B16" s="25" t="str">
        <f aca="false">IF($A16="","",IF(SUMPRODUCT(('Daily Checklist'!$D$2:$D$2000=$A16)*(TEXT('Daily Checklist'!$B$2:$B$2000,"yyyy-mm-dd")=TEXT(($B$4+0),"yyyy-mm-dd")))=0,"-",IF(SUMPRODUCT(('Daily Checklist'!$D$2:$D$2000=$A16)*(TEXT('Daily Checklist'!$B$2:$B$2000,"yyyy-mm-dd")=TEXT(($B$4+0),"yyyy-mm-dd"))*('Daily Checklist'!$L$2:$L$2000="Y"))&gt;0,SUMPRODUCT(('Daily Checklist'!$D$2:$D$2000=$A16)*(TEXT('Daily Checklist'!$B$2:$B$2000,"yyyy-mm-dd")=TEXT(($B$4+0),"yyyy-mm-dd"))*('Daily Checklist'!$F$2:$F$2000="Done"))&amp;"/"&amp;SUMPRODUCT(('Daily Checklist'!$D$2:$D$2000=$A16)*(TEXT('Daily Checklist'!$B$2:$B$2000,"yyyy-mm-dd")=TEXT(($B$4+0),"yyyy-mm-dd")))&amp;" ESC",SUMPRODUCT(('Daily Checklist'!$D$2:$D$2000=$A16)*(TEXT('Daily Checklist'!$B$2:$B$2000,"yyyy-mm-dd")=TEXT(($B$4+0),"yyyy-mm-dd"))*('Daily Checklist'!$F$2:$F$2000="Done"))&amp;"/"&amp;SUMPRODUCT(('Daily Checklist'!$D$2:$D$2000=$A16)*(TEXT('Daily Checklist'!$B$2:$B$2000,"yyyy-mm-dd")=TEXT(($B$4+0),"yyyy-mm-dd"))))))</f>
        <v>-</v>
      </c>
      <c r="C16" s="25" t="str">
        <f aca="false">IF($A16="","",IF(SUMPRODUCT(('Daily Checklist'!$D$2:$D$2000=$A16)*(TEXT('Daily Checklist'!$B$2:$B$2000,"yyyy-mm-dd")=TEXT(($B$4+1),"yyyy-mm-dd")))=0,"-",IF(SUMPRODUCT(('Daily Checklist'!$D$2:$D$2000=$A16)*(TEXT('Daily Checklist'!$B$2:$B$2000,"yyyy-mm-dd")=TEXT(($B$4+1),"yyyy-mm-dd"))*('Daily Checklist'!$L$2:$L$2000="Y"))&gt;0,SUMPRODUCT(('Daily Checklist'!$D$2:$D$2000=$A16)*(TEXT('Daily Checklist'!$B$2:$B$2000,"yyyy-mm-dd")=TEXT(($B$4+1),"yyyy-mm-dd"))*('Daily Checklist'!$F$2:$F$2000="Done"))&amp;"/"&amp;SUMPRODUCT(('Daily Checklist'!$D$2:$D$2000=$A16)*(TEXT('Daily Checklist'!$B$2:$B$2000,"yyyy-mm-dd")=TEXT(($B$4+1),"yyyy-mm-dd")))&amp;" ESC",SUMPRODUCT(('Daily Checklist'!$D$2:$D$2000=$A16)*(TEXT('Daily Checklist'!$B$2:$B$2000,"yyyy-mm-dd")=TEXT(($B$4+1),"yyyy-mm-dd"))*('Daily Checklist'!$F$2:$F$2000="Done"))&amp;"/"&amp;SUMPRODUCT(('Daily Checklist'!$D$2:$D$2000=$A16)*(TEXT('Daily Checklist'!$B$2:$B$2000,"yyyy-mm-dd")=TEXT(($B$4+1),"yyyy-mm-dd"))))))</f>
        <v>-</v>
      </c>
      <c r="D16" s="25" t="str">
        <f aca="false">IF($A16="","",IF(SUMPRODUCT(('Daily Checklist'!$D$2:$D$2000=$A16)*(TEXT('Daily Checklist'!$B$2:$B$2000,"yyyy-mm-dd")=TEXT(($B$4+2),"yyyy-mm-dd")))=0,"-",IF(SUMPRODUCT(('Daily Checklist'!$D$2:$D$2000=$A16)*(TEXT('Daily Checklist'!$B$2:$B$2000,"yyyy-mm-dd")=TEXT(($B$4+2),"yyyy-mm-dd"))*('Daily Checklist'!$L$2:$L$2000="Y"))&gt;0,SUMPRODUCT(('Daily Checklist'!$D$2:$D$2000=$A16)*(TEXT('Daily Checklist'!$B$2:$B$2000,"yyyy-mm-dd")=TEXT(($B$4+2),"yyyy-mm-dd"))*('Daily Checklist'!$F$2:$F$2000="Done"))&amp;"/"&amp;SUMPRODUCT(('Daily Checklist'!$D$2:$D$2000=$A16)*(TEXT('Daily Checklist'!$B$2:$B$2000,"yyyy-mm-dd")=TEXT(($B$4+2),"yyyy-mm-dd")))&amp;" ESC",SUMPRODUCT(('Daily Checklist'!$D$2:$D$2000=$A16)*(TEXT('Daily Checklist'!$B$2:$B$2000,"yyyy-mm-dd")=TEXT(($B$4+2),"yyyy-mm-dd"))*('Daily Checklist'!$F$2:$F$2000="Done"))&amp;"/"&amp;SUMPRODUCT(('Daily Checklist'!$D$2:$D$2000=$A16)*(TEXT('Daily Checklist'!$B$2:$B$2000,"yyyy-mm-dd")=TEXT(($B$4+2),"yyyy-mm-dd"))))))</f>
        <v>-</v>
      </c>
      <c r="E16" s="25" t="str">
        <f aca="false">IF($A16="","",IF(SUMPRODUCT(('Daily Checklist'!$D$2:$D$2000=$A16)*(TEXT('Daily Checklist'!$B$2:$B$2000,"yyyy-mm-dd")=TEXT(($B$4+3),"yyyy-mm-dd")))=0,"-",IF(SUMPRODUCT(('Daily Checklist'!$D$2:$D$2000=$A16)*(TEXT('Daily Checklist'!$B$2:$B$2000,"yyyy-mm-dd")=TEXT(($B$4+3),"yyyy-mm-dd"))*('Daily Checklist'!$L$2:$L$2000="Y"))&gt;0,SUMPRODUCT(('Daily Checklist'!$D$2:$D$2000=$A16)*(TEXT('Daily Checklist'!$B$2:$B$2000,"yyyy-mm-dd")=TEXT(($B$4+3),"yyyy-mm-dd"))*('Daily Checklist'!$F$2:$F$2000="Done"))&amp;"/"&amp;SUMPRODUCT(('Daily Checklist'!$D$2:$D$2000=$A16)*(TEXT('Daily Checklist'!$B$2:$B$2000,"yyyy-mm-dd")=TEXT(($B$4+3),"yyyy-mm-dd")))&amp;" ESC",SUMPRODUCT(('Daily Checklist'!$D$2:$D$2000=$A16)*(TEXT('Daily Checklist'!$B$2:$B$2000,"yyyy-mm-dd")=TEXT(($B$4+3),"yyyy-mm-dd"))*('Daily Checklist'!$F$2:$F$2000="Done"))&amp;"/"&amp;SUMPRODUCT(('Daily Checklist'!$D$2:$D$2000=$A16)*(TEXT('Daily Checklist'!$B$2:$B$2000,"yyyy-mm-dd")=TEXT(($B$4+3),"yyyy-mm-dd"))))))</f>
        <v>1/1</v>
      </c>
      <c r="F16" s="25" t="str">
        <f aca="false">IF($A16="","",IF(SUMPRODUCT(('Daily Checklist'!$D$2:$D$2000=$A16)*(TEXT('Daily Checklist'!$B$2:$B$2000,"yyyy-mm-dd")=TEXT(($B$4+4),"yyyy-mm-dd")))=0,"-",IF(SUMPRODUCT(('Daily Checklist'!$D$2:$D$2000=$A16)*(TEXT('Daily Checklist'!$B$2:$B$2000,"yyyy-mm-dd")=TEXT(($B$4+4),"yyyy-mm-dd"))*('Daily Checklist'!$L$2:$L$2000="Y"))&gt;0,SUMPRODUCT(('Daily Checklist'!$D$2:$D$2000=$A16)*(TEXT('Daily Checklist'!$B$2:$B$2000,"yyyy-mm-dd")=TEXT(($B$4+4),"yyyy-mm-dd"))*('Daily Checklist'!$F$2:$F$2000="Done"))&amp;"/"&amp;SUMPRODUCT(('Daily Checklist'!$D$2:$D$2000=$A16)*(TEXT('Daily Checklist'!$B$2:$B$2000,"yyyy-mm-dd")=TEXT(($B$4+4),"yyyy-mm-dd")))&amp;" ESC",SUMPRODUCT(('Daily Checklist'!$D$2:$D$2000=$A16)*(TEXT('Daily Checklist'!$B$2:$B$2000,"yyyy-mm-dd")=TEXT(($B$4+4),"yyyy-mm-dd"))*('Daily Checklist'!$F$2:$F$2000="Done"))&amp;"/"&amp;SUMPRODUCT(('Daily Checklist'!$D$2:$D$2000=$A16)*(TEXT('Daily Checklist'!$B$2:$B$2000,"yyyy-mm-dd")=TEXT(($B$4+4),"yyyy-mm-dd"))))))</f>
        <v>-</v>
      </c>
      <c r="G16" s="25" t="str">
        <f aca="false">IF($A16="","",IF(SUMPRODUCT(('Daily Checklist'!$D$2:$D$2000=$A16)*(TEXT('Daily Checklist'!$B$2:$B$2000,"yyyy-mm-dd")=TEXT(($B$4+5),"yyyy-mm-dd")))=0,"-",IF(SUMPRODUCT(('Daily Checklist'!$D$2:$D$2000=$A16)*(TEXT('Daily Checklist'!$B$2:$B$2000,"yyyy-mm-dd")=TEXT(($B$4+5),"yyyy-mm-dd"))*('Daily Checklist'!$L$2:$L$2000="Y"))&gt;0,SUMPRODUCT(('Daily Checklist'!$D$2:$D$2000=$A16)*(TEXT('Daily Checklist'!$B$2:$B$2000,"yyyy-mm-dd")=TEXT(($B$4+5),"yyyy-mm-dd"))*('Daily Checklist'!$F$2:$F$2000="Done"))&amp;"/"&amp;SUMPRODUCT(('Daily Checklist'!$D$2:$D$2000=$A16)*(TEXT('Daily Checklist'!$B$2:$B$2000,"yyyy-mm-dd")=TEXT(($B$4+5),"yyyy-mm-dd")))&amp;" ESC",SUMPRODUCT(('Daily Checklist'!$D$2:$D$2000=$A16)*(TEXT('Daily Checklist'!$B$2:$B$2000,"yyyy-mm-dd")=TEXT(($B$4+5),"yyyy-mm-dd"))*('Daily Checklist'!$F$2:$F$2000="Done"))&amp;"/"&amp;SUMPRODUCT(('Daily Checklist'!$D$2:$D$2000=$A16)*(TEXT('Daily Checklist'!$B$2:$B$2000,"yyyy-mm-dd")=TEXT(($B$4+5),"yyyy-mm-dd"))))))</f>
        <v>-</v>
      </c>
      <c r="H16" s="25" t="str">
        <f aca="false">IF($A16="","",IF(SUMPRODUCT(('Daily Checklist'!$D$2:$D$2000=$A16)*(TEXT('Daily Checklist'!$B$2:$B$2000,"yyyy-mm-dd")=TEXT(($B$4+6),"yyyy-mm-dd")))=0,"-",IF(SUMPRODUCT(('Daily Checklist'!$D$2:$D$2000=$A16)*(TEXT('Daily Checklist'!$B$2:$B$2000,"yyyy-mm-dd")=TEXT(($B$4+6),"yyyy-mm-dd"))*('Daily Checklist'!$L$2:$L$2000="Y"))&gt;0,SUMPRODUCT(('Daily Checklist'!$D$2:$D$2000=$A16)*(TEXT('Daily Checklist'!$B$2:$B$2000,"yyyy-mm-dd")=TEXT(($B$4+6),"yyyy-mm-dd"))*('Daily Checklist'!$F$2:$F$2000="Done"))&amp;"/"&amp;SUMPRODUCT(('Daily Checklist'!$D$2:$D$2000=$A16)*(TEXT('Daily Checklist'!$B$2:$B$2000,"yyyy-mm-dd")=TEXT(($B$4+6),"yyyy-mm-dd")))&amp;" ESC",SUMPRODUCT(('Daily Checklist'!$D$2:$D$2000=$A16)*(TEXT('Daily Checklist'!$B$2:$B$2000,"yyyy-mm-dd")=TEXT(($B$4+6),"yyyy-mm-dd"))*('Daily Checklist'!$F$2:$F$2000="Done"))&amp;"/"&amp;SUMPRODUCT(('Daily Checklist'!$D$2:$D$2000=$A16)*(TEXT('Daily Checklist'!$B$2:$B$2000,"yyyy-mm-dd")=TEXT(($B$4+6),"yyyy-mm-dd"))))))</f>
        <v>-</v>
      </c>
      <c r="I16" s="25" t="str">
        <f aca="false">IF($A16="","",IF(SUMPRODUCT(('Daily Checklist'!$D$2:$D$2000=$A16)*(TEXT('Daily Checklist'!$B$2:$B$2000,"yyyy-mm-dd")=TEXT(($B$4+7),"yyyy-mm-dd")))=0,"-",IF(SUMPRODUCT(('Daily Checklist'!$D$2:$D$2000=$A16)*(TEXT('Daily Checklist'!$B$2:$B$2000,"yyyy-mm-dd")=TEXT(($B$4+7),"yyyy-mm-dd"))*('Daily Checklist'!$L$2:$L$2000="Y"))&gt;0,SUMPRODUCT(('Daily Checklist'!$D$2:$D$2000=$A16)*(TEXT('Daily Checklist'!$B$2:$B$2000,"yyyy-mm-dd")=TEXT(($B$4+7),"yyyy-mm-dd"))*('Daily Checklist'!$F$2:$F$2000="Done"))&amp;"/"&amp;SUMPRODUCT(('Daily Checklist'!$D$2:$D$2000=$A16)*(TEXT('Daily Checklist'!$B$2:$B$2000,"yyyy-mm-dd")=TEXT(($B$4+7),"yyyy-mm-dd")))&amp;" ESC",SUMPRODUCT(('Daily Checklist'!$D$2:$D$2000=$A16)*(TEXT('Daily Checklist'!$B$2:$B$2000,"yyyy-mm-dd")=TEXT(($B$4+7),"yyyy-mm-dd"))*('Daily Checklist'!$F$2:$F$2000="Done"))&amp;"/"&amp;SUMPRODUCT(('Daily Checklist'!$D$2:$D$2000=$A16)*(TEXT('Daily Checklist'!$B$2:$B$2000,"yyyy-mm-dd")=TEXT(($B$4+7),"yyyy-mm-dd"))))))</f>
        <v>-</v>
      </c>
      <c r="J16" s="25" t="str">
        <f aca="false">IF($A16="","",IF(SUMPRODUCT(('Daily Checklist'!$D$2:$D$2000=$A16)*(TEXT('Daily Checklist'!$B$2:$B$2000,"yyyy-mm-dd")=TEXT(($B$4+8),"yyyy-mm-dd")))=0,"-",IF(SUMPRODUCT(('Daily Checklist'!$D$2:$D$2000=$A16)*(TEXT('Daily Checklist'!$B$2:$B$2000,"yyyy-mm-dd")=TEXT(($B$4+8),"yyyy-mm-dd"))*('Daily Checklist'!$L$2:$L$2000="Y"))&gt;0,SUMPRODUCT(('Daily Checklist'!$D$2:$D$2000=$A16)*(TEXT('Daily Checklist'!$B$2:$B$2000,"yyyy-mm-dd")=TEXT(($B$4+8),"yyyy-mm-dd"))*('Daily Checklist'!$F$2:$F$2000="Done"))&amp;"/"&amp;SUMPRODUCT(('Daily Checklist'!$D$2:$D$2000=$A16)*(TEXT('Daily Checklist'!$B$2:$B$2000,"yyyy-mm-dd")=TEXT(($B$4+8),"yyyy-mm-dd")))&amp;" ESC",SUMPRODUCT(('Daily Checklist'!$D$2:$D$2000=$A16)*(TEXT('Daily Checklist'!$B$2:$B$2000,"yyyy-mm-dd")=TEXT(($B$4+8),"yyyy-mm-dd"))*('Daily Checklist'!$F$2:$F$2000="Done"))&amp;"/"&amp;SUMPRODUCT(('Daily Checklist'!$D$2:$D$2000=$A16)*(TEXT('Daily Checklist'!$B$2:$B$2000,"yyyy-mm-dd")=TEXT(($B$4+8),"yyyy-mm-dd"))))))</f>
        <v>-</v>
      </c>
      <c r="K16" s="25" t="str">
        <f aca="false">IF($A16="","",IF(SUMPRODUCT(('Daily Checklist'!$D$2:$D$2000=$A16)*(TEXT('Daily Checklist'!$B$2:$B$2000,"yyyy-mm-dd")=TEXT(($B$4+9),"yyyy-mm-dd")))=0,"-",IF(SUMPRODUCT(('Daily Checklist'!$D$2:$D$2000=$A16)*(TEXT('Daily Checklist'!$B$2:$B$2000,"yyyy-mm-dd")=TEXT(($B$4+9),"yyyy-mm-dd"))*('Daily Checklist'!$L$2:$L$2000="Y"))&gt;0,SUMPRODUCT(('Daily Checklist'!$D$2:$D$2000=$A16)*(TEXT('Daily Checklist'!$B$2:$B$2000,"yyyy-mm-dd")=TEXT(($B$4+9),"yyyy-mm-dd"))*('Daily Checklist'!$F$2:$F$2000="Done"))&amp;"/"&amp;SUMPRODUCT(('Daily Checklist'!$D$2:$D$2000=$A16)*(TEXT('Daily Checklist'!$B$2:$B$2000,"yyyy-mm-dd")=TEXT(($B$4+9),"yyyy-mm-dd")))&amp;" ESC",SUMPRODUCT(('Daily Checklist'!$D$2:$D$2000=$A16)*(TEXT('Daily Checklist'!$B$2:$B$2000,"yyyy-mm-dd")=TEXT(($B$4+9),"yyyy-mm-dd"))*('Daily Checklist'!$F$2:$F$2000="Done"))&amp;"/"&amp;SUMPRODUCT(('Daily Checklist'!$D$2:$D$2000=$A16)*(TEXT('Daily Checklist'!$B$2:$B$2000,"yyyy-mm-dd")=TEXT(($B$4+9),"yyyy-mm-dd"))))))</f>
        <v>-</v>
      </c>
      <c r="L16" s="25" t="str">
        <f aca="false">IF($A16="","",IF(SUMPRODUCT(('Daily Checklist'!$D$2:$D$2000=$A16)*(TEXT('Daily Checklist'!$B$2:$B$2000,"yyyy-mm-dd")=TEXT(($B$4+10),"yyyy-mm-dd")))=0,"-",IF(SUMPRODUCT(('Daily Checklist'!$D$2:$D$2000=$A16)*(TEXT('Daily Checklist'!$B$2:$B$2000,"yyyy-mm-dd")=TEXT(($B$4+10),"yyyy-mm-dd"))*('Daily Checklist'!$L$2:$L$2000="Y"))&gt;0,SUMPRODUCT(('Daily Checklist'!$D$2:$D$2000=$A16)*(TEXT('Daily Checklist'!$B$2:$B$2000,"yyyy-mm-dd")=TEXT(($B$4+10),"yyyy-mm-dd"))*('Daily Checklist'!$F$2:$F$2000="Done"))&amp;"/"&amp;SUMPRODUCT(('Daily Checklist'!$D$2:$D$2000=$A16)*(TEXT('Daily Checklist'!$B$2:$B$2000,"yyyy-mm-dd")=TEXT(($B$4+10),"yyyy-mm-dd")))&amp;" ESC",SUMPRODUCT(('Daily Checklist'!$D$2:$D$2000=$A16)*(TEXT('Daily Checklist'!$B$2:$B$2000,"yyyy-mm-dd")=TEXT(($B$4+10),"yyyy-mm-dd"))*('Daily Checklist'!$F$2:$F$2000="Done"))&amp;"/"&amp;SUMPRODUCT(('Daily Checklist'!$D$2:$D$2000=$A16)*(TEXT('Daily Checklist'!$B$2:$B$2000,"yyyy-mm-dd")=TEXT(($B$4+10),"yyyy-mm-dd"))))))</f>
        <v>-</v>
      </c>
      <c r="M16" s="25" t="str">
        <f aca="false">IF($A16="","",IF(SUMPRODUCT(('Daily Checklist'!$D$2:$D$2000=$A16)*(TEXT('Daily Checklist'!$B$2:$B$2000,"yyyy-mm-dd")=TEXT(($B$4+11),"yyyy-mm-dd")))=0,"-",IF(SUMPRODUCT(('Daily Checklist'!$D$2:$D$2000=$A16)*(TEXT('Daily Checklist'!$B$2:$B$2000,"yyyy-mm-dd")=TEXT(($B$4+11),"yyyy-mm-dd"))*('Daily Checklist'!$L$2:$L$2000="Y"))&gt;0,SUMPRODUCT(('Daily Checklist'!$D$2:$D$2000=$A16)*(TEXT('Daily Checklist'!$B$2:$B$2000,"yyyy-mm-dd")=TEXT(($B$4+11),"yyyy-mm-dd"))*('Daily Checklist'!$F$2:$F$2000="Done"))&amp;"/"&amp;SUMPRODUCT(('Daily Checklist'!$D$2:$D$2000=$A16)*(TEXT('Daily Checklist'!$B$2:$B$2000,"yyyy-mm-dd")=TEXT(($B$4+11),"yyyy-mm-dd")))&amp;" ESC",SUMPRODUCT(('Daily Checklist'!$D$2:$D$2000=$A16)*(TEXT('Daily Checklist'!$B$2:$B$2000,"yyyy-mm-dd")=TEXT(($B$4+11),"yyyy-mm-dd"))*('Daily Checklist'!$F$2:$F$2000="Done"))&amp;"/"&amp;SUMPRODUCT(('Daily Checklist'!$D$2:$D$2000=$A16)*(TEXT('Daily Checklist'!$B$2:$B$2000,"yyyy-mm-dd")=TEXT(($B$4+11),"yyyy-mm-dd"))))))</f>
        <v>-</v>
      </c>
      <c r="N16" s="25" t="str">
        <f aca="false">IF($A16="","",IF(SUMPRODUCT(('Daily Checklist'!$D$2:$D$2000=$A16)*(TEXT('Daily Checklist'!$B$2:$B$2000,"yyyy-mm-dd")=TEXT(($B$4+12),"yyyy-mm-dd")))=0,"-",IF(SUMPRODUCT(('Daily Checklist'!$D$2:$D$2000=$A16)*(TEXT('Daily Checklist'!$B$2:$B$2000,"yyyy-mm-dd")=TEXT(($B$4+12),"yyyy-mm-dd"))*('Daily Checklist'!$L$2:$L$2000="Y"))&gt;0,SUMPRODUCT(('Daily Checklist'!$D$2:$D$2000=$A16)*(TEXT('Daily Checklist'!$B$2:$B$2000,"yyyy-mm-dd")=TEXT(($B$4+12),"yyyy-mm-dd"))*('Daily Checklist'!$F$2:$F$2000="Done"))&amp;"/"&amp;SUMPRODUCT(('Daily Checklist'!$D$2:$D$2000=$A16)*(TEXT('Daily Checklist'!$B$2:$B$2000,"yyyy-mm-dd")=TEXT(($B$4+12),"yyyy-mm-dd")))&amp;" ESC",SUMPRODUCT(('Daily Checklist'!$D$2:$D$2000=$A16)*(TEXT('Daily Checklist'!$B$2:$B$2000,"yyyy-mm-dd")=TEXT(($B$4+12),"yyyy-mm-dd"))*('Daily Checklist'!$F$2:$F$2000="Done"))&amp;"/"&amp;SUMPRODUCT(('Daily Checklist'!$D$2:$D$2000=$A16)*(TEXT('Daily Checklist'!$B$2:$B$2000,"yyyy-mm-dd")=TEXT(($B$4+12),"yyyy-mm-dd"))))))</f>
        <v>-</v>
      </c>
      <c r="O16" s="25" t="str">
        <f aca="false">IF($A16="","",IF(SUMPRODUCT(('Daily Checklist'!$D$2:$D$2000=$A16)*(TEXT('Daily Checklist'!$B$2:$B$2000,"yyyy-mm-dd")=TEXT(($B$4+13),"yyyy-mm-dd")))=0,"-",IF(SUMPRODUCT(('Daily Checklist'!$D$2:$D$2000=$A16)*(TEXT('Daily Checklist'!$B$2:$B$2000,"yyyy-mm-dd")=TEXT(($B$4+13),"yyyy-mm-dd"))*('Daily Checklist'!$L$2:$L$2000="Y"))&gt;0,SUMPRODUCT(('Daily Checklist'!$D$2:$D$2000=$A16)*(TEXT('Daily Checklist'!$B$2:$B$2000,"yyyy-mm-dd")=TEXT(($B$4+13),"yyyy-mm-dd"))*('Daily Checklist'!$F$2:$F$2000="Done"))&amp;"/"&amp;SUMPRODUCT(('Daily Checklist'!$D$2:$D$2000=$A16)*(TEXT('Daily Checklist'!$B$2:$B$2000,"yyyy-mm-dd")=TEXT(($B$4+13),"yyyy-mm-dd")))&amp;" ESC",SUMPRODUCT(('Daily Checklist'!$D$2:$D$2000=$A16)*(TEXT('Daily Checklist'!$B$2:$B$2000,"yyyy-mm-dd")=TEXT(($B$4+13),"yyyy-mm-dd"))*('Daily Checklist'!$F$2:$F$2000="Done"))&amp;"/"&amp;SUMPRODUCT(('Daily Checklist'!$D$2:$D$2000=$A16)*(TEXT('Daily Checklist'!$B$2:$B$2000,"yyyy-mm-dd")=TEXT(($B$4+13),"yyyy-mm-dd"))))))</f>
        <v>-</v>
      </c>
      <c r="P16" s="25" t="str">
        <f aca="false">IF($A16="","",IF(SUMPRODUCT(('Daily Checklist'!$D$2:$D$2000=$A16)*(TEXT('Daily Checklist'!$B$2:$B$2000,"yyyy-mm-dd")=TEXT(($B$4+14),"yyyy-mm-dd")))=0,"-",IF(SUMPRODUCT(('Daily Checklist'!$D$2:$D$2000=$A16)*(TEXT('Daily Checklist'!$B$2:$B$2000,"yyyy-mm-dd")=TEXT(($B$4+14),"yyyy-mm-dd"))*('Daily Checklist'!$L$2:$L$2000="Y"))&gt;0,SUMPRODUCT(('Daily Checklist'!$D$2:$D$2000=$A16)*(TEXT('Daily Checklist'!$B$2:$B$2000,"yyyy-mm-dd")=TEXT(($B$4+14),"yyyy-mm-dd"))*('Daily Checklist'!$F$2:$F$2000="Done"))&amp;"/"&amp;SUMPRODUCT(('Daily Checklist'!$D$2:$D$2000=$A16)*(TEXT('Daily Checklist'!$B$2:$B$2000,"yyyy-mm-dd")=TEXT(($B$4+14),"yyyy-mm-dd")))&amp;" ESC",SUMPRODUCT(('Daily Checklist'!$D$2:$D$2000=$A16)*(TEXT('Daily Checklist'!$B$2:$B$2000,"yyyy-mm-dd")=TEXT(($B$4+14),"yyyy-mm-dd"))*('Daily Checklist'!$F$2:$F$2000="Done"))&amp;"/"&amp;SUMPRODUCT(('Daily Checklist'!$D$2:$D$2000=$A16)*(TEXT('Daily Checklist'!$B$2:$B$2000,"yyyy-mm-dd")=TEXT(($B$4+14),"yyyy-mm-dd"))))))</f>
        <v>-</v>
      </c>
      <c r="Q16" s="25" t="str">
        <f aca="false">IF($A16="","",IF(SUMPRODUCT(('Daily Checklist'!$D$2:$D$2000=$A16)*(TEXT('Daily Checklist'!$B$2:$B$2000,"yyyy-mm-dd")=TEXT(($B$4+15),"yyyy-mm-dd")))=0,"-",IF(SUMPRODUCT(('Daily Checklist'!$D$2:$D$2000=$A16)*(TEXT('Daily Checklist'!$B$2:$B$2000,"yyyy-mm-dd")=TEXT(($B$4+15),"yyyy-mm-dd"))*('Daily Checklist'!$L$2:$L$2000="Y"))&gt;0,SUMPRODUCT(('Daily Checklist'!$D$2:$D$2000=$A16)*(TEXT('Daily Checklist'!$B$2:$B$2000,"yyyy-mm-dd")=TEXT(($B$4+15),"yyyy-mm-dd"))*('Daily Checklist'!$F$2:$F$2000="Done"))&amp;"/"&amp;SUMPRODUCT(('Daily Checklist'!$D$2:$D$2000=$A16)*(TEXT('Daily Checklist'!$B$2:$B$2000,"yyyy-mm-dd")=TEXT(($B$4+15),"yyyy-mm-dd")))&amp;" ESC",SUMPRODUCT(('Daily Checklist'!$D$2:$D$2000=$A16)*(TEXT('Daily Checklist'!$B$2:$B$2000,"yyyy-mm-dd")=TEXT(($B$4+15),"yyyy-mm-dd"))*('Daily Checklist'!$F$2:$F$2000="Done"))&amp;"/"&amp;SUMPRODUCT(('Daily Checklist'!$D$2:$D$2000=$A16)*(TEXT('Daily Checklist'!$B$2:$B$2000,"yyyy-mm-dd")=TEXT(($B$4+15),"yyyy-mm-dd"))))))</f>
        <v>-</v>
      </c>
      <c r="R16" s="25" t="str">
        <f aca="false">IF($A16="","",IF(SUMPRODUCT(('Daily Checklist'!$D$2:$D$2000=$A16)*(TEXT('Daily Checklist'!$B$2:$B$2000,"yyyy-mm-dd")=TEXT(($B$4+16),"yyyy-mm-dd")))=0,"-",IF(SUMPRODUCT(('Daily Checklist'!$D$2:$D$2000=$A16)*(TEXT('Daily Checklist'!$B$2:$B$2000,"yyyy-mm-dd")=TEXT(($B$4+16),"yyyy-mm-dd"))*('Daily Checklist'!$L$2:$L$2000="Y"))&gt;0,SUMPRODUCT(('Daily Checklist'!$D$2:$D$2000=$A16)*(TEXT('Daily Checklist'!$B$2:$B$2000,"yyyy-mm-dd")=TEXT(($B$4+16),"yyyy-mm-dd"))*('Daily Checklist'!$F$2:$F$2000="Done"))&amp;"/"&amp;SUMPRODUCT(('Daily Checklist'!$D$2:$D$2000=$A16)*(TEXT('Daily Checklist'!$B$2:$B$2000,"yyyy-mm-dd")=TEXT(($B$4+16),"yyyy-mm-dd")))&amp;" ESC",SUMPRODUCT(('Daily Checklist'!$D$2:$D$2000=$A16)*(TEXT('Daily Checklist'!$B$2:$B$2000,"yyyy-mm-dd")=TEXT(($B$4+16),"yyyy-mm-dd"))*('Daily Checklist'!$F$2:$F$2000="Done"))&amp;"/"&amp;SUMPRODUCT(('Daily Checklist'!$D$2:$D$2000=$A16)*(TEXT('Daily Checklist'!$B$2:$B$2000,"yyyy-mm-dd")=TEXT(($B$4+16),"yyyy-mm-dd"))))))</f>
        <v>-</v>
      </c>
      <c r="S16" s="25" t="str">
        <f aca="false">IF($A16="","",IF(SUMPRODUCT(('Daily Checklist'!$D$2:$D$2000=$A16)*(TEXT('Daily Checklist'!$B$2:$B$2000,"yyyy-mm-dd")=TEXT(($B$4+17),"yyyy-mm-dd")))=0,"-",IF(SUMPRODUCT(('Daily Checklist'!$D$2:$D$2000=$A16)*(TEXT('Daily Checklist'!$B$2:$B$2000,"yyyy-mm-dd")=TEXT(($B$4+17),"yyyy-mm-dd"))*('Daily Checklist'!$L$2:$L$2000="Y"))&gt;0,SUMPRODUCT(('Daily Checklist'!$D$2:$D$2000=$A16)*(TEXT('Daily Checklist'!$B$2:$B$2000,"yyyy-mm-dd")=TEXT(($B$4+17),"yyyy-mm-dd"))*('Daily Checklist'!$F$2:$F$2000="Done"))&amp;"/"&amp;SUMPRODUCT(('Daily Checklist'!$D$2:$D$2000=$A16)*(TEXT('Daily Checklist'!$B$2:$B$2000,"yyyy-mm-dd")=TEXT(($B$4+17),"yyyy-mm-dd")))&amp;" ESC",SUMPRODUCT(('Daily Checklist'!$D$2:$D$2000=$A16)*(TEXT('Daily Checklist'!$B$2:$B$2000,"yyyy-mm-dd")=TEXT(($B$4+17),"yyyy-mm-dd"))*('Daily Checklist'!$F$2:$F$2000="Done"))&amp;"/"&amp;SUMPRODUCT(('Daily Checklist'!$D$2:$D$2000=$A16)*(TEXT('Daily Checklist'!$B$2:$B$2000,"yyyy-mm-dd")=TEXT(($B$4+17),"yyyy-mm-dd"))))))</f>
        <v>-</v>
      </c>
      <c r="T16" s="25" t="str">
        <f aca="false">IF($A16="","",IF(SUMPRODUCT(('Daily Checklist'!$D$2:$D$2000=$A16)*(TEXT('Daily Checklist'!$B$2:$B$2000,"yyyy-mm-dd")=TEXT(($B$4+18),"yyyy-mm-dd")))=0,"-",IF(SUMPRODUCT(('Daily Checklist'!$D$2:$D$2000=$A16)*(TEXT('Daily Checklist'!$B$2:$B$2000,"yyyy-mm-dd")=TEXT(($B$4+18),"yyyy-mm-dd"))*('Daily Checklist'!$L$2:$L$2000="Y"))&gt;0,SUMPRODUCT(('Daily Checklist'!$D$2:$D$2000=$A16)*(TEXT('Daily Checklist'!$B$2:$B$2000,"yyyy-mm-dd")=TEXT(($B$4+18),"yyyy-mm-dd"))*('Daily Checklist'!$F$2:$F$2000="Done"))&amp;"/"&amp;SUMPRODUCT(('Daily Checklist'!$D$2:$D$2000=$A16)*(TEXT('Daily Checklist'!$B$2:$B$2000,"yyyy-mm-dd")=TEXT(($B$4+18),"yyyy-mm-dd")))&amp;" ESC",SUMPRODUCT(('Daily Checklist'!$D$2:$D$2000=$A16)*(TEXT('Daily Checklist'!$B$2:$B$2000,"yyyy-mm-dd")=TEXT(($B$4+18),"yyyy-mm-dd"))*('Daily Checklist'!$F$2:$F$2000="Done"))&amp;"/"&amp;SUMPRODUCT(('Daily Checklist'!$D$2:$D$2000=$A16)*(TEXT('Daily Checklist'!$B$2:$B$2000,"yyyy-mm-dd")=TEXT(($B$4+18),"yyyy-mm-dd"))))))</f>
        <v>-</v>
      </c>
      <c r="U16" s="25" t="str">
        <f aca="false">IF($A16="","",IF(SUMPRODUCT(('Daily Checklist'!$D$2:$D$2000=$A16)*(TEXT('Daily Checklist'!$B$2:$B$2000,"yyyy-mm-dd")=TEXT(($B$4+19),"yyyy-mm-dd")))=0,"-",IF(SUMPRODUCT(('Daily Checklist'!$D$2:$D$2000=$A16)*(TEXT('Daily Checklist'!$B$2:$B$2000,"yyyy-mm-dd")=TEXT(($B$4+19),"yyyy-mm-dd"))*('Daily Checklist'!$L$2:$L$2000="Y"))&gt;0,SUMPRODUCT(('Daily Checklist'!$D$2:$D$2000=$A16)*(TEXT('Daily Checklist'!$B$2:$B$2000,"yyyy-mm-dd")=TEXT(($B$4+19),"yyyy-mm-dd"))*('Daily Checklist'!$F$2:$F$2000="Done"))&amp;"/"&amp;SUMPRODUCT(('Daily Checklist'!$D$2:$D$2000=$A16)*(TEXT('Daily Checklist'!$B$2:$B$2000,"yyyy-mm-dd")=TEXT(($B$4+19),"yyyy-mm-dd")))&amp;" ESC",SUMPRODUCT(('Daily Checklist'!$D$2:$D$2000=$A16)*(TEXT('Daily Checklist'!$B$2:$B$2000,"yyyy-mm-dd")=TEXT(($B$4+19),"yyyy-mm-dd"))*('Daily Checklist'!$F$2:$F$2000="Done"))&amp;"/"&amp;SUMPRODUCT(('Daily Checklist'!$D$2:$D$2000=$A16)*(TEXT('Daily Checklist'!$B$2:$B$2000,"yyyy-mm-dd")=TEXT(($B$4+19),"yyyy-mm-dd"))))))</f>
        <v>-</v>
      </c>
      <c r="V16" s="25" t="str">
        <f aca="false">IF($A16="","",IF(SUMPRODUCT(('Daily Checklist'!$D$2:$D$2000=$A16)*(TEXT('Daily Checklist'!$B$2:$B$2000,"yyyy-mm-dd")=TEXT(($B$4+20),"yyyy-mm-dd")))=0,"-",IF(SUMPRODUCT(('Daily Checklist'!$D$2:$D$2000=$A16)*(TEXT('Daily Checklist'!$B$2:$B$2000,"yyyy-mm-dd")=TEXT(($B$4+20),"yyyy-mm-dd"))*('Daily Checklist'!$L$2:$L$2000="Y"))&gt;0,SUMPRODUCT(('Daily Checklist'!$D$2:$D$2000=$A16)*(TEXT('Daily Checklist'!$B$2:$B$2000,"yyyy-mm-dd")=TEXT(($B$4+20),"yyyy-mm-dd"))*('Daily Checklist'!$F$2:$F$2000="Done"))&amp;"/"&amp;SUMPRODUCT(('Daily Checklist'!$D$2:$D$2000=$A16)*(TEXT('Daily Checklist'!$B$2:$B$2000,"yyyy-mm-dd")=TEXT(($B$4+20),"yyyy-mm-dd")))&amp;" ESC",SUMPRODUCT(('Daily Checklist'!$D$2:$D$2000=$A16)*(TEXT('Daily Checklist'!$B$2:$B$2000,"yyyy-mm-dd")=TEXT(($B$4+20),"yyyy-mm-dd"))*('Daily Checklist'!$F$2:$F$2000="Done"))&amp;"/"&amp;SUMPRODUCT(('Daily Checklist'!$D$2:$D$2000=$A16)*(TEXT('Daily Checklist'!$B$2:$B$2000,"yyyy-mm-dd")=TEXT(($B$4+20),"yyyy-mm-dd"))))))</f>
        <v>-</v>
      </c>
      <c r="W16" s="25" t="str">
        <f aca="false">IF($A16="","",IF(SUMPRODUCT(('Daily Checklist'!$D$2:$D$2000=$A16)*(TEXT('Daily Checklist'!$B$2:$B$2000,"yyyy-mm-dd")=TEXT(($B$4+21),"yyyy-mm-dd")))=0,"-",IF(SUMPRODUCT(('Daily Checklist'!$D$2:$D$2000=$A16)*(TEXT('Daily Checklist'!$B$2:$B$2000,"yyyy-mm-dd")=TEXT(($B$4+21),"yyyy-mm-dd"))*('Daily Checklist'!$L$2:$L$2000="Y"))&gt;0,SUMPRODUCT(('Daily Checklist'!$D$2:$D$2000=$A16)*(TEXT('Daily Checklist'!$B$2:$B$2000,"yyyy-mm-dd")=TEXT(($B$4+21),"yyyy-mm-dd"))*('Daily Checklist'!$F$2:$F$2000="Done"))&amp;"/"&amp;SUMPRODUCT(('Daily Checklist'!$D$2:$D$2000=$A16)*(TEXT('Daily Checklist'!$B$2:$B$2000,"yyyy-mm-dd")=TEXT(($B$4+21),"yyyy-mm-dd")))&amp;" ESC",SUMPRODUCT(('Daily Checklist'!$D$2:$D$2000=$A16)*(TEXT('Daily Checklist'!$B$2:$B$2000,"yyyy-mm-dd")=TEXT(($B$4+21),"yyyy-mm-dd"))*('Daily Checklist'!$F$2:$F$2000="Done"))&amp;"/"&amp;SUMPRODUCT(('Daily Checklist'!$D$2:$D$2000=$A16)*(TEXT('Daily Checklist'!$B$2:$B$2000,"yyyy-mm-dd")=TEXT(($B$4+21),"yyyy-mm-dd"))))))</f>
        <v>-</v>
      </c>
      <c r="X16" s="25" t="str">
        <f aca="false">IF($A16="","",IF(SUMPRODUCT(('Daily Checklist'!$D$2:$D$2000=$A16)*(TEXT('Daily Checklist'!$B$2:$B$2000,"yyyy-mm-dd")=TEXT(($B$4+22),"yyyy-mm-dd")))=0,"-",IF(SUMPRODUCT(('Daily Checklist'!$D$2:$D$2000=$A16)*(TEXT('Daily Checklist'!$B$2:$B$2000,"yyyy-mm-dd")=TEXT(($B$4+22),"yyyy-mm-dd"))*('Daily Checklist'!$L$2:$L$2000="Y"))&gt;0,SUMPRODUCT(('Daily Checklist'!$D$2:$D$2000=$A16)*(TEXT('Daily Checklist'!$B$2:$B$2000,"yyyy-mm-dd")=TEXT(($B$4+22),"yyyy-mm-dd"))*('Daily Checklist'!$F$2:$F$2000="Done"))&amp;"/"&amp;SUMPRODUCT(('Daily Checklist'!$D$2:$D$2000=$A16)*(TEXT('Daily Checklist'!$B$2:$B$2000,"yyyy-mm-dd")=TEXT(($B$4+22),"yyyy-mm-dd")))&amp;" ESC",SUMPRODUCT(('Daily Checklist'!$D$2:$D$2000=$A16)*(TEXT('Daily Checklist'!$B$2:$B$2000,"yyyy-mm-dd")=TEXT(($B$4+22),"yyyy-mm-dd"))*('Daily Checklist'!$F$2:$F$2000="Done"))&amp;"/"&amp;SUMPRODUCT(('Daily Checklist'!$D$2:$D$2000=$A16)*(TEXT('Daily Checklist'!$B$2:$B$2000,"yyyy-mm-dd")=TEXT(($B$4+22),"yyyy-mm-dd"))))))</f>
        <v>-</v>
      </c>
      <c r="Y16" s="25" t="str">
        <f aca="false">IF($A16="","",IF(SUMPRODUCT(('Daily Checklist'!$D$2:$D$2000=$A16)*(TEXT('Daily Checklist'!$B$2:$B$2000,"yyyy-mm-dd")=TEXT(($B$4+23),"yyyy-mm-dd")))=0,"-",IF(SUMPRODUCT(('Daily Checklist'!$D$2:$D$2000=$A16)*(TEXT('Daily Checklist'!$B$2:$B$2000,"yyyy-mm-dd")=TEXT(($B$4+23),"yyyy-mm-dd"))*('Daily Checklist'!$L$2:$L$2000="Y"))&gt;0,SUMPRODUCT(('Daily Checklist'!$D$2:$D$2000=$A16)*(TEXT('Daily Checklist'!$B$2:$B$2000,"yyyy-mm-dd")=TEXT(($B$4+23),"yyyy-mm-dd"))*('Daily Checklist'!$F$2:$F$2000="Done"))&amp;"/"&amp;SUMPRODUCT(('Daily Checklist'!$D$2:$D$2000=$A16)*(TEXT('Daily Checklist'!$B$2:$B$2000,"yyyy-mm-dd")=TEXT(($B$4+23),"yyyy-mm-dd")))&amp;" ESC",SUMPRODUCT(('Daily Checklist'!$D$2:$D$2000=$A16)*(TEXT('Daily Checklist'!$B$2:$B$2000,"yyyy-mm-dd")=TEXT(($B$4+23),"yyyy-mm-dd"))*('Daily Checklist'!$F$2:$F$2000="Done"))&amp;"/"&amp;SUMPRODUCT(('Daily Checklist'!$D$2:$D$2000=$A16)*(TEXT('Daily Checklist'!$B$2:$B$2000,"yyyy-mm-dd")=TEXT(($B$4+23),"yyyy-mm-dd"))))))</f>
        <v>-</v>
      </c>
      <c r="Z16" s="25" t="str">
        <f aca="false">IF($A16="","",IF(SUMPRODUCT(('Daily Checklist'!$D$2:$D$2000=$A16)*(TEXT('Daily Checklist'!$B$2:$B$2000,"yyyy-mm-dd")=TEXT(($B$4+24),"yyyy-mm-dd")))=0,"-",IF(SUMPRODUCT(('Daily Checklist'!$D$2:$D$2000=$A16)*(TEXT('Daily Checklist'!$B$2:$B$2000,"yyyy-mm-dd")=TEXT(($B$4+24),"yyyy-mm-dd"))*('Daily Checklist'!$L$2:$L$2000="Y"))&gt;0,SUMPRODUCT(('Daily Checklist'!$D$2:$D$2000=$A16)*(TEXT('Daily Checklist'!$B$2:$B$2000,"yyyy-mm-dd")=TEXT(($B$4+24),"yyyy-mm-dd"))*('Daily Checklist'!$F$2:$F$2000="Done"))&amp;"/"&amp;SUMPRODUCT(('Daily Checklist'!$D$2:$D$2000=$A16)*(TEXT('Daily Checklist'!$B$2:$B$2000,"yyyy-mm-dd")=TEXT(($B$4+24),"yyyy-mm-dd")))&amp;" ESC",SUMPRODUCT(('Daily Checklist'!$D$2:$D$2000=$A16)*(TEXT('Daily Checklist'!$B$2:$B$2000,"yyyy-mm-dd")=TEXT(($B$4+24),"yyyy-mm-dd"))*('Daily Checklist'!$F$2:$F$2000="Done"))&amp;"/"&amp;SUMPRODUCT(('Daily Checklist'!$D$2:$D$2000=$A16)*(TEXT('Daily Checklist'!$B$2:$B$2000,"yyyy-mm-dd")=TEXT(($B$4+24),"yyyy-mm-dd"))))))</f>
        <v>-</v>
      </c>
      <c r="AA16" s="25" t="str">
        <f aca="false">IF($A16="","",IF(SUMPRODUCT(('Daily Checklist'!$D$2:$D$2000=$A16)*(TEXT('Daily Checklist'!$B$2:$B$2000,"yyyy-mm-dd")=TEXT(($B$4+25),"yyyy-mm-dd")))=0,"-",IF(SUMPRODUCT(('Daily Checklist'!$D$2:$D$2000=$A16)*(TEXT('Daily Checklist'!$B$2:$B$2000,"yyyy-mm-dd")=TEXT(($B$4+25),"yyyy-mm-dd"))*('Daily Checklist'!$L$2:$L$2000="Y"))&gt;0,SUMPRODUCT(('Daily Checklist'!$D$2:$D$2000=$A16)*(TEXT('Daily Checklist'!$B$2:$B$2000,"yyyy-mm-dd")=TEXT(($B$4+25),"yyyy-mm-dd"))*('Daily Checklist'!$F$2:$F$2000="Done"))&amp;"/"&amp;SUMPRODUCT(('Daily Checklist'!$D$2:$D$2000=$A16)*(TEXT('Daily Checklist'!$B$2:$B$2000,"yyyy-mm-dd")=TEXT(($B$4+25),"yyyy-mm-dd")))&amp;" ESC",SUMPRODUCT(('Daily Checklist'!$D$2:$D$2000=$A16)*(TEXT('Daily Checklist'!$B$2:$B$2000,"yyyy-mm-dd")=TEXT(($B$4+25),"yyyy-mm-dd"))*('Daily Checklist'!$F$2:$F$2000="Done"))&amp;"/"&amp;SUMPRODUCT(('Daily Checklist'!$D$2:$D$2000=$A16)*(TEXT('Daily Checklist'!$B$2:$B$2000,"yyyy-mm-dd")=TEXT(($B$4+25),"yyyy-mm-dd"))))))</f>
        <v>-</v>
      </c>
      <c r="AB16" s="25" t="str">
        <f aca="false">IF($A16="","",IF(SUMPRODUCT(('Daily Checklist'!$D$2:$D$2000=$A16)*(TEXT('Daily Checklist'!$B$2:$B$2000,"yyyy-mm-dd")=TEXT(($B$4+26),"yyyy-mm-dd")))=0,"-",IF(SUMPRODUCT(('Daily Checklist'!$D$2:$D$2000=$A16)*(TEXT('Daily Checklist'!$B$2:$B$2000,"yyyy-mm-dd")=TEXT(($B$4+26),"yyyy-mm-dd"))*('Daily Checklist'!$L$2:$L$2000="Y"))&gt;0,SUMPRODUCT(('Daily Checklist'!$D$2:$D$2000=$A16)*(TEXT('Daily Checklist'!$B$2:$B$2000,"yyyy-mm-dd")=TEXT(($B$4+26),"yyyy-mm-dd"))*('Daily Checklist'!$F$2:$F$2000="Done"))&amp;"/"&amp;SUMPRODUCT(('Daily Checklist'!$D$2:$D$2000=$A16)*(TEXT('Daily Checklist'!$B$2:$B$2000,"yyyy-mm-dd")=TEXT(($B$4+26),"yyyy-mm-dd")))&amp;" ESC",SUMPRODUCT(('Daily Checklist'!$D$2:$D$2000=$A16)*(TEXT('Daily Checklist'!$B$2:$B$2000,"yyyy-mm-dd")=TEXT(($B$4+26),"yyyy-mm-dd"))*('Daily Checklist'!$F$2:$F$2000="Done"))&amp;"/"&amp;SUMPRODUCT(('Daily Checklist'!$D$2:$D$2000=$A16)*(TEXT('Daily Checklist'!$B$2:$B$2000,"yyyy-mm-dd")=TEXT(($B$4+26),"yyyy-mm-dd"))))))</f>
        <v>-</v>
      </c>
      <c r="AC16" s="25" t="str">
        <f aca="false">IF($A16="","",IF(SUMPRODUCT(('Daily Checklist'!$D$2:$D$2000=$A16)*(TEXT('Daily Checklist'!$B$2:$B$2000,"yyyy-mm-dd")=TEXT(($B$4+27),"yyyy-mm-dd")))=0,"-",IF(SUMPRODUCT(('Daily Checklist'!$D$2:$D$2000=$A16)*(TEXT('Daily Checklist'!$B$2:$B$2000,"yyyy-mm-dd")=TEXT(($B$4+27),"yyyy-mm-dd"))*('Daily Checklist'!$L$2:$L$2000="Y"))&gt;0,SUMPRODUCT(('Daily Checklist'!$D$2:$D$2000=$A16)*(TEXT('Daily Checklist'!$B$2:$B$2000,"yyyy-mm-dd")=TEXT(($B$4+27),"yyyy-mm-dd"))*('Daily Checklist'!$F$2:$F$2000="Done"))&amp;"/"&amp;SUMPRODUCT(('Daily Checklist'!$D$2:$D$2000=$A16)*(TEXT('Daily Checklist'!$B$2:$B$2000,"yyyy-mm-dd")=TEXT(($B$4+27),"yyyy-mm-dd")))&amp;" ESC",SUMPRODUCT(('Daily Checklist'!$D$2:$D$2000=$A16)*(TEXT('Daily Checklist'!$B$2:$B$2000,"yyyy-mm-dd")=TEXT(($B$4+27),"yyyy-mm-dd"))*('Daily Checklist'!$F$2:$F$2000="Done"))&amp;"/"&amp;SUMPRODUCT(('Daily Checklist'!$D$2:$D$2000=$A16)*(TEXT('Daily Checklist'!$B$2:$B$2000,"yyyy-mm-dd")=TEXT(($B$4+27),"yyyy-mm-dd"))))))</f>
        <v>-</v>
      </c>
      <c r="AD16" s="25" t="str">
        <f aca="false">IF($A16="","",IF(SUMPRODUCT(('Daily Checklist'!$D$2:$D$2000=$A16)*(TEXT('Daily Checklist'!$B$2:$B$2000,"yyyy-mm-dd")=TEXT(($B$4+28),"yyyy-mm-dd")))=0,"-",IF(SUMPRODUCT(('Daily Checklist'!$D$2:$D$2000=$A16)*(TEXT('Daily Checklist'!$B$2:$B$2000,"yyyy-mm-dd")=TEXT(($B$4+28),"yyyy-mm-dd"))*('Daily Checklist'!$L$2:$L$2000="Y"))&gt;0,SUMPRODUCT(('Daily Checklist'!$D$2:$D$2000=$A16)*(TEXT('Daily Checklist'!$B$2:$B$2000,"yyyy-mm-dd")=TEXT(($B$4+28),"yyyy-mm-dd"))*('Daily Checklist'!$F$2:$F$2000="Done"))&amp;"/"&amp;SUMPRODUCT(('Daily Checklist'!$D$2:$D$2000=$A16)*(TEXT('Daily Checklist'!$B$2:$B$2000,"yyyy-mm-dd")=TEXT(($B$4+28),"yyyy-mm-dd")))&amp;" ESC",SUMPRODUCT(('Daily Checklist'!$D$2:$D$2000=$A16)*(TEXT('Daily Checklist'!$B$2:$B$2000,"yyyy-mm-dd")=TEXT(($B$4+28),"yyyy-mm-dd"))*('Daily Checklist'!$F$2:$F$2000="Done"))&amp;"/"&amp;SUMPRODUCT(('Daily Checklist'!$D$2:$D$2000=$A16)*(TEXT('Daily Checklist'!$B$2:$B$2000,"yyyy-mm-dd")=TEXT(($B$4+28),"yyyy-mm-dd"))))))</f>
        <v>-</v>
      </c>
      <c r="AE16" s="25" t="str">
        <f aca="false">IF($A16="","",IF(SUMPRODUCT(('Daily Checklist'!$D$2:$D$2000=$A16)*(TEXT('Daily Checklist'!$B$2:$B$2000,"yyyy-mm-dd")=TEXT(($B$4+29),"yyyy-mm-dd")))=0,"-",IF(SUMPRODUCT(('Daily Checklist'!$D$2:$D$2000=$A16)*(TEXT('Daily Checklist'!$B$2:$B$2000,"yyyy-mm-dd")=TEXT(($B$4+29),"yyyy-mm-dd"))*('Daily Checklist'!$L$2:$L$2000="Y"))&gt;0,SUMPRODUCT(('Daily Checklist'!$D$2:$D$2000=$A16)*(TEXT('Daily Checklist'!$B$2:$B$2000,"yyyy-mm-dd")=TEXT(($B$4+29),"yyyy-mm-dd"))*('Daily Checklist'!$F$2:$F$2000="Done"))&amp;"/"&amp;SUMPRODUCT(('Daily Checklist'!$D$2:$D$2000=$A16)*(TEXT('Daily Checklist'!$B$2:$B$2000,"yyyy-mm-dd")=TEXT(($B$4+29),"yyyy-mm-dd")))&amp;" ESC",SUMPRODUCT(('Daily Checklist'!$D$2:$D$2000=$A16)*(TEXT('Daily Checklist'!$B$2:$B$2000,"yyyy-mm-dd")=TEXT(($B$4+29),"yyyy-mm-dd"))*('Daily Checklist'!$F$2:$F$2000="Done"))&amp;"/"&amp;SUMPRODUCT(('Daily Checklist'!$D$2:$D$2000=$A16)*(TEXT('Daily Checklist'!$B$2:$B$2000,"yyyy-mm-dd")=TEXT(($B$4+29),"yyyy-mm-dd"))))))</f>
        <v>-</v>
      </c>
      <c r="AF16" s="25" t="str">
        <f aca="false">IF($A16="","",IF(SUMPRODUCT(('Daily Checklist'!$D$2:$D$2000=$A16)*(TEXT('Daily Checklist'!$B$2:$B$2000,"yyyy-mm-dd")=TEXT(($B$4+30),"yyyy-mm-dd")))=0,"-",IF(SUMPRODUCT(('Daily Checklist'!$D$2:$D$2000=$A16)*(TEXT('Daily Checklist'!$B$2:$B$2000,"yyyy-mm-dd")=TEXT(($B$4+30),"yyyy-mm-dd"))*('Daily Checklist'!$L$2:$L$2000="Y"))&gt;0,SUMPRODUCT(('Daily Checklist'!$D$2:$D$2000=$A16)*(TEXT('Daily Checklist'!$B$2:$B$2000,"yyyy-mm-dd")=TEXT(($B$4+30),"yyyy-mm-dd"))*('Daily Checklist'!$F$2:$F$2000="Done"))&amp;"/"&amp;SUMPRODUCT(('Daily Checklist'!$D$2:$D$2000=$A16)*(TEXT('Daily Checklist'!$B$2:$B$2000,"yyyy-mm-dd")=TEXT(($B$4+30),"yyyy-mm-dd")))&amp;" ESC",SUMPRODUCT(('Daily Checklist'!$D$2:$D$2000=$A16)*(TEXT('Daily Checklist'!$B$2:$B$2000,"yyyy-mm-dd")=TEXT(($B$4+30),"yyyy-mm-dd"))*('Daily Checklist'!$F$2:$F$2000="Done"))&amp;"/"&amp;SUMPRODUCT(('Daily Checklist'!$D$2:$D$2000=$A16)*(TEXT('Daily Checklist'!$B$2:$B$2000,"yyyy-mm-dd")=TEXT(($B$4+30),"yyyy-mm-dd"))))))</f>
        <v>-</v>
      </c>
    </row>
    <row r="17" customFormat="false" ht="15" hidden="false" customHeight="true" outlineLevel="0" collapsed="false">
      <c r="A17" s="24" t="str">
        <f aca="false">IFERROR(IF(Employees!A12="","",Employees!A12),"")</f>
        <v>Ravi Anand</v>
      </c>
      <c r="B17" s="25" t="str">
        <f aca="false">IF($A17="","",IF(SUMPRODUCT(('Daily Checklist'!$D$2:$D$2000=$A17)*(TEXT('Daily Checklist'!$B$2:$B$2000,"yyyy-mm-dd")=TEXT(($B$4+0),"yyyy-mm-dd")))=0,"-",IF(SUMPRODUCT(('Daily Checklist'!$D$2:$D$2000=$A17)*(TEXT('Daily Checklist'!$B$2:$B$2000,"yyyy-mm-dd")=TEXT(($B$4+0),"yyyy-mm-dd"))*('Daily Checklist'!$L$2:$L$2000="Y"))&gt;0,SUMPRODUCT(('Daily Checklist'!$D$2:$D$2000=$A17)*(TEXT('Daily Checklist'!$B$2:$B$2000,"yyyy-mm-dd")=TEXT(($B$4+0),"yyyy-mm-dd"))*('Daily Checklist'!$F$2:$F$2000="Done"))&amp;"/"&amp;SUMPRODUCT(('Daily Checklist'!$D$2:$D$2000=$A17)*(TEXT('Daily Checklist'!$B$2:$B$2000,"yyyy-mm-dd")=TEXT(($B$4+0),"yyyy-mm-dd")))&amp;" ESC",SUMPRODUCT(('Daily Checklist'!$D$2:$D$2000=$A17)*(TEXT('Daily Checklist'!$B$2:$B$2000,"yyyy-mm-dd")=TEXT(($B$4+0),"yyyy-mm-dd"))*('Daily Checklist'!$F$2:$F$2000="Done"))&amp;"/"&amp;SUMPRODUCT(('Daily Checklist'!$D$2:$D$2000=$A17)*(TEXT('Daily Checklist'!$B$2:$B$2000,"yyyy-mm-dd")=TEXT(($B$4+0),"yyyy-mm-dd"))))))</f>
        <v>-</v>
      </c>
      <c r="C17" s="25" t="str">
        <f aca="false">IF($A17="","",IF(SUMPRODUCT(('Daily Checklist'!$D$2:$D$2000=$A17)*(TEXT('Daily Checklist'!$B$2:$B$2000,"yyyy-mm-dd")=TEXT(($B$4+1),"yyyy-mm-dd")))=0,"-",IF(SUMPRODUCT(('Daily Checklist'!$D$2:$D$2000=$A17)*(TEXT('Daily Checklist'!$B$2:$B$2000,"yyyy-mm-dd")=TEXT(($B$4+1),"yyyy-mm-dd"))*('Daily Checklist'!$L$2:$L$2000="Y"))&gt;0,SUMPRODUCT(('Daily Checklist'!$D$2:$D$2000=$A17)*(TEXT('Daily Checklist'!$B$2:$B$2000,"yyyy-mm-dd")=TEXT(($B$4+1),"yyyy-mm-dd"))*('Daily Checklist'!$F$2:$F$2000="Done"))&amp;"/"&amp;SUMPRODUCT(('Daily Checklist'!$D$2:$D$2000=$A17)*(TEXT('Daily Checklist'!$B$2:$B$2000,"yyyy-mm-dd")=TEXT(($B$4+1),"yyyy-mm-dd")))&amp;" ESC",SUMPRODUCT(('Daily Checklist'!$D$2:$D$2000=$A17)*(TEXT('Daily Checklist'!$B$2:$B$2000,"yyyy-mm-dd")=TEXT(($B$4+1),"yyyy-mm-dd"))*('Daily Checklist'!$F$2:$F$2000="Done"))&amp;"/"&amp;SUMPRODUCT(('Daily Checklist'!$D$2:$D$2000=$A17)*(TEXT('Daily Checklist'!$B$2:$B$2000,"yyyy-mm-dd")=TEXT(($B$4+1),"yyyy-mm-dd"))))))</f>
        <v>-</v>
      </c>
      <c r="D17" s="25" t="str">
        <f aca="false">IF($A17="","",IF(SUMPRODUCT(('Daily Checklist'!$D$2:$D$2000=$A17)*(TEXT('Daily Checklist'!$B$2:$B$2000,"yyyy-mm-dd")=TEXT(($B$4+2),"yyyy-mm-dd")))=0,"-",IF(SUMPRODUCT(('Daily Checklist'!$D$2:$D$2000=$A17)*(TEXT('Daily Checklist'!$B$2:$B$2000,"yyyy-mm-dd")=TEXT(($B$4+2),"yyyy-mm-dd"))*('Daily Checklist'!$L$2:$L$2000="Y"))&gt;0,SUMPRODUCT(('Daily Checklist'!$D$2:$D$2000=$A17)*(TEXT('Daily Checklist'!$B$2:$B$2000,"yyyy-mm-dd")=TEXT(($B$4+2),"yyyy-mm-dd"))*('Daily Checklist'!$F$2:$F$2000="Done"))&amp;"/"&amp;SUMPRODUCT(('Daily Checklist'!$D$2:$D$2000=$A17)*(TEXT('Daily Checklist'!$B$2:$B$2000,"yyyy-mm-dd")=TEXT(($B$4+2),"yyyy-mm-dd")))&amp;" ESC",SUMPRODUCT(('Daily Checklist'!$D$2:$D$2000=$A17)*(TEXT('Daily Checklist'!$B$2:$B$2000,"yyyy-mm-dd")=TEXT(($B$4+2),"yyyy-mm-dd"))*('Daily Checklist'!$F$2:$F$2000="Done"))&amp;"/"&amp;SUMPRODUCT(('Daily Checklist'!$D$2:$D$2000=$A17)*(TEXT('Daily Checklist'!$B$2:$B$2000,"yyyy-mm-dd")=TEXT(($B$4+2),"yyyy-mm-dd"))))))</f>
        <v>-</v>
      </c>
      <c r="E17" s="25" t="str">
        <f aca="false">IF($A17="","",IF(SUMPRODUCT(('Daily Checklist'!$D$2:$D$2000=$A17)*(TEXT('Daily Checklist'!$B$2:$B$2000,"yyyy-mm-dd")=TEXT(($B$4+3),"yyyy-mm-dd")))=0,"-",IF(SUMPRODUCT(('Daily Checklist'!$D$2:$D$2000=$A17)*(TEXT('Daily Checklist'!$B$2:$B$2000,"yyyy-mm-dd")=TEXT(($B$4+3),"yyyy-mm-dd"))*('Daily Checklist'!$L$2:$L$2000="Y"))&gt;0,SUMPRODUCT(('Daily Checklist'!$D$2:$D$2000=$A17)*(TEXT('Daily Checklist'!$B$2:$B$2000,"yyyy-mm-dd")=TEXT(($B$4+3),"yyyy-mm-dd"))*('Daily Checklist'!$F$2:$F$2000="Done"))&amp;"/"&amp;SUMPRODUCT(('Daily Checklist'!$D$2:$D$2000=$A17)*(TEXT('Daily Checklist'!$B$2:$B$2000,"yyyy-mm-dd")=TEXT(($B$4+3),"yyyy-mm-dd")))&amp;" ESC",SUMPRODUCT(('Daily Checklist'!$D$2:$D$2000=$A17)*(TEXT('Daily Checklist'!$B$2:$B$2000,"yyyy-mm-dd")=TEXT(($B$4+3),"yyyy-mm-dd"))*('Daily Checklist'!$F$2:$F$2000="Done"))&amp;"/"&amp;SUMPRODUCT(('Daily Checklist'!$D$2:$D$2000=$A17)*(TEXT('Daily Checklist'!$B$2:$B$2000,"yyyy-mm-dd")=TEXT(($B$4+3),"yyyy-mm-dd"))))))</f>
        <v>-</v>
      </c>
      <c r="F17" s="25" t="str">
        <f aca="false">IF($A17="","",IF(SUMPRODUCT(('Daily Checklist'!$D$2:$D$2000=$A17)*(TEXT('Daily Checklist'!$B$2:$B$2000,"yyyy-mm-dd")=TEXT(($B$4+4),"yyyy-mm-dd")))=0,"-",IF(SUMPRODUCT(('Daily Checklist'!$D$2:$D$2000=$A17)*(TEXT('Daily Checklist'!$B$2:$B$2000,"yyyy-mm-dd")=TEXT(($B$4+4),"yyyy-mm-dd"))*('Daily Checklist'!$L$2:$L$2000="Y"))&gt;0,SUMPRODUCT(('Daily Checklist'!$D$2:$D$2000=$A17)*(TEXT('Daily Checklist'!$B$2:$B$2000,"yyyy-mm-dd")=TEXT(($B$4+4),"yyyy-mm-dd"))*('Daily Checklist'!$F$2:$F$2000="Done"))&amp;"/"&amp;SUMPRODUCT(('Daily Checklist'!$D$2:$D$2000=$A17)*(TEXT('Daily Checklist'!$B$2:$B$2000,"yyyy-mm-dd")=TEXT(($B$4+4),"yyyy-mm-dd")))&amp;" ESC",SUMPRODUCT(('Daily Checklist'!$D$2:$D$2000=$A17)*(TEXT('Daily Checklist'!$B$2:$B$2000,"yyyy-mm-dd")=TEXT(($B$4+4),"yyyy-mm-dd"))*('Daily Checklist'!$F$2:$F$2000="Done"))&amp;"/"&amp;SUMPRODUCT(('Daily Checklist'!$D$2:$D$2000=$A17)*(TEXT('Daily Checklist'!$B$2:$B$2000,"yyyy-mm-dd")=TEXT(($B$4+4),"yyyy-mm-dd"))))))</f>
        <v>-</v>
      </c>
      <c r="G17" s="25" t="str">
        <f aca="false">IF($A17="","",IF(SUMPRODUCT(('Daily Checklist'!$D$2:$D$2000=$A17)*(TEXT('Daily Checklist'!$B$2:$B$2000,"yyyy-mm-dd")=TEXT(($B$4+5),"yyyy-mm-dd")))=0,"-",IF(SUMPRODUCT(('Daily Checklist'!$D$2:$D$2000=$A17)*(TEXT('Daily Checklist'!$B$2:$B$2000,"yyyy-mm-dd")=TEXT(($B$4+5),"yyyy-mm-dd"))*('Daily Checklist'!$L$2:$L$2000="Y"))&gt;0,SUMPRODUCT(('Daily Checklist'!$D$2:$D$2000=$A17)*(TEXT('Daily Checklist'!$B$2:$B$2000,"yyyy-mm-dd")=TEXT(($B$4+5),"yyyy-mm-dd"))*('Daily Checklist'!$F$2:$F$2000="Done"))&amp;"/"&amp;SUMPRODUCT(('Daily Checklist'!$D$2:$D$2000=$A17)*(TEXT('Daily Checklist'!$B$2:$B$2000,"yyyy-mm-dd")=TEXT(($B$4+5),"yyyy-mm-dd")))&amp;" ESC",SUMPRODUCT(('Daily Checklist'!$D$2:$D$2000=$A17)*(TEXT('Daily Checklist'!$B$2:$B$2000,"yyyy-mm-dd")=TEXT(($B$4+5),"yyyy-mm-dd"))*('Daily Checklist'!$F$2:$F$2000="Done"))&amp;"/"&amp;SUMPRODUCT(('Daily Checklist'!$D$2:$D$2000=$A17)*(TEXT('Daily Checklist'!$B$2:$B$2000,"yyyy-mm-dd")=TEXT(($B$4+5),"yyyy-mm-dd"))))))</f>
        <v>-</v>
      </c>
      <c r="H17" s="25" t="str">
        <f aca="false">IF($A17="","",IF(SUMPRODUCT(('Daily Checklist'!$D$2:$D$2000=$A17)*(TEXT('Daily Checklist'!$B$2:$B$2000,"yyyy-mm-dd")=TEXT(($B$4+6),"yyyy-mm-dd")))=0,"-",IF(SUMPRODUCT(('Daily Checklist'!$D$2:$D$2000=$A17)*(TEXT('Daily Checklist'!$B$2:$B$2000,"yyyy-mm-dd")=TEXT(($B$4+6),"yyyy-mm-dd"))*('Daily Checklist'!$L$2:$L$2000="Y"))&gt;0,SUMPRODUCT(('Daily Checklist'!$D$2:$D$2000=$A17)*(TEXT('Daily Checklist'!$B$2:$B$2000,"yyyy-mm-dd")=TEXT(($B$4+6),"yyyy-mm-dd"))*('Daily Checklist'!$F$2:$F$2000="Done"))&amp;"/"&amp;SUMPRODUCT(('Daily Checklist'!$D$2:$D$2000=$A17)*(TEXT('Daily Checklist'!$B$2:$B$2000,"yyyy-mm-dd")=TEXT(($B$4+6),"yyyy-mm-dd")))&amp;" ESC",SUMPRODUCT(('Daily Checklist'!$D$2:$D$2000=$A17)*(TEXT('Daily Checklist'!$B$2:$B$2000,"yyyy-mm-dd")=TEXT(($B$4+6),"yyyy-mm-dd"))*('Daily Checklist'!$F$2:$F$2000="Done"))&amp;"/"&amp;SUMPRODUCT(('Daily Checklist'!$D$2:$D$2000=$A17)*(TEXT('Daily Checklist'!$B$2:$B$2000,"yyyy-mm-dd")=TEXT(($B$4+6),"yyyy-mm-dd"))))))</f>
        <v>-</v>
      </c>
      <c r="I17" s="25" t="str">
        <f aca="false">IF($A17="","",IF(SUMPRODUCT(('Daily Checklist'!$D$2:$D$2000=$A17)*(TEXT('Daily Checklist'!$B$2:$B$2000,"yyyy-mm-dd")=TEXT(($B$4+7),"yyyy-mm-dd")))=0,"-",IF(SUMPRODUCT(('Daily Checklist'!$D$2:$D$2000=$A17)*(TEXT('Daily Checklist'!$B$2:$B$2000,"yyyy-mm-dd")=TEXT(($B$4+7),"yyyy-mm-dd"))*('Daily Checklist'!$L$2:$L$2000="Y"))&gt;0,SUMPRODUCT(('Daily Checklist'!$D$2:$D$2000=$A17)*(TEXT('Daily Checklist'!$B$2:$B$2000,"yyyy-mm-dd")=TEXT(($B$4+7),"yyyy-mm-dd"))*('Daily Checklist'!$F$2:$F$2000="Done"))&amp;"/"&amp;SUMPRODUCT(('Daily Checklist'!$D$2:$D$2000=$A17)*(TEXT('Daily Checklist'!$B$2:$B$2000,"yyyy-mm-dd")=TEXT(($B$4+7),"yyyy-mm-dd")))&amp;" ESC",SUMPRODUCT(('Daily Checklist'!$D$2:$D$2000=$A17)*(TEXT('Daily Checklist'!$B$2:$B$2000,"yyyy-mm-dd")=TEXT(($B$4+7),"yyyy-mm-dd"))*('Daily Checklist'!$F$2:$F$2000="Done"))&amp;"/"&amp;SUMPRODUCT(('Daily Checklist'!$D$2:$D$2000=$A17)*(TEXT('Daily Checklist'!$B$2:$B$2000,"yyyy-mm-dd")=TEXT(($B$4+7),"yyyy-mm-dd"))))))</f>
        <v>-</v>
      </c>
      <c r="J17" s="25" t="str">
        <f aca="false">IF($A17="","",IF(SUMPRODUCT(('Daily Checklist'!$D$2:$D$2000=$A17)*(TEXT('Daily Checklist'!$B$2:$B$2000,"yyyy-mm-dd")=TEXT(($B$4+8),"yyyy-mm-dd")))=0,"-",IF(SUMPRODUCT(('Daily Checklist'!$D$2:$D$2000=$A17)*(TEXT('Daily Checklist'!$B$2:$B$2000,"yyyy-mm-dd")=TEXT(($B$4+8),"yyyy-mm-dd"))*('Daily Checklist'!$L$2:$L$2000="Y"))&gt;0,SUMPRODUCT(('Daily Checklist'!$D$2:$D$2000=$A17)*(TEXT('Daily Checklist'!$B$2:$B$2000,"yyyy-mm-dd")=TEXT(($B$4+8),"yyyy-mm-dd"))*('Daily Checklist'!$F$2:$F$2000="Done"))&amp;"/"&amp;SUMPRODUCT(('Daily Checklist'!$D$2:$D$2000=$A17)*(TEXT('Daily Checklist'!$B$2:$B$2000,"yyyy-mm-dd")=TEXT(($B$4+8),"yyyy-mm-dd")))&amp;" ESC",SUMPRODUCT(('Daily Checklist'!$D$2:$D$2000=$A17)*(TEXT('Daily Checklist'!$B$2:$B$2000,"yyyy-mm-dd")=TEXT(($B$4+8),"yyyy-mm-dd"))*('Daily Checklist'!$F$2:$F$2000="Done"))&amp;"/"&amp;SUMPRODUCT(('Daily Checklist'!$D$2:$D$2000=$A17)*(TEXT('Daily Checklist'!$B$2:$B$2000,"yyyy-mm-dd")=TEXT(($B$4+8),"yyyy-mm-dd"))))))</f>
        <v>-</v>
      </c>
      <c r="K17" s="25" t="str">
        <f aca="false">IF($A17="","",IF(SUMPRODUCT(('Daily Checklist'!$D$2:$D$2000=$A17)*(TEXT('Daily Checklist'!$B$2:$B$2000,"yyyy-mm-dd")=TEXT(($B$4+9),"yyyy-mm-dd")))=0,"-",IF(SUMPRODUCT(('Daily Checklist'!$D$2:$D$2000=$A17)*(TEXT('Daily Checklist'!$B$2:$B$2000,"yyyy-mm-dd")=TEXT(($B$4+9),"yyyy-mm-dd"))*('Daily Checklist'!$L$2:$L$2000="Y"))&gt;0,SUMPRODUCT(('Daily Checklist'!$D$2:$D$2000=$A17)*(TEXT('Daily Checklist'!$B$2:$B$2000,"yyyy-mm-dd")=TEXT(($B$4+9),"yyyy-mm-dd"))*('Daily Checklist'!$F$2:$F$2000="Done"))&amp;"/"&amp;SUMPRODUCT(('Daily Checklist'!$D$2:$D$2000=$A17)*(TEXT('Daily Checklist'!$B$2:$B$2000,"yyyy-mm-dd")=TEXT(($B$4+9),"yyyy-mm-dd")))&amp;" ESC",SUMPRODUCT(('Daily Checklist'!$D$2:$D$2000=$A17)*(TEXT('Daily Checklist'!$B$2:$B$2000,"yyyy-mm-dd")=TEXT(($B$4+9),"yyyy-mm-dd"))*('Daily Checklist'!$F$2:$F$2000="Done"))&amp;"/"&amp;SUMPRODUCT(('Daily Checklist'!$D$2:$D$2000=$A17)*(TEXT('Daily Checklist'!$B$2:$B$2000,"yyyy-mm-dd")=TEXT(($B$4+9),"yyyy-mm-dd"))))))</f>
        <v>-</v>
      </c>
      <c r="L17" s="25" t="str">
        <f aca="false">IF($A17="","",IF(SUMPRODUCT(('Daily Checklist'!$D$2:$D$2000=$A17)*(TEXT('Daily Checklist'!$B$2:$B$2000,"yyyy-mm-dd")=TEXT(($B$4+10),"yyyy-mm-dd")))=0,"-",IF(SUMPRODUCT(('Daily Checklist'!$D$2:$D$2000=$A17)*(TEXT('Daily Checklist'!$B$2:$B$2000,"yyyy-mm-dd")=TEXT(($B$4+10),"yyyy-mm-dd"))*('Daily Checklist'!$L$2:$L$2000="Y"))&gt;0,SUMPRODUCT(('Daily Checklist'!$D$2:$D$2000=$A17)*(TEXT('Daily Checklist'!$B$2:$B$2000,"yyyy-mm-dd")=TEXT(($B$4+10),"yyyy-mm-dd"))*('Daily Checklist'!$F$2:$F$2000="Done"))&amp;"/"&amp;SUMPRODUCT(('Daily Checklist'!$D$2:$D$2000=$A17)*(TEXT('Daily Checklist'!$B$2:$B$2000,"yyyy-mm-dd")=TEXT(($B$4+10),"yyyy-mm-dd")))&amp;" ESC",SUMPRODUCT(('Daily Checklist'!$D$2:$D$2000=$A17)*(TEXT('Daily Checklist'!$B$2:$B$2000,"yyyy-mm-dd")=TEXT(($B$4+10),"yyyy-mm-dd"))*('Daily Checklist'!$F$2:$F$2000="Done"))&amp;"/"&amp;SUMPRODUCT(('Daily Checklist'!$D$2:$D$2000=$A17)*(TEXT('Daily Checklist'!$B$2:$B$2000,"yyyy-mm-dd")=TEXT(($B$4+10),"yyyy-mm-dd"))))))</f>
        <v>-</v>
      </c>
      <c r="M17" s="25" t="str">
        <f aca="false">IF($A17="","",IF(SUMPRODUCT(('Daily Checklist'!$D$2:$D$2000=$A17)*(TEXT('Daily Checklist'!$B$2:$B$2000,"yyyy-mm-dd")=TEXT(($B$4+11),"yyyy-mm-dd")))=0,"-",IF(SUMPRODUCT(('Daily Checklist'!$D$2:$D$2000=$A17)*(TEXT('Daily Checklist'!$B$2:$B$2000,"yyyy-mm-dd")=TEXT(($B$4+11),"yyyy-mm-dd"))*('Daily Checklist'!$L$2:$L$2000="Y"))&gt;0,SUMPRODUCT(('Daily Checklist'!$D$2:$D$2000=$A17)*(TEXT('Daily Checklist'!$B$2:$B$2000,"yyyy-mm-dd")=TEXT(($B$4+11),"yyyy-mm-dd"))*('Daily Checklist'!$F$2:$F$2000="Done"))&amp;"/"&amp;SUMPRODUCT(('Daily Checklist'!$D$2:$D$2000=$A17)*(TEXT('Daily Checklist'!$B$2:$B$2000,"yyyy-mm-dd")=TEXT(($B$4+11),"yyyy-mm-dd")))&amp;" ESC",SUMPRODUCT(('Daily Checklist'!$D$2:$D$2000=$A17)*(TEXT('Daily Checklist'!$B$2:$B$2000,"yyyy-mm-dd")=TEXT(($B$4+11),"yyyy-mm-dd"))*('Daily Checklist'!$F$2:$F$2000="Done"))&amp;"/"&amp;SUMPRODUCT(('Daily Checklist'!$D$2:$D$2000=$A17)*(TEXT('Daily Checklist'!$B$2:$B$2000,"yyyy-mm-dd")=TEXT(($B$4+11),"yyyy-mm-dd"))))))</f>
        <v>-</v>
      </c>
      <c r="N17" s="25" t="str">
        <f aca="false">IF($A17="","",IF(SUMPRODUCT(('Daily Checklist'!$D$2:$D$2000=$A17)*(TEXT('Daily Checklist'!$B$2:$B$2000,"yyyy-mm-dd")=TEXT(($B$4+12),"yyyy-mm-dd")))=0,"-",IF(SUMPRODUCT(('Daily Checklist'!$D$2:$D$2000=$A17)*(TEXT('Daily Checklist'!$B$2:$B$2000,"yyyy-mm-dd")=TEXT(($B$4+12),"yyyy-mm-dd"))*('Daily Checklist'!$L$2:$L$2000="Y"))&gt;0,SUMPRODUCT(('Daily Checklist'!$D$2:$D$2000=$A17)*(TEXT('Daily Checklist'!$B$2:$B$2000,"yyyy-mm-dd")=TEXT(($B$4+12),"yyyy-mm-dd"))*('Daily Checklist'!$F$2:$F$2000="Done"))&amp;"/"&amp;SUMPRODUCT(('Daily Checklist'!$D$2:$D$2000=$A17)*(TEXT('Daily Checklist'!$B$2:$B$2000,"yyyy-mm-dd")=TEXT(($B$4+12),"yyyy-mm-dd")))&amp;" ESC",SUMPRODUCT(('Daily Checklist'!$D$2:$D$2000=$A17)*(TEXT('Daily Checklist'!$B$2:$B$2000,"yyyy-mm-dd")=TEXT(($B$4+12),"yyyy-mm-dd"))*('Daily Checklist'!$F$2:$F$2000="Done"))&amp;"/"&amp;SUMPRODUCT(('Daily Checklist'!$D$2:$D$2000=$A17)*(TEXT('Daily Checklist'!$B$2:$B$2000,"yyyy-mm-dd")=TEXT(($B$4+12),"yyyy-mm-dd"))))))</f>
        <v>-</v>
      </c>
      <c r="O17" s="25" t="str">
        <f aca="false">IF($A17="","",IF(SUMPRODUCT(('Daily Checklist'!$D$2:$D$2000=$A17)*(TEXT('Daily Checklist'!$B$2:$B$2000,"yyyy-mm-dd")=TEXT(($B$4+13),"yyyy-mm-dd")))=0,"-",IF(SUMPRODUCT(('Daily Checklist'!$D$2:$D$2000=$A17)*(TEXT('Daily Checklist'!$B$2:$B$2000,"yyyy-mm-dd")=TEXT(($B$4+13),"yyyy-mm-dd"))*('Daily Checklist'!$L$2:$L$2000="Y"))&gt;0,SUMPRODUCT(('Daily Checklist'!$D$2:$D$2000=$A17)*(TEXT('Daily Checklist'!$B$2:$B$2000,"yyyy-mm-dd")=TEXT(($B$4+13),"yyyy-mm-dd"))*('Daily Checklist'!$F$2:$F$2000="Done"))&amp;"/"&amp;SUMPRODUCT(('Daily Checklist'!$D$2:$D$2000=$A17)*(TEXT('Daily Checklist'!$B$2:$B$2000,"yyyy-mm-dd")=TEXT(($B$4+13),"yyyy-mm-dd")))&amp;" ESC",SUMPRODUCT(('Daily Checklist'!$D$2:$D$2000=$A17)*(TEXT('Daily Checklist'!$B$2:$B$2000,"yyyy-mm-dd")=TEXT(($B$4+13),"yyyy-mm-dd"))*('Daily Checklist'!$F$2:$F$2000="Done"))&amp;"/"&amp;SUMPRODUCT(('Daily Checklist'!$D$2:$D$2000=$A17)*(TEXT('Daily Checklist'!$B$2:$B$2000,"yyyy-mm-dd")=TEXT(($B$4+13),"yyyy-mm-dd"))))))</f>
        <v>-</v>
      </c>
      <c r="P17" s="25" t="str">
        <f aca="false">IF($A17="","",IF(SUMPRODUCT(('Daily Checklist'!$D$2:$D$2000=$A17)*(TEXT('Daily Checklist'!$B$2:$B$2000,"yyyy-mm-dd")=TEXT(($B$4+14),"yyyy-mm-dd")))=0,"-",IF(SUMPRODUCT(('Daily Checklist'!$D$2:$D$2000=$A17)*(TEXT('Daily Checklist'!$B$2:$B$2000,"yyyy-mm-dd")=TEXT(($B$4+14),"yyyy-mm-dd"))*('Daily Checklist'!$L$2:$L$2000="Y"))&gt;0,SUMPRODUCT(('Daily Checklist'!$D$2:$D$2000=$A17)*(TEXT('Daily Checklist'!$B$2:$B$2000,"yyyy-mm-dd")=TEXT(($B$4+14),"yyyy-mm-dd"))*('Daily Checklist'!$F$2:$F$2000="Done"))&amp;"/"&amp;SUMPRODUCT(('Daily Checklist'!$D$2:$D$2000=$A17)*(TEXT('Daily Checklist'!$B$2:$B$2000,"yyyy-mm-dd")=TEXT(($B$4+14),"yyyy-mm-dd")))&amp;" ESC",SUMPRODUCT(('Daily Checklist'!$D$2:$D$2000=$A17)*(TEXT('Daily Checklist'!$B$2:$B$2000,"yyyy-mm-dd")=TEXT(($B$4+14),"yyyy-mm-dd"))*('Daily Checklist'!$F$2:$F$2000="Done"))&amp;"/"&amp;SUMPRODUCT(('Daily Checklist'!$D$2:$D$2000=$A17)*(TEXT('Daily Checklist'!$B$2:$B$2000,"yyyy-mm-dd")=TEXT(($B$4+14),"yyyy-mm-dd"))))))</f>
        <v>-</v>
      </c>
      <c r="Q17" s="25" t="str">
        <f aca="false">IF($A17="","",IF(SUMPRODUCT(('Daily Checklist'!$D$2:$D$2000=$A17)*(TEXT('Daily Checklist'!$B$2:$B$2000,"yyyy-mm-dd")=TEXT(($B$4+15),"yyyy-mm-dd")))=0,"-",IF(SUMPRODUCT(('Daily Checklist'!$D$2:$D$2000=$A17)*(TEXT('Daily Checklist'!$B$2:$B$2000,"yyyy-mm-dd")=TEXT(($B$4+15),"yyyy-mm-dd"))*('Daily Checklist'!$L$2:$L$2000="Y"))&gt;0,SUMPRODUCT(('Daily Checklist'!$D$2:$D$2000=$A17)*(TEXT('Daily Checklist'!$B$2:$B$2000,"yyyy-mm-dd")=TEXT(($B$4+15),"yyyy-mm-dd"))*('Daily Checklist'!$F$2:$F$2000="Done"))&amp;"/"&amp;SUMPRODUCT(('Daily Checklist'!$D$2:$D$2000=$A17)*(TEXT('Daily Checklist'!$B$2:$B$2000,"yyyy-mm-dd")=TEXT(($B$4+15),"yyyy-mm-dd")))&amp;" ESC",SUMPRODUCT(('Daily Checklist'!$D$2:$D$2000=$A17)*(TEXT('Daily Checklist'!$B$2:$B$2000,"yyyy-mm-dd")=TEXT(($B$4+15),"yyyy-mm-dd"))*('Daily Checklist'!$F$2:$F$2000="Done"))&amp;"/"&amp;SUMPRODUCT(('Daily Checklist'!$D$2:$D$2000=$A17)*(TEXT('Daily Checklist'!$B$2:$B$2000,"yyyy-mm-dd")=TEXT(($B$4+15),"yyyy-mm-dd"))))))</f>
        <v>-</v>
      </c>
      <c r="R17" s="25" t="str">
        <f aca="false">IF($A17="","",IF(SUMPRODUCT(('Daily Checklist'!$D$2:$D$2000=$A17)*(TEXT('Daily Checklist'!$B$2:$B$2000,"yyyy-mm-dd")=TEXT(($B$4+16),"yyyy-mm-dd")))=0,"-",IF(SUMPRODUCT(('Daily Checklist'!$D$2:$D$2000=$A17)*(TEXT('Daily Checklist'!$B$2:$B$2000,"yyyy-mm-dd")=TEXT(($B$4+16),"yyyy-mm-dd"))*('Daily Checklist'!$L$2:$L$2000="Y"))&gt;0,SUMPRODUCT(('Daily Checklist'!$D$2:$D$2000=$A17)*(TEXT('Daily Checklist'!$B$2:$B$2000,"yyyy-mm-dd")=TEXT(($B$4+16),"yyyy-mm-dd"))*('Daily Checklist'!$F$2:$F$2000="Done"))&amp;"/"&amp;SUMPRODUCT(('Daily Checklist'!$D$2:$D$2000=$A17)*(TEXT('Daily Checklist'!$B$2:$B$2000,"yyyy-mm-dd")=TEXT(($B$4+16),"yyyy-mm-dd")))&amp;" ESC",SUMPRODUCT(('Daily Checklist'!$D$2:$D$2000=$A17)*(TEXT('Daily Checklist'!$B$2:$B$2000,"yyyy-mm-dd")=TEXT(($B$4+16),"yyyy-mm-dd"))*('Daily Checklist'!$F$2:$F$2000="Done"))&amp;"/"&amp;SUMPRODUCT(('Daily Checklist'!$D$2:$D$2000=$A17)*(TEXT('Daily Checklist'!$B$2:$B$2000,"yyyy-mm-dd")=TEXT(($B$4+16),"yyyy-mm-dd"))))))</f>
        <v>-</v>
      </c>
      <c r="S17" s="25" t="str">
        <f aca="false">IF($A17="","",IF(SUMPRODUCT(('Daily Checklist'!$D$2:$D$2000=$A17)*(TEXT('Daily Checklist'!$B$2:$B$2000,"yyyy-mm-dd")=TEXT(($B$4+17),"yyyy-mm-dd")))=0,"-",IF(SUMPRODUCT(('Daily Checklist'!$D$2:$D$2000=$A17)*(TEXT('Daily Checklist'!$B$2:$B$2000,"yyyy-mm-dd")=TEXT(($B$4+17),"yyyy-mm-dd"))*('Daily Checklist'!$L$2:$L$2000="Y"))&gt;0,SUMPRODUCT(('Daily Checklist'!$D$2:$D$2000=$A17)*(TEXT('Daily Checklist'!$B$2:$B$2000,"yyyy-mm-dd")=TEXT(($B$4+17),"yyyy-mm-dd"))*('Daily Checklist'!$F$2:$F$2000="Done"))&amp;"/"&amp;SUMPRODUCT(('Daily Checklist'!$D$2:$D$2000=$A17)*(TEXT('Daily Checklist'!$B$2:$B$2000,"yyyy-mm-dd")=TEXT(($B$4+17),"yyyy-mm-dd")))&amp;" ESC",SUMPRODUCT(('Daily Checklist'!$D$2:$D$2000=$A17)*(TEXT('Daily Checklist'!$B$2:$B$2000,"yyyy-mm-dd")=TEXT(($B$4+17),"yyyy-mm-dd"))*('Daily Checklist'!$F$2:$F$2000="Done"))&amp;"/"&amp;SUMPRODUCT(('Daily Checklist'!$D$2:$D$2000=$A17)*(TEXT('Daily Checklist'!$B$2:$B$2000,"yyyy-mm-dd")=TEXT(($B$4+17),"yyyy-mm-dd"))))))</f>
        <v>-</v>
      </c>
      <c r="T17" s="25" t="str">
        <f aca="false">IF($A17="","",IF(SUMPRODUCT(('Daily Checklist'!$D$2:$D$2000=$A17)*(TEXT('Daily Checklist'!$B$2:$B$2000,"yyyy-mm-dd")=TEXT(($B$4+18),"yyyy-mm-dd")))=0,"-",IF(SUMPRODUCT(('Daily Checklist'!$D$2:$D$2000=$A17)*(TEXT('Daily Checklist'!$B$2:$B$2000,"yyyy-mm-dd")=TEXT(($B$4+18),"yyyy-mm-dd"))*('Daily Checklist'!$L$2:$L$2000="Y"))&gt;0,SUMPRODUCT(('Daily Checklist'!$D$2:$D$2000=$A17)*(TEXT('Daily Checklist'!$B$2:$B$2000,"yyyy-mm-dd")=TEXT(($B$4+18),"yyyy-mm-dd"))*('Daily Checklist'!$F$2:$F$2000="Done"))&amp;"/"&amp;SUMPRODUCT(('Daily Checklist'!$D$2:$D$2000=$A17)*(TEXT('Daily Checklist'!$B$2:$B$2000,"yyyy-mm-dd")=TEXT(($B$4+18),"yyyy-mm-dd")))&amp;" ESC",SUMPRODUCT(('Daily Checklist'!$D$2:$D$2000=$A17)*(TEXT('Daily Checklist'!$B$2:$B$2000,"yyyy-mm-dd")=TEXT(($B$4+18),"yyyy-mm-dd"))*('Daily Checklist'!$F$2:$F$2000="Done"))&amp;"/"&amp;SUMPRODUCT(('Daily Checklist'!$D$2:$D$2000=$A17)*(TEXT('Daily Checklist'!$B$2:$B$2000,"yyyy-mm-dd")=TEXT(($B$4+18),"yyyy-mm-dd"))))))</f>
        <v>-</v>
      </c>
      <c r="U17" s="25" t="str">
        <f aca="false">IF($A17="","",IF(SUMPRODUCT(('Daily Checklist'!$D$2:$D$2000=$A17)*(TEXT('Daily Checklist'!$B$2:$B$2000,"yyyy-mm-dd")=TEXT(($B$4+19),"yyyy-mm-dd")))=0,"-",IF(SUMPRODUCT(('Daily Checklist'!$D$2:$D$2000=$A17)*(TEXT('Daily Checklist'!$B$2:$B$2000,"yyyy-mm-dd")=TEXT(($B$4+19),"yyyy-mm-dd"))*('Daily Checklist'!$L$2:$L$2000="Y"))&gt;0,SUMPRODUCT(('Daily Checklist'!$D$2:$D$2000=$A17)*(TEXT('Daily Checklist'!$B$2:$B$2000,"yyyy-mm-dd")=TEXT(($B$4+19),"yyyy-mm-dd"))*('Daily Checklist'!$F$2:$F$2000="Done"))&amp;"/"&amp;SUMPRODUCT(('Daily Checklist'!$D$2:$D$2000=$A17)*(TEXT('Daily Checklist'!$B$2:$B$2000,"yyyy-mm-dd")=TEXT(($B$4+19),"yyyy-mm-dd")))&amp;" ESC",SUMPRODUCT(('Daily Checklist'!$D$2:$D$2000=$A17)*(TEXT('Daily Checklist'!$B$2:$B$2000,"yyyy-mm-dd")=TEXT(($B$4+19),"yyyy-mm-dd"))*('Daily Checklist'!$F$2:$F$2000="Done"))&amp;"/"&amp;SUMPRODUCT(('Daily Checklist'!$D$2:$D$2000=$A17)*(TEXT('Daily Checklist'!$B$2:$B$2000,"yyyy-mm-dd")=TEXT(($B$4+19),"yyyy-mm-dd"))))))</f>
        <v>-</v>
      </c>
      <c r="V17" s="25" t="str">
        <f aca="false">IF($A17="","",IF(SUMPRODUCT(('Daily Checklist'!$D$2:$D$2000=$A17)*(TEXT('Daily Checklist'!$B$2:$B$2000,"yyyy-mm-dd")=TEXT(($B$4+20),"yyyy-mm-dd")))=0,"-",IF(SUMPRODUCT(('Daily Checklist'!$D$2:$D$2000=$A17)*(TEXT('Daily Checklist'!$B$2:$B$2000,"yyyy-mm-dd")=TEXT(($B$4+20),"yyyy-mm-dd"))*('Daily Checklist'!$L$2:$L$2000="Y"))&gt;0,SUMPRODUCT(('Daily Checklist'!$D$2:$D$2000=$A17)*(TEXT('Daily Checklist'!$B$2:$B$2000,"yyyy-mm-dd")=TEXT(($B$4+20),"yyyy-mm-dd"))*('Daily Checklist'!$F$2:$F$2000="Done"))&amp;"/"&amp;SUMPRODUCT(('Daily Checklist'!$D$2:$D$2000=$A17)*(TEXT('Daily Checklist'!$B$2:$B$2000,"yyyy-mm-dd")=TEXT(($B$4+20),"yyyy-mm-dd")))&amp;" ESC",SUMPRODUCT(('Daily Checklist'!$D$2:$D$2000=$A17)*(TEXT('Daily Checklist'!$B$2:$B$2000,"yyyy-mm-dd")=TEXT(($B$4+20),"yyyy-mm-dd"))*('Daily Checklist'!$F$2:$F$2000="Done"))&amp;"/"&amp;SUMPRODUCT(('Daily Checklist'!$D$2:$D$2000=$A17)*(TEXT('Daily Checklist'!$B$2:$B$2000,"yyyy-mm-dd")=TEXT(($B$4+20),"yyyy-mm-dd"))))))</f>
        <v>-</v>
      </c>
      <c r="W17" s="25" t="str">
        <f aca="false">IF($A17="","",IF(SUMPRODUCT(('Daily Checklist'!$D$2:$D$2000=$A17)*(TEXT('Daily Checklist'!$B$2:$B$2000,"yyyy-mm-dd")=TEXT(($B$4+21),"yyyy-mm-dd")))=0,"-",IF(SUMPRODUCT(('Daily Checklist'!$D$2:$D$2000=$A17)*(TEXT('Daily Checklist'!$B$2:$B$2000,"yyyy-mm-dd")=TEXT(($B$4+21),"yyyy-mm-dd"))*('Daily Checklist'!$L$2:$L$2000="Y"))&gt;0,SUMPRODUCT(('Daily Checklist'!$D$2:$D$2000=$A17)*(TEXT('Daily Checklist'!$B$2:$B$2000,"yyyy-mm-dd")=TEXT(($B$4+21),"yyyy-mm-dd"))*('Daily Checklist'!$F$2:$F$2000="Done"))&amp;"/"&amp;SUMPRODUCT(('Daily Checklist'!$D$2:$D$2000=$A17)*(TEXT('Daily Checklist'!$B$2:$B$2000,"yyyy-mm-dd")=TEXT(($B$4+21),"yyyy-mm-dd")))&amp;" ESC",SUMPRODUCT(('Daily Checklist'!$D$2:$D$2000=$A17)*(TEXT('Daily Checklist'!$B$2:$B$2000,"yyyy-mm-dd")=TEXT(($B$4+21),"yyyy-mm-dd"))*('Daily Checklist'!$F$2:$F$2000="Done"))&amp;"/"&amp;SUMPRODUCT(('Daily Checklist'!$D$2:$D$2000=$A17)*(TEXT('Daily Checklist'!$B$2:$B$2000,"yyyy-mm-dd")=TEXT(($B$4+21),"yyyy-mm-dd"))))))</f>
        <v>-</v>
      </c>
      <c r="X17" s="25" t="str">
        <f aca="false">IF($A17="","",IF(SUMPRODUCT(('Daily Checklist'!$D$2:$D$2000=$A17)*(TEXT('Daily Checklist'!$B$2:$B$2000,"yyyy-mm-dd")=TEXT(($B$4+22),"yyyy-mm-dd")))=0,"-",IF(SUMPRODUCT(('Daily Checklist'!$D$2:$D$2000=$A17)*(TEXT('Daily Checklist'!$B$2:$B$2000,"yyyy-mm-dd")=TEXT(($B$4+22),"yyyy-mm-dd"))*('Daily Checklist'!$L$2:$L$2000="Y"))&gt;0,SUMPRODUCT(('Daily Checklist'!$D$2:$D$2000=$A17)*(TEXT('Daily Checklist'!$B$2:$B$2000,"yyyy-mm-dd")=TEXT(($B$4+22),"yyyy-mm-dd"))*('Daily Checklist'!$F$2:$F$2000="Done"))&amp;"/"&amp;SUMPRODUCT(('Daily Checklist'!$D$2:$D$2000=$A17)*(TEXT('Daily Checklist'!$B$2:$B$2000,"yyyy-mm-dd")=TEXT(($B$4+22),"yyyy-mm-dd")))&amp;" ESC",SUMPRODUCT(('Daily Checklist'!$D$2:$D$2000=$A17)*(TEXT('Daily Checklist'!$B$2:$B$2000,"yyyy-mm-dd")=TEXT(($B$4+22),"yyyy-mm-dd"))*('Daily Checklist'!$F$2:$F$2000="Done"))&amp;"/"&amp;SUMPRODUCT(('Daily Checklist'!$D$2:$D$2000=$A17)*(TEXT('Daily Checklist'!$B$2:$B$2000,"yyyy-mm-dd")=TEXT(($B$4+22),"yyyy-mm-dd"))))))</f>
        <v>-</v>
      </c>
      <c r="Y17" s="25" t="str">
        <f aca="false">IF($A17="","",IF(SUMPRODUCT(('Daily Checklist'!$D$2:$D$2000=$A17)*(TEXT('Daily Checklist'!$B$2:$B$2000,"yyyy-mm-dd")=TEXT(($B$4+23),"yyyy-mm-dd")))=0,"-",IF(SUMPRODUCT(('Daily Checklist'!$D$2:$D$2000=$A17)*(TEXT('Daily Checklist'!$B$2:$B$2000,"yyyy-mm-dd")=TEXT(($B$4+23),"yyyy-mm-dd"))*('Daily Checklist'!$L$2:$L$2000="Y"))&gt;0,SUMPRODUCT(('Daily Checklist'!$D$2:$D$2000=$A17)*(TEXT('Daily Checklist'!$B$2:$B$2000,"yyyy-mm-dd")=TEXT(($B$4+23),"yyyy-mm-dd"))*('Daily Checklist'!$F$2:$F$2000="Done"))&amp;"/"&amp;SUMPRODUCT(('Daily Checklist'!$D$2:$D$2000=$A17)*(TEXT('Daily Checklist'!$B$2:$B$2000,"yyyy-mm-dd")=TEXT(($B$4+23),"yyyy-mm-dd")))&amp;" ESC",SUMPRODUCT(('Daily Checklist'!$D$2:$D$2000=$A17)*(TEXT('Daily Checklist'!$B$2:$B$2000,"yyyy-mm-dd")=TEXT(($B$4+23),"yyyy-mm-dd"))*('Daily Checklist'!$F$2:$F$2000="Done"))&amp;"/"&amp;SUMPRODUCT(('Daily Checklist'!$D$2:$D$2000=$A17)*(TEXT('Daily Checklist'!$B$2:$B$2000,"yyyy-mm-dd")=TEXT(($B$4+23),"yyyy-mm-dd"))))))</f>
        <v>-</v>
      </c>
      <c r="Z17" s="25" t="str">
        <f aca="false">IF($A17="","",IF(SUMPRODUCT(('Daily Checklist'!$D$2:$D$2000=$A17)*(TEXT('Daily Checklist'!$B$2:$B$2000,"yyyy-mm-dd")=TEXT(($B$4+24),"yyyy-mm-dd")))=0,"-",IF(SUMPRODUCT(('Daily Checklist'!$D$2:$D$2000=$A17)*(TEXT('Daily Checklist'!$B$2:$B$2000,"yyyy-mm-dd")=TEXT(($B$4+24),"yyyy-mm-dd"))*('Daily Checklist'!$L$2:$L$2000="Y"))&gt;0,SUMPRODUCT(('Daily Checklist'!$D$2:$D$2000=$A17)*(TEXT('Daily Checklist'!$B$2:$B$2000,"yyyy-mm-dd")=TEXT(($B$4+24),"yyyy-mm-dd"))*('Daily Checklist'!$F$2:$F$2000="Done"))&amp;"/"&amp;SUMPRODUCT(('Daily Checklist'!$D$2:$D$2000=$A17)*(TEXT('Daily Checklist'!$B$2:$B$2000,"yyyy-mm-dd")=TEXT(($B$4+24),"yyyy-mm-dd")))&amp;" ESC",SUMPRODUCT(('Daily Checklist'!$D$2:$D$2000=$A17)*(TEXT('Daily Checklist'!$B$2:$B$2000,"yyyy-mm-dd")=TEXT(($B$4+24),"yyyy-mm-dd"))*('Daily Checklist'!$F$2:$F$2000="Done"))&amp;"/"&amp;SUMPRODUCT(('Daily Checklist'!$D$2:$D$2000=$A17)*(TEXT('Daily Checklist'!$B$2:$B$2000,"yyyy-mm-dd")=TEXT(($B$4+24),"yyyy-mm-dd"))))))</f>
        <v>-</v>
      </c>
      <c r="AA17" s="25" t="str">
        <f aca="false">IF($A17="","",IF(SUMPRODUCT(('Daily Checklist'!$D$2:$D$2000=$A17)*(TEXT('Daily Checklist'!$B$2:$B$2000,"yyyy-mm-dd")=TEXT(($B$4+25),"yyyy-mm-dd")))=0,"-",IF(SUMPRODUCT(('Daily Checklist'!$D$2:$D$2000=$A17)*(TEXT('Daily Checklist'!$B$2:$B$2000,"yyyy-mm-dd")=TEXT(($B$4+25),"yyyy-mm-dd"))*('Daily Checklist'!$L$2:$L$2000="Y"))&gt;0,SUMPRODUCT(('Daily Checklist'!$D$2:$D$2000=$A17)*(TEXT('Daily Checklist'!$B$2:$B$2000,"yyyy-mm-dd")=TEXT(($B$4+25),"yyyy-mm-dd"))*('Daily Checklist'!$F$2:$F$2000="Done"))&amp;"/"&amp;SUMPRODUCT(('Daily Checklist'!$D$2:$D$2000=$A17)*(TEXT('Daily Checklist'!$B$2:$B$2000,"yyyy-mm-dd")=TEXT(($B$4+25),"yyyy-mm-dd")))&amp;" ESC",SUMPRODUCT(('Daily Checklist'!$D$2:$D$2000=$A17)*(TEXT('Daily Checklist'!$B$2:$B$2000,"yyyy-mm-dd")=TEXT(($B$4+25),"yyyy-mm-dd"))*('Daily Checklist'!$F$2:$F$2000="Done"))&amp;"/"&amp;SUMPRODUCT(('Daily Checklist'!$D$2:$D$2000=$A17)*(TEXT('Daily Checklist'!$B$2:$B$2000,"yyyy-mm-dd")=TEXT(($B$4+25),"yyyy-mm-dd"))))))</f>
        <v>-</v>
      </c>
      <c r="AB17" s="25" t="str">
        <f aca="false">IF($A17="","",IF(SUMPRODUCT(('Daily Checklist'!$D$2:$D$2000=$A17)*(TEXT('Daily Checklist'!$B$2:$B$2000,"yyyy-mm-dd")=TEXT(($B$4+26),"yyyy-mm-dd")))=0,"-",IF(SUMPRODUCT(('Daily Checklist'!$D$2:$D$2000=$A17)*(TEXT('Daily Checklist'!$B$2:$B$2000,"yyyy-mm-dd")=TEXT(($B$4+26),"yyyy-mm-dd"))*('Daily Checklist'!$L$2:$L$2000="Y"))&gt;0,SUMPRODUCT(('Daily Checklist'!$D$2:$D$2000=$A17)*(TEXT('Daily Checklist'!$B$2:$B$2000,"yyyy-mm-dd")=TEXT(($B$4+26),"yyyy-mm-dd"))*('Daily Checklist'!$F$2:$F$2000="Done"))&amp;"/"&amp;SUMPRODUCT(('Daily Checklist'!$D$2:$D$2000=$A17)*(TEXT('Daily Checklist'!$B$2:$B$2000,"yyyy-mm-dd")=TEXT(($B$4+26),"yyyy-mm-dd")))&amp;" ESC",SUMPRODUCT(('Daily Checklist'!$D$2:$D$2000=$A17)*(TEXT('Daily Checklist'!$B$2:$B$2000,"yyyy-mm-dd")=TEXT(($B$4+26),"yyyy-mm-dd"))*('Daily Checklist'!$F$2:$F$2000="Done"))&amp;"/"&amp;SUMPRODUCT(('Daily Checklist'!$D$2:$D$2000=$A17)*(TEXT('Daily Checklist'!$B$2:$B$2000,"yyyy-mm-dd")=TEXT(($B$4+26),"yyyy-mm-dd"))))))</f>
        <v>-</v>
      </c>
      <c r="AC17" s="25" t="str">
        <f aca="false">IF($A17="","",IF(SUMPRODUCT(('Daily Checklist'!$D$2:$D$2000=$A17)*(TEXT('Daily Checklist'!$B$2:$B$2000,"yyyy-mm-dd")=TEXT(($B$4+27),"yyyy-mm-dd")))=0,"-",IF(SUMPRODUCT(('Daily Checklist'!$D$2:$D$2000=$A17)*(TEXT('Daily Checklist'!$B$2:$B$2000,"yyyy-mm-dd")=TEXT(($B$4+27),"yyyy-mm-dd"))*('Daily Checklist'!$L$2:$L$2000="Y"))&gt;0,SUMPRODUCT(('Daily Checklist'!$D$2:$D$2000=$A17)*(TEXT('Daily Checklist'!$B$2:$B$2000,"yyyy-mm-dd")=TEXT(($B$4+27),"yyyy-mm-dd"))*('Daily Checklist'!$F$2:$F$2000="Done"))&amp;"/"&amp;SUMPRODUCT(('Daily Checklist'!$D$2:$D$2000=$A17)*(TEXT('Daily Checklist'!$B$2:$B$2000,"yyyy-mm-dd")=TEXT(($B$4+27),"yyyy-mm-dd")))&amp;" ESC",SUMPRODUCT(('Daily Checklist'!$D$2:$D$2000=$A17)*(TEXT('Daily Checklist'!$B$2:$B$2000,"yyyy-mm-dd")=TEXT(($B$4+27),"yyyy-mm-dd"))*('Daily Checklist'!$F$2:$F$2000="Done"))&amp;"/"&amp;SUMPRODUCT(('Daily Checklist'!$D$2:$D$2000=$A17)*(TEXT('Daily Checklist'!$B$2:$B$2000,"yyyy-mm-dd")=TEXT(($B$4+27),"yyyy-mm-dd"))))))</f>
        <v>-</v>
      </c>
      <c r="AD17" s="25" t="str">
        <f aca="false">IF($A17="","",IF(SUMPRODUCT(('Daily Checklist'!$D$2:$D$2000=$A17)*(TEXT('Daily Checklist'!$B$2:$B$2000,"yyyy-mm-dd")=TEXT(($B$4+28),"yyyy-mm-dd")))=0,"-",IF(SUMPRODUCT(('Daily Checklist'!$D$2:$D$2000=$A17)*(TEXT('Daily Checklist'!$B$2:$B$2000,"yyyy-mm-dd")=TEXT(($B$4+28),"yyyy-mm-dd"))*('Daily Checklist'!$L$2:$L$2000="Y"))&gt;0,SUMPRODUCT(('Daily Checklist'!$D$2:$D$2000=$A17)*(TEXT('Daily Checklist'!$B$2:$B$2000,"yyyy-mm-dd")=TEXT(($B$4+28),"yyyy-mm-dd"))*('Daily Checklist'!$F$2:$F$2000="Done"))&amp;"/"&amp;SUMPRODUCT(('Daily Checklist'!$D$2:$D$2000=$A17)*(TEXT('Daily Checklist'!$B$2:$B$2000,"yyyy-mm-dd")=TEXT(($B$4+28),"yyyy-mm-dd")))&amp;" ESC",SUMPRODUCT(('Daily Checklist'!$D$2:$D$2000=$A17)*(TEXT('Daily Checklist'!$B$2:$B$2000,"yyyy-mm-dd")=TEXT(($B$4+28),"yyyy-mm-dd"))*('Daily Checklist'!$F$2:$F$2000="Done"))&amp;"/"&amp;SUMPRODUCT(('Daily Checklist'!$D$2:$D$2000=$A17)*(TEXT('Daily Checklist'!$B$2:$B$2000,"yyyy-mm-dd")=TEXT(($B$4+28),"yyyy-mm-dd"))))))</f>
        <v>-</v>
      </c>
      <c r="AE17" s="25" t="str">
        <f aca="false">IF($A17="","",IF(SUMPRODUCT(('Daily Checklist'!$D$2:$D$2000=$A17)*(TEXT('Daily Checklist'!$B$2:$B$2000,"yyyy-mm-dd")=TEXT(($B$4+29),"yyyy-mm-dd")))=0,"-",IF(SUMPRODUCT(('Daily Checklist'!$D$2:$D$2000=$A17)*(TEXT('Daily Checklist'!$B$2:$B$2000,"yyyy-mm-dd")=TEXT(($B$4+29),"yyyy-mm-dd"))*('Daily Checklist'!$L$2:$L$2000="Y"))&gt;0,SUMPRODUCT(('Daily Checklist'!$D$2:$D$2000=$A17)*(TEXT('Daily Checklist'!$B$2:$B$2000,"yyyy-mm-dd")=TEXT(($B$4+29),"yyyy-mm-dd"))*('Daily Checklist'!$F$2:$F$2000="Done"))&amp;"/"&amp;SUMPRODUCT(('Daily Checklist'!$D$2:$D$2000=$A17)*(TEXT('Daily Checklist'!$B$2:$B$2000,"yyyy-mm-dd")=TEXT(($B$4+29),"yyyy-mm-dd")))&amp;" ESC",SUMPRODUCT(('Daily Checklist'!$D$2:$D$2000=$A17)*(TEXT('Daily Checklist'!$B$2:$B$2000,"yyyy-mm-dd")=TEXT(($B$4+29),"yyyy-mm-dd"))*('Daily Checklist'!$F$2:$F$2000="Done"))&amp;"/"&amp;SUMPRODUCT(('Daily Checklist'!$D$2:$D$2000=$A17)*(TEXT('Daily Checklist'!$B$2:$B$2000,"yyyy-mm-dd")=TEXT(($B$4+29),"yyyy-mm-dd"))))))</f>
        <v>-</v>
      </c>
      <c r="AF17" s="25" t="str">
        <f aca="false">IF($A17="","",IF(SUMPRODUCT(('Daily Checklist'!$D$2:$D$2000=$A17)*(TEXT('Daily Checklist'!$B$2:$B$2000,"yyyy-mm-dd")=TEXT(($B$4+30),"yyyy-mm-dd")))=0,"-",IF(SUMPRODUCT(('Daily Checklist'!$D$2:$D$2000=$A17)*(TEXT('Daily Checklist'!$B$2:$B$2000,"yyyy-mm-dd")=TEXT(($B$4+30),"yyyy-mm-dd"))*('Daily Checklist'!$L$2:$L$2000="Y"))&gt;0,SUMPRODUCT(('Daily Checklist'!$D$2:$D$2000=$A17)*(TEXT('Daily Checklist'!$B$2:$B$2000,"yyyy-mm-dd")=TEXT(($B$4+30),"yyyy-mm-dd"))*('Daily Checklist'!$F$2:$F$2000="Done"))&amp;"/"&amp;SUMPRODUCT(('Daily Checklist'!$D$2:$D$2000=$A17)*(TEXT('Daily Checklist'!$B$2:$B$2000,"yyyy-mm-dd")=TEXT(($B$4+30),"yyyy-mm-dd")))&amp;" ESC",SUMPRODUCT(('Daily Checklist'!$D$2:$D$2000=$A17)*(TEXT('Daily Checklist'!$B$2:$B$2000,"yyyy-mm-dd")=TEXT(($B$4+30),"yyyy-mm-dd"))*('Daily Checklist'!$F$2:$F$2000="Done"))&amp;"/"&amp;SUMPRODUCT(('Daily Checklist'!$D$2:$D$2000=$A17)*(TEXT('Daily Checklist'!$B$2:$B$2000,"yyyy-mm-dd")=TEXT(($B$4+30),"yyyy-mm-dd"))))))</f>
        <v>-</v>
      </c>
    </row>
    <row r="18" customFormat="false" ht="15" hidden="false" customHeight="true" outlineLevel="0" collapsed="false">
      <c r="A18" s="24" t="str">
        <f aca="false">IFERROR(IF(Employees!A13="","",Employees!A13),"")</f>
        <v>Shahin Sheikh</v>
      </c>
      <c r="B18" s="25" t="str">
        <f aca="false">IF($A18="","",IF(SUMPRODUCT(('Daily Checklist'!$D$2:$D$2000=$A18)*(TEXT('Daily Checklist'!$B$2:$B$2000,"yyyy-mm-dd")=TEXT(($B$4+0),"yyyy-mm-dd")))=0,"-",IF(SUMPRODUCT(('Daily Checklist'!$D$2:$D$2000=$A18)*(TEXT('Daily Checklist'!$B$2:$B$2000,"yyyy-mm-dd")=TEXT(($B$4+0),"yyyy-mm-dd"))*('Daily Checklist'!$L$2:$L$2000="Y"))&gt;0,SUMPRODUCT(('Daily Checklist'!$D$2:$D$2000=$A18)*(TEXT('Daily Checklist'!$B$2:$B$2000,"yyyy-mm-dd")=TEXT(($B$4+0),"yyyy-mm-dd"))*('Daily Checklist'!$F$2:$F$2000="Done"))&amp;"/"&amp;SUMPRODUCT(('Daily Checklist'!$D$2:$D$2000=$A18)*(TEXT('Daily Checklist'!$B$2:$B$2000,"yyyy-mm-dd")=TEXT(($B$4+0),"yyyy-mm-dd")))&amp;" ESC",SUMPRODUCT(('Daily Checklist'!$D$2:$D$2000=$A18)*(TEXT('Daily Checklist'!$B$2:$B$2000,"yyyy-mm-dd")=TEXT(($B$4+0),"yyyy-mm-dd"))*('Daily Checklist'!$F$2:$F$2000="Done"))&amp;"/"&amp;SUMPRODUCT(('Daily Checklist'!$D$2:$D$2000=$A18)*(TEXT('Daily Checklist'!$B$2:$B$2000,"yyyy-mm-dd")=TEXT(($B$4+0),"yyyy-mm-dd"))))))</f>
        <v>-</v>
      </c>
      <c r="C18" s="25" t="str">
        <f aca="false">IF($A18="","",IF(SUMPRODUCT(('Daily Checklist'!$D$2:$D$2000=$A18)*(TEXT('Daily Checklist'!$B$2:$B$2000,"yyyy-mm-dd")=TEXT(($B$4+1),"yyyy-mm-dd")))=0,"-",IF(SUMPRODUCT(('Daily Checklist'!$D$2:$D$2000=$A18)*(TEXT('Daily Checklist'!$B$2:$B$2000,"yyyy-mm-dd")=TEXT(($B$4+1),"yyyy-mm-dd"))*('Daily Checklist'!$L$2:$L$2000="Y"))&gt;0,SUMPRODUCT(('Daily Checklist'!$D$2:$D$2000=$A18)*(TEXT('Daily Checklist'!$B$2:$B$2000,"yyyy-mm-dd")=TEXT(($B$4+1),"yyyy-mm-dd"))*('Daily Checklist'!$F$2:$F$2000="Done"))&amp;"/"&amp;SUMPRODUCT(('Daily Checklist'!$D$2:$D$2000=$A18)*(TEXT('Daily Checklist'!$B$2:$B$2000,"yyyy-mm-dd")=TEXT(($B$4+1),"yyyy-mm-dd")))&amp;" ESC",SUMPRODUCT(('Daily Checklist'!$D$2:$D$2000=$A18)*(TEXT('Daily Checklist'!$B$2:$B$2000,"yyyy-mm-dd")=TEXT(($B$4+1),"yyyy-mm-dd"))*('Daily Checklist'!$F$2:$F$2000="Done"))&amp;"/"&amp;SUMPRODUCT(('Daily Checklist'!$D$2:$D$2000=$A18)*(TEXT('Daily Checklist'!$B$2:$B$2000,"yyyy-mm-dd")=TEXT(($B$4+1),"yyyy-mm-dd"))))))</f>
        <v>-</v>
      </c>
      <c r="D18" s="25" t="str">
        <f aca="false">IF($A18="","",IF(SUMPRODUCT(('Daily Checklist'!$D$2:$D$2000=$A18)*(TEXT('Daily Checklist'!$B$2:$B$2000,"yyyy-mm-dd")=TEXT(($B$4+2),"yyyy-mm-dd")))=0,"-",IF(SUMPRODUCT(('Daily Checklist'!$D$2:$D$2000=$A18)*(TEXT('Daily Checklist'!$B$2:$B$2000,"yyyy-mm-dd")=TEXT(($B$4+2),"yyyy-mm-dd"))*('Daily Checklist'!$L$2:$L$2000="Y"))&gt;0,SUMPRODUCT(('Daily Checklist'!$D$2:$D$2000=$A18)*(TEXT('Daily Checklist'!$B$2:$B$2000,"yyyy-mm-dd")=TEXT(($B$4+2),"yyyy-mm-dd"))*('Daily Checklist'!$F$2:$F$2000="Done"))&amp;"/"&amp;SUMPRODUCT(('Daily Checklist'!$D$2:$D$2000=$A18)*(TEXT('Daily Checklist'!$B$2:$B$2000,"yyyy-mm-dd")=TEXT(($B$4+2),"yyyy-mm-dd")))&amp;" ESC",SUMPRODUCT(('Daily Checklist'!$D$2:$D$2000=$A18)*(TEXT('Daily Checklist'!$B$2:$B$2000,"yyyy-mm-dd")=TEXT(($B$4+2),"yyyy-mm-dd"))*('Daily Checklist'!$F$2:$F$2000="Done"))&amp;"/"&amp;SUMPRODUCT(('Daily Checklist'!$D$2:$D$2000=$A18)*(TEXT('Daily Checklist'!$B$2:$B$2000,"yyyy-mm-dd")=TEXT(($B$4+2),"yyyy-mm-dd"))))))</f>
        <v>-</v>
      </c>
      <c r="E18" s="25" t="str">
        <f aca="false">IF($A18="","",IF(SUMPRODUCT(('Daily Checklist'!$D$2:$D$2000=$A18)*(TEXT('Daily Checklist'!$B$2:$B$2000,"yyyy-mm-dd")=TEXT(($B$4+3),"yyyy-mm-dd")))=0,"-",IF(SUMPRODUCT(('Daily Checklist'!$D$2:$D$2000=$A18)*(TEXT('Daily Checklist'!$B$2:$B$2000,"yyyy-mm-dd")=TEXT(($B$4+3),"yyyy-mm-dd"))*('Daily Checklist'!$L$2:$L$2000="Y"))&gt;0,SUMPRODUCT(('Daily Checklist'!$D$2:$D$2000=$A18)*(TEXT('Daily Checklist'!$B$2:$B$2000,"yyyy-mm-dd")=TEXT(($B$4+3),"yyyy-mm-dd"))*('Daily Checklist'!$F$2:$F$2000="Done"))&amp;"/"&amp;SUMPRODUCT(('Daily Checklist'!$D$2:$D$2000=$A18)*(TEXT('Daily Checklist'!$B$2:$B$2000,"yyyy-mm-dd")=TEXT(($B$4+3),"yyyy-mm-dd")))&amp;" ESC",SUMPRODUCT(('Daily Checklist'!$D$2:$D$2000=$A18)*(TEXT('Daily Checklist'!$B$2:$B$2000,"yyyy-mm-dd")=TEXT(($B$4+3),"yyyy-mm-dd"))*('Daily Checklist'!$F$2:$F$2000="Done"))&amp;"/"&amp;SUMPRODUCT(('Daily Checklist'!$D$2:$D$2000=$A18)*(TEXT('Daily Checklist'!$B$2:$B$2000,"yyyy-mm-dd")=TEXT(($B$4+3),"yyyy-mm-dd"))))))</f>
        <v>-</v>
      </c>
      <c r="F18" s="25" t="str">
        <f aca="false">IF($A18="","",IF(SUMPRODUCT(('Daily Checklist'!$D$2:$D$2000=$A18)*(TEXT('Daily Checklist'!$B$2:$B$2000,"yyyy-mm-dd")=TEXT(($B$4+4),"yyyy-mm-dd")))=0,"-",IF(SUMPRODUCT(('Daily Checklist'!$D$2:$D$2000=$A18)*(TEXT('Daily Checklist'!$B$2:$B$2000,"yyyy-mm-dd")=TEXT(($B$4+4),"yyyy-mm-dd"))*('Daily Checklist'!$L$2:$L$2000="Y"))&gt;0,SUMPRODUCT(('Daily Checklist'!$D$2:$D$2000=$A18)*(TEXT('Daily Checklist'!$B$2:$B$2000,"yyyy-mm-dd")=TEXT(($B$4+4),"yyyy-mm-dd"))*('Daily Checklist'!$F$2:$F$2000="Done"))&amp;"/"&amp;SUMPRODUCT(('Daily Checklist'!$D$2:$D$2000=$A18)*(TEXT('Daily Checklist'!$B$2:$B$2000,"yyyy-mm-dd")=TEXT(($B$4+4),"yyyy-mm-dd")))&amp;" ESC",SUMPRODUCT(('Daily Checklist'!$D$2:$D$2000=$A18)*(TEXT('Daily Checklist'!$B$2:$B$2000,"yyyy-mm-dd")=TEXT(($B$4+4),"yyyy-mm-dd"))*('Daily Checklist'!$F$2:$F$2000="Done"))&amp;"/"&amp;SUMPRODUCT(('Daily Checklist'!$D$2:$D$2000=$A18)*(TEXT('Daily Checklist'!$B$2:$B$2000,"yyyy-mm-dd")=TEXT(($B$4+4),"yyyy-mm-dd"))))))</f>
        <v>-</v>
      </c>
      <c r="G18" s="25" t="str">
        <f aca="false">IF($A18="","",IF(SUMPRODUCT(('Daily Checklist'!$D$2:$D$2000=$A18)*(TEXT('Daily Checklist'!$B$2:$B$2000,"yyyy-mm-dd")=TEXT(($B$4+5),"yyyy-mm-dd")))=0,"-",IF(SUMPRODUCT(('Daily Checklist'!$D$2:$D$2000=$A18)*(TEXT('Daily Checklist'!$B$2:$B$2000,"yyyy-mm-dd")=TEXT(($B$4+5),"yyyy-mm-dd"))*('Daily Checklist'!$L$2:$L$2000="Y"))&gt;0,SUMPRODUCT(('Daily Checklist'!$D$2:$D$2000=$A18)*(TEXT('Daily Checklist'!$B$2:$B$2000,"yyyy-mm-dd")=TEXT(($B$4+5),"yyyy-mm-dd"))*('Daily Checklist'!$F$2:$F$2000="Done"))&amp;"/"&amp;SUMPRODUCT(('Daily Checklist'!$D$2:$D$2000=$A18)*(TEXT('Daily Checklist'!$B$2:$B$2000,"yyyy-mm-dd")=TEXT(($B$4+5),"yyyy-mm-dd")))&amp;" ESC",SUMPRODUCT(('Daily Checklist'!$D$2:$D$2000=$A18)*(TEXT('Daily Checklist'!$B$2:$B$2000,"yyyy-mm-dd")=TEXT(($B$4+5),"yyyy-mm-dd"))*('Daily Checklist'!$F$2:$F$2000="Done"))&amp;"/"&amp;SUMPRODUCT(('Daily Checklist'!$D$2:$D$2000=$A18)*(TEXT('Daily Checklist'!$B$2:$B$2000,"yyyy-mm-dd")=TEXT(($B$4+5),"yyyy-mm-dd"))))))</f>
        <v>-</v>
      </c>
      <c r="H18" s="25" t="str">
        <f aca="false">IF($A18="","",IF(SUMPRODUCT(('Daily Checklist'!$D$2:$D$2000=$A18)*(TEXT('Daily Checklist'!$B$2:$B$2000,"yyyy-mm-dd")=TEXT(($B$4+6),"yyyy-mm-dd")))=0,"-",IF(SUMPRODUCT(('Daily Checklist'!$D$2:$D$2000=$A18)*(TEXT('Daily Checklist'!$B$2:$B$2000,"yyyy-mm-dd")=TEXT(($B$4+6),"yyyy-mm-dd"))*('Daily Checklist'!$L$2:$L$2000="Y"))&gt;0,SUMPRODUCT(('Daily Checklist'!$D$2:$D$2000=$A18)*(TEXT('Daily Checklist'!$B$2:$B$2000,"yyyy-mm-dd")=TEXT(($B$4+6),"yyyy-mm-dd"))*('Daily Checklist'!$F$2:$F$2000="Done"))&amp;"/"&amp;SUMPRODUCT(('Daily Checklist'!$D$2:$D$2000=$A18)*(TEXT('Daily Checklist'!$B$2:$B$2000,"yyyy-mm-dd")=TEXT(($B$4+6),"yyyy-mm-dd")))&amp;" ESC",SUMPRODUCT(('Daily Checklist'!$D$2:$D$2000=$A18)*(TEXT('Daily Checklist'!$B$2:$B$2000,"yyyy-mm-dd")=TEXT(($B$4+6),"yyyy-mm-dd"))*('Daily Checklist'!$F$2:$F$2000="Done"))&amp;"/"&amp;SUMPRODUCT(('Daily Checklist'!$D$2:$D$2000=$A18)*(TEXT('Daily Checklist'!$B$2:$B$2000,"yyyy-mm-dd")=TEXT(($B$4+6),"yyyy-mm-dd"))))))</f>
        <v>-</v>
      </c>
      <c r="I18" s="25" t="str">
        <f aca="false">IF($A18="","",IF(SUMPRODUCT(('Daily Checklist'!$D$2:$D$2000=$A18)*(TEXT('Daily Checklist'!$B$2:$B$2000,"yyyy-mm-dd")=TEXT(($B$4+7),"yyyy-mm-dd")))=0,"-",IF(SUMPRODUCT(('Daily Checklist'!$D$2:$D$2000=$A18)*(TEXT('Daily Checklist'!$B$2:$B$2000,"yyyy-mm-dd")=TEXT(($B$4+7),"yyyy-mm-dd"))*('Daily Checklist'!$L$2:$L$2000="Y"))&gt;0,SUMPRODUCT(('Daily Checklist'!$D$2:$D$2000=$A18)*(TEXT('Daily Checklist'!$B$2:$B$2000,"yyyy-mm-dd")=TEXT(($B$4+7),"yyyy-mm-dd"))*('Daily Checklist'!$F$2:$F$2000="Done"))&amp;"/"&amp;SUMPRODUCT(('Daily Checklist'!$D$2:$D$2000=$A18)*(TEXT('Daily Checklist'!$B$2:$B$2000,"yyyy-mm-dd")=TEXT(($B$4+7),"yyyy-mm-dd")))&amp;" ESC",SUMPRODUCT(('Daily Checklist'!$D$2:$D$2000=$A18)*(TEXT('Daily Checklist'!$B$2:$B$2000,"yyyy-mm-dd")=TEXT(($B$4+7),"yyyy-mm-dd"))*('Daily Checklist'!$F$2:$F$2000="Done"))&amp;"/"&amp;SUMPRODUCT(('Daily Checklist'!$D$2:$D$2000=$A18)*(TEXT('Daily Checklist'!$B$2:$B$2000,"yyyy-mm-dd")=TEXT(($B$4+7),"yyyy-mm-dd"))))))</f>
        <v>-</v>
      </c>
      <c r="J18" s="25" t="str">
        <f aca="false">IF($A18="","",IF(SUMPRODUCT(('Daily Checklist'!$D$2:$D$2000=$A18)*(TEXT('Daily Checklist'!$B$2:$B$2000,"yyyy-mm-dd")=TEXT(($B$4+8),"yyyy-mm-dd")))=0,"-",IF(SUMPRODUCT(('Daily Checklist'!$D$2:$D$2000=$A18)*(TEXT('Daily Checklist'!$B$2:$B$2000,"yyyy-mm-dd")=TEXT(($B$4+8),"yyyy-mm-dd"))*('Daily Checklist'!$L$2:$L$2000="Y"))&gt;0,SUMPRODUCT(('Daily Checklist'!$D$2:$D$2000=$A18)*(TEXT('Daily Checklist'!$B$2:$B$2000,"yyyy-mm-dd")=TEXT(($B$4+8),"yyyy-mm-dd"))*('Daily Checklist'!$F$2:$F$2000="Done"))&amp;"/"&amp;SUMPRODUCT(('Daily Checklist'!$D$2:$D$2000=$A18)*(TEXT('Daily Checklist'!$B$2:$B$2000,"yyyy-mm-dd")=TEXT(($B$4+8),"yyyy-mm-dd")))&amp;" ESC",SUMPRODUCT(('Daily Checklist'!$D$2:$D$2000=$A18)*(TEXT('Daily Checklist'!$B$2:$B$2000,"yyyy-mm-dd")=TEXT(($B$4+8),"yyyy-mm-dd"))*('Daily Checklist'!$F$2:$F$2000="Done"))&amp;"/"&amp;SUMPRODUCT(('Daily Checklist'!$D$2:$D$2000=$A18)*(TEXT('Daily Checklist'!$B$2:$B$2000,"yyyy-mm-dd")=TEXT(($B$4+8),"yyyy-mm-dd"))))))</f>
        <v>-</v>
      </c>
      <c r="K18" s="25" t="str">
        <f aca="false">IF($A18="","",IF(SUMPRODUCT(('Daily Checklist'!$D$2:$D$2000=$A18)*(TEXT('Daily Checklist'!$B$2:$B$2000,"yyyy-mm-dd")=TEXT(($B$4+9),"yyyy-mm-dd")))=0,"-",IF(SUMPRODUCT(('Daily Checklist'!$D$2:$D$2000=$A18)*(TEXT('Daily Checklist'!$B$2:$B$2000,"yyyy-mm-dd")=TEXT(($B$4+9),"yyyy-mm-dd"))*('Daily Checklist'!$L$2:$L$2000="Y"))&gt;0,SUMPRODUCT(('Daily Checklist'!$D$2:$D$2000=$A18)*(TEXT('Daily Checklist'!$B$2:$B$2000,"yyyy-mm-dd")=TEXT(($B$4+9),"yyyy-mm-dd"))*('Daily Checklist'!$F$2:$F$2000="Done"))&amp;"/"&amp;SUMPRODUCT(('Daily Checklist'!$D$2:$D$2000=$A18)*(TEXT('Daily Checklist'!$B$2:$B$2000,"yyyy-mm-dd")=TEXT(($B$4+9),"yyyy-mm-dd")))&amp;" ESC",SUMPRODUCT(('Daily Checklist'!$D$2:$D$2000=$A18)*(TEXT('Daily Checklist'!$B$2:$B$2000,"yyyy-mm-dd")=TEXT(($B$4+9),"yyyy-mm-dd"))*('Daily Checklist'!$F$2:$F$2000="Done"))&amp;"/"&amp;SUMPRODUCT(('Daily Checklist'!$D$2:$D$2000=$A18)*(TEXT('Daily Checklist'!$B$2:$B$2000,"yyyy-mm-dd")=TEXT(($B$4+9),"yyyy-mm-dd"))))))</f>
        <v>-</v>
      </c>
      <c r="L18" s="25" t="str">
        <f aca="false">IF($A18="","",IF(SUMPRODUCT(('Daily Checklist'!$D$2:$D$2000=$A18)*(TEXT('Daily Checklist'!$B$2:$B$2000,"yyyy-mm-dd")=TEXT(($B$4+10),"yyyy-mm-dd")))=0,"-",IF(SUMPRODUCT(('Daily Checklist'!$D$2:$D$2000=$A18)*(TEXT('Daily Checklist'!$B$2:$B$2000,"yyyy-mm-dd")=TEXT(($B$4+10),"yyyy-mm-dd"))*('Daily Checklist'!$L$2:$L$2000="Y"))&gt;0,SUMPRODUCT(('Daily Checklist'!$D$2:$D$2000=$A18)*(TEXT('Daily Checklist'!$B$2:$B$2000,"yyyy-mm-dd")=TEXT(($B$4+10),"yyyy-mm-dd"))*('Daily Checklist'!$F$2:$F$2000="Done"))&amp;"/"&amp;SUMPRODUCT(('Daily Checklist'!$D$2:$D$2000=$A18)*(TEXT('Daily Checklist'!$B$2:$B$2000,"yyyy-mm-dd")=TEXT(($B$4+10),"yyyy-mm-dd")))&amp;" ESC",SUMPRODUCT(('Daily Checklist'!$D$2:$D$2000=$A18)*(TEXT('Daily Checklist'!$B$2:$B$2000,"yyyy-mm-dd")=TEXT(($B$4+10),"yyyy-mm-dd"))*('Daily Checklist'!$F$2:$F$2000="Done"))&amp;"/"&amp;SUMPRODUCT(('Daily Checklist'!$D$2:$D$2000=$A18)*(TEXT('Daily Checklist'!$B$2:$B$2000,"yyyy-mm-dd")=TEXT(($B$4+10),"yyyy-mm-dd"))))))</f>
        <v>-</v>
      </c>
      <c r="M18" s="25" t="str">
        <f aca="false">IF($A18="","",IF(SUMPRODUCT(('Daily Checklist'!$D$2:$D$2000=$A18)*(TEXT('Daily Checklist'!$B$2:$B$2000,"yyyy-mm-dd")=TEXT(($B$4+11),"yyyy-mm-dd")))=0,"-",IF(SUMPRODUCT(('Daily Checklist'!$D$2:$D$2000=$A18)*(TEXT('Daily Checklist'!$B$2:$B$2000,"yyyy-mm-dd")=TEXT(($B$4+11),"yyyy-mm-dd"))*('Daily Checklist'!$L$2:$L$2000="Y"))&gt;0,SUMPRODUCT(('Daily Checklist'!$D$2:$D$2000=$A18)*(TEXT('Daily Checklist'!$B$2:$B$2000,"yyyy-mm-dd")=TEXT(($B$4+11),"yyyy-mm-dd"))*('Daily Checklist'!$F$2:$F$2000="Done"))&amp;"/"&amp;SUMPRODUCT(('Daily Checklist'!$D$2:$D$2000=$A18)*(TEXT('Daily Checklist'!$B$2:$B$2000,"yyyy-mm-dd")=TEXT(($B$4+11),"yyyy-mm-dd")))&amp;" ESC",SUMPRODUCT(('Daily Checklist'!$D$2:$D$2000=$A18)*(TEXT('Daily Checklist'!$B$2:$B$2000,"yyyy-mm-dd")=TEXT(($B$4+11),"yyyy-mm-dd"))*('Daily Checklist'!$F$2:$F$2000="Done"))&amp;"/"&amp;SUMPRODUCT(('Daily Checklist'!$D$2:$D$2000=$A18)*(TEXT('Daily Checklist'!$B$2:$B$2000,"yyyy-mm-dd")=TEXT(($B$4+11),"yyyy-mm-dd"))))))</f>
        <v>-</v>
      </c>
      <c r="N18" s="25" t="str">
        <f aca="false">IF($A18="","",IF(SUMPRODUCT(('Daily Checklist'!$D$2:$D$2000=$A18)*(TEXT('Daily Checklist'!$B$2:$B$2000,"yyyy-mm-dd")=TEXT(($B$4+12),"yyyy-mm-dd")))=0,"-",IF(SUMPRODUCT(('Daily Checklist'!$D$2:$D$2000=$A18)*(TEXT('Daily Checklist'!$B$2:$B$2000,"yyyy-mm-dd")=TEXT(($B$4+12),"yyyy-mm-dd"))*('Daily Checklist'!$L$2:$L$2000="Y"))&gt;0,SUMPRODUCT(('Daily Checklist'!$D$2:$D$2000=$A18)*(TEXT('Daily Checklist'!$B$2:$B$2000,"yyyy-mm-dd")=TEXT(($B$4+12),"yyyy-mm-dd"))*('Daily Checklist'!$F$2:$F$2000="Done"))&amp;"/"&amp;SUMPRODUCT(('Daily Checklist'!$D$2:$D$2000=$A18)*(TEXT('Daily Checklist'!$B$2:$B$2000,"yyyy-mm-dd")=TEXT(($B$4+12),"yyyy-mm-dd")))&amp;" ESC",SUMPRODUCT(('Daily Checklist'!$D$2:$D$2000=$A18)*(TEXT('Daily Checklist'!$B$2:$B$2000,"yyyy-mm-dd")=TEXT(($B$4+12),"yyyy-mm-dd"))*('Daily Checklist'!$F$2:$F$2000="Done"))&amp;"/"&amp;SUMPRODUCT(('Daily Checklist'!$D$2:$D$2000=$A18)*(TEXT('Daily Checklist'!$B$2:$B$2000,"yyyy-mm-dd")=TEXT(($B$4+12),"yyyy-mm-dd"))))))</f>
        <v>-</v>
      </c>
      <c r="O18" s="25" t="str">
        <f aca="false">IF($A18="","",IF(SUMPRODUCT(('Daily Checklist'!$D$2:$D$2000=$A18)*(TEXT('Daily Checklist'!$B$2:$B$2000,"yyyy-mm-dd")=TEXT(($B$4+13),"yyyy-mm-dd")))=0,"-",IF(SUMPRODUCT(('Daily Checklist'!$D$2:$D$2000=$A18)*(TEXT('Daily Checklist'!$B$2:$B$2000,"yyyy-mm-dd")=TEXT(($B$4+13),"yyyy-mm-dd"))*('Daily Checklist'!$L$2:$L$2000="Y"))&gt;0,SUMPRODUCT(('Daily Checklist'!$D$2:$D$2000=$A18)*(TEXT('Daily Checklist'!$B$2:$B$2000,"yyyy-mm-dd")=TEXT(($B$4+13),"yyyy-mm-dd"))*('Daily Checklist'!$F$2:$F$2000="Done"))&amp;"/"&amp;SUMPRODUCT(('Daily Checklist'!$D$2:$D$2000=$A18)*(TEXT('Daily Checklist'!$B$2:$B$2000,"yyyy-mm-dd")=TEXT(($B$4+13),"yyyy-mm-dd")))&amp;" ESC",SUMPRODUCT(('Daily Checklist'!$D$2:$D$2000=$A18)*(TEXT('Daily Checklist'!$B$2:$B$2000,"yyyy-mm-dd")=TEXT(($B$4+13),"yyyy-mm-dd"))*('Daily Checklist'!$F$2:$F$2000="Done"))&amp;"/"&amp;SUMPRODUCT(('Daily Checklist'!$D$2:$D$2000=$A18)*(TEXT('Daily Checklist'!$B$2:$B$2000,"yyyy-mm-dd")=TEXT(($B$4+13),"yyyy-mm-dd"))))))</f>
        <v>-</v>
      </c>
      <c r="P18" s="25" t="str">
        <f aca="false">IF($A18="","",IF(SUMPRODUCT(('Daily Checklist'!$D$2:$D$2000=$A18)*(TEXT('Daily Checklist'!$B$2:$B$2000,"yyyy-mm-dd")=TEXT(($B$4+14),"yyyy-mm-dd")))=0,"-",IF(SUMPRODUCT(('Daily Checklist'!$D$2:$D$2000=$A18)*(TEXT('Daily Checklist'!$B$2:$B$2000,"yyyy-mm-dd")=TEXT(($B$4+14),"yyyy-mm-dd"))*('Daily Checklist'!$L$2:$L$2000="Y"))&gt;0,SUMPRODUCT(('Daily Checklist'!$D$2:$D$2000=$A18)*(TEXT('Daily Checklist'!$B$2:$B$2000,"yyyy-mm-dd")=TEXT(($B$4+14),"yyyy-mm-dd"))*('Daily Checklist'!$F$2:$F$2000="Done"))&amp;"/"&amp;SUMPRODUCT(('Daily Checklist'!$D$2:$D$2000=$A18)*(TEXT('Daily Checklist'!$B$2:$B$2000,"yyyy-mm-dd")=TEXT(($B$4+14),"yyyy-mm-dd")))&amp;" ESC",SUMPRODUCT(('Daily Checklist'!$D$2:$D$2000=$A18)*(TEXT('Daily Checklist'!$B$2:$B$2000,"yyyy-mm-dd")=TEXT(($B$4+14),"yyyy-mm-dd"))*('Daily Checklist'!$F$2:$F$2000="Done"))&amp;"/"&amp;SUMPRODUCT(('Daily Checklist'!$D$2:$D$2000=$A18)*(TEXT('Daily Checklist'!$B$2:$B$2000,"yyyy-mm-dd")=TEXT(($B$4+14),"yyyy-mm-dd"))))))</f>
        <v>-</v>
      </c>
      <c r="Q18" s="25" t="str">
        <f aca="false">IF($A18="","",IF(SUMPRODUCT(('Daily Checklist'!$D$2:$D$2000=$A18)*(TEXT('Daily Checklist'!$B$2:$B$2000,"yyyy-mm-dd")=TEXT(($B$4+15),"yyyy-mm-dd")))=0,"-",IF(SUMPRODUCT(('Daily Checklist'!$D$2:$D$2000=$A18)*(TEXT('Daily Checklist'!$B$2:$B$2000,"yyyy-mm-dd")=TEXT(($B$4+15),"yyyy-mm-dd"))*('Daily Checklist'!$L$2:$L$2000="Y"))&gt;0,SUMPRODUCT(('Daily Checklist'!$D$2:$D$2000=$A18)*(TEXT('Daily Checklist'!$B$2:$B$2000,"yyyy-mm-dd")=TEXT(($B$4+15),"yyyy-mm-dd"))*('Daily Checklist'!$F$2:$F$2000="Done"))&amp;"/"&amp;SUMPRODUCT(('Daily Checklist'!$D$2:$D$2000=$A18)*(TEXT('Daily Checklist'!$B$2:$B$2000,"yyyy-mm-dd")=TEXT(($B$4+15),"yyyy-mm-dd")))&amp;" ESC",SUMPRODUCT(('Daily Checklist'!$D$2:$D$2000=$A18)*(TEXT('Daily Checklist'!$B$2:$B$2000,"yyyy-mm-dd")=TEXT(($B$4+15),"yyyy-mm-dd"))*('Daily Checklist'!$F$2:$F$2000="Done"))&amp;"/"&amp;SUMPRODUCT(('Daily Checklist'!$D$2:$D$2000=$A18)*(TEXT('Daily Checklist'!$B$2:$B$2000,"yyyy-mm-dd")=TEXT(($B$4+15),"yyyy-mm-dd"))))))</f>
        <v>-</v>
      </c>
      <c r="R18" s="25" t="str">
        <f aca="false">IF($A18="","",IF(SUMPRODUCT(('Daily Checklist'!$D$2:$D$2000=$A18)*(TEXT('Daily Checklist'!$B$2:$B$2000,"yyyy-mm-dd")=TEXT(($B$4+16),"yyyy-mm-dd")))=0,"-",IF(SUMPRODUCT(('Daily Checklist'!$D$2:$D$2000=$A18)*(TEXT('Daily Checklist'!$B$2:$B$2000,"yyyy-mm-dd")=TEXT(($B$4+16),"yyyy-mm-dd"))*('Daily Checklist'!$L$2:$L$2000="Y"))&gt;0,SUMPRODUCT(('Daily Checklist'!$D$2:$D$2000=$A18)*(TEXT('Daily Checklist'!$B$2:$B$2000,"yyyy-mm-dd")=TEXT(($B$4+16),"yyyy-mm-dd"))*('Daily Checklist'!$F$2:$F$2000="Done"))&amp;"/"&amp;SUMPRODUCT(('Daily Checklist'!$D$2:$D$2000=$A18)*(TEXT('Daily Checklist'!$B$2:$B$2000,"yyyy-mm-dd")=TEXT(($B$4+16),"yyyy-mm-dd")))&amp;" ESC",SUMPRODUCT(('Daily Checklist'!$D$2:$D$2000=$A18)*(TEXT('Daily Checklist'!$B$2:$B$2000,"yyyy-mm-dd")=TEXT(($B$4+16),"yyyy-mm-dd"))*('Daily Checklist'!$F$2:$F$2000="Done"))&amp;"/"&amp;SUMPRODUCT(('Daily Checklist'!$D$2:$D$2000=$A18)*(TEXT('Daily Checklist'!$B$2:$B$2000,"yyyy-mm-dd")=TEXT(($B$4+16),"yyyy-mm-dd"))))))</f>
        <v>-</v>
      </c>
      <c r="S18" s="25" t="str">
        <f aca="false">IF($A18="","",IF(SUMPRODUCT(('Daily Checklist'!$D$2:$D$2000=$A18)*(TEXT('Daily Checklist'!$B$2:$B$2000,"yyyy-mm-dd")=TEXT(($B$4+17),"yyyy-mm-dd")))=0,"-",IF(SUMPRODUCT(('Daily Checklist'!$D$2:$D$2000=$A18)*(TEXT('Daily Checklist'!$B$2:$B$2000,"yyyy-mm-dd")=TEXT(($B$4+17),"yyyy-mm-dd"))*('Daily Checklist'!$L$2:$L$2000="Y"))&gt;0,SUMPRODUCT(('Daily Checklist'!$D$2:$D$2000=$A18)*(TEXT('Daily Checklist'!$B$2:$B$2000,"yyyy-mm-dd")=TEXT(($B$4+17),"yyyy-mm-dd"))*('Daily Checklist'!$F$2:$F$2000="Done"))&amp;"/"&amp;SUMPRODUCT(('Daily Checklist'!$D$2:$D$2000=$A18)*(TEXT('Daily Checklist'!$B$2:$B$2000,"yyyy-mm-dd")=TEXT(($B$4+17),"yyyy-mm-dd")))&amp;" ESC",SUMPRODUCT(('Daily Checklist'!$D$2:$D$2000=$A18)*(TEXT('Daily Checklist'!$B$2:$B$2000,"yyyy-mm-dd")=TEXT(($B$4+17),"yyyy-mm-dd"))*('Daily Checklist'!$F$2:$F$2000="Done"))&amp;"/"&amp;SUMPRODUCT(('Daily Checklist'!$D$2:$D$2000=$A18)*(TEXT('Daily Checklist'!$B$2:$B$2000,"yyyy-mm-dd")=TEXT(($B$4+17),"yyyy-mm-dd"))))))</f>
        <v>-</v>
      </c>
      <c r="T18" s="25" t="str">
        <f aca="false">IF($A18="","",IF(SUMPRODUCT(('Daily Checklist'!$D$2:$D$2000=$A18)*(TEXT('Daily Checklist'!$B$2:$B$2000,"yyyy-mm-dd")=TEXT(($B$4+18),"yyyy-mm-dd")))=0,"-",IF(SUMPRODUCT(('Daily Checklist'!$D$2:$D$2000=$A18)*(TEXT('Daily Checklist'!$B$2:$B$2000,"yyyy-mm-dd")=TEXT(($B$4+18),"yyyy-mm-dd"))*('Daily Checklist'!$L$2:$L$2000="Y"))&gt;0,SUMPRODUCT(('Daily Checklist'!$D$2:$D$2000=$A18)*(TEXT('Daily Checklist'!$B$2:$B$2000,"yyyy-mm-dd")=TEXT(($B$4+18),"yyyy-mm-dd"))*('Daily Checklist'!$F$2:$F$2000="Done"))&amp;"/"&amp;SUMPRODUCT(('Daily Checklist'!$D$2:$D$2000=$A18)*(TEXT('Daily Checklist'!$B$2:$B$2000,"yyyy-mm-dd")=TEXT(($B$4+18),"yyyy-mm-dd")))&amp;" ESC",SUMPRODUCT(('Daily Checklist'!$D$2:$D$2000=$A18)*(TEXT('Daily Checklist'!$B$2:$B$2000,"yyyy-mm-dd")=TEXT(($B$4+18),"yyyy-mm-dd"))*('Daily Checklist'!$F$2:$F$2000="Done"))&amp;"/"&amp;SUMPRODUCT(('Daily Checklist'!$D$2:$D$2000=$A18)*(TEXT('Daily Checklist'!$B$2:$B$2000,"yyyy-mm-dd")=TEXT(($B$4+18),"yyyy-mm-dd"))))))</f>
        <v>-</v>
      </c>
      <c r="U18" s="25" t="str">
        <f aca="false">IF($A18="","",IF(SUMPRODUCT(('Daily Checklist'!$D$2:$D$2000=$A18)*(TEXT('Daily Checklist'!$B$2:$B$2000,"yyyy-mm-dd")=TEXT(($B$4+19),"yyyy-mm-dd")))=0,"-",IF(SUMPRODUCT(('Daily Checklist'!$D$2:$D$2000=$A18)*(TEXT('Daily Checklist'!$B$2:$B$2000,"yyyy-mm-dd")=TEXT(($B$4+19),"yyyy-mm-dd"))*('Daily Checklist'!$L$2:$L$2000="Y"))&gt;0,SUMPRODUCT(('Daily Checklist'!$D$2:$D$2000=$A18)*(TEXT('Daily Checklist'!$B$2:$B$2000,"yyyy-mm-dd")=TEXT(($B$4+19),"yyyy-mm-dd"))*('Daily Checklist'!$F$2:$F$2000="Done"))&amp;"/"&amp;SUMPRODUCT(('Daily Checklist'!$D$2:$D$2000=$A18)*(TEXT('Daily Checklist'!$B$2:$B$2000,"yyyy-mm-dd")=TEXT(($B$4+19),"yyyy-mm-dd")))&amp;" ESC",SUMPRODUCT(('Daily Checklist'!$D$2:$D$2000=$A18)*(TEXT('Daily Checklist'!$B$2:$B$2000,"yyyy-mm-dd")=TEXT(($B$4+19),"yyyy-mm-dd"))*('Daily Checklist'!$F$2:$F$2000="Done"))&amp;"/"&amp;SUMPRODUCT(('Daily Checklist'!$D$2:$D$2000=$A18)*(TEXT('Daily Checklist'!$B$2:$B$2000,"yyyy-mm-dd")=TEXT(($B$4+19),"yyyy-mm-dd"))))))</f>
        <v>-</v>
      </c>
      <c r="V18" s="25" t="str">
        <f aca="false">IF($A18="","",IF(SUMPRODUCT(('Daily Checklist'!$D$2:$D$2000=$A18)*(TEXT('Daily Checklist'!$B$2:$B$2000,"yyyy-mm-dd")=TEXT(($B$4+20),"yyyy-mm-dd")))=0,"-",IF(SUMPRODUCT(('Daily Checklist'!$D$2:$D$2000=$A18)*(TEXT('Daily Checklist'!$B$2:$B$2000,"yyyy-mm-dd")=TEXT(($B$4+20),"yyyy-mm-dd"))*('Daily Checklist'!$L$2:$L$2000="Y"))&gt;0,SUMPRODUCT(('Daily Checklist'!$D$2:$D$2000=$A18)*(TEXT('Daily Checklist'!$B$2:$B$2000,"yyyy-mm-dd")=TEXT(($B$4+20),"yyyy-mm-dd"))*('Daily Checklist'!$F$2:$F$2000="Done"))&amp;"/"&amp;SUMPRODUCT(('Daily Checklist'!$D$2:$D$2000=$A18)*(TEXT('Daily Checklist'!$B$2:$B$2000,"yyyy-mm-dd")=TEXT(($B$4+20),"yyyy-mm-dd")))&amp;" ESC",SUMPRODUCT(('Daily Checklist'!$D$2:$D$2000=$A18)*(TEXT('Daily Checklist'!$B$2:$B$2000,"yyyy-mm-dd")=TEXT(($B$4+20),"yyyy-mm-dd"))*('Daily Checklist'!$F$2:$F$2000="Done"))&amp;"/"&amp;SUMPRODUCT(('Daily Checklist'!$D$2:$D$2000=$A18)*(TEXT('Daily Checklist'!$B$2:$B$2000,"yyyy-mm-dd")=TEXT(($B$4+20),"yyyy-mm-dd"))))))</f>
        <v>-</v>
      </c>
      <c r="W18" s="25" t="str">
        <f aca="false">IF($A18="","",IF(SUMPRODUCT(('Daily Checklist'!$D$2:$D$2000=$A18)*(TEXT('Daily Checklist'!$B$2:$B$2000,"yyyy-mm-dd")=TEXT(($B$4+21),"yyyy-mm-dd")))=0,"-",IF(SUMPRODUCT(('Daily Checklist'!$D$2:$D$2000=$A18)*(TEXT('Daily Checklist'!$B$2:$B$2000,"yyyy-mm-dd")=TEXT(($B$4+21),"yyyy-mm-dd"))*('Daily Checklist'!$L$2:$L$2000="Y"))&gt;0,SUMPRODUCT(('Daily Checklist'!$D$2:$D$2000=$A18)*(TEXT('Daily Checklist'!$B$2:$B$2000,"yyyy-mm-dd")=TEXT(($B$4+21),"yyyy-mm-dd"))*('Daily Checklist'!$F$2:$F$2000="Done"))&amp;"/"&amp;SUMPRODUCT(('Daily Checklist'!$D$2:$D$2000=$A18)*(TEXT('Daily Checklist'!$B$2:$B$2000,"yyyy-mm-dd")=TEXT(($B$4+21),"yyyy-mm-dd")))&amp;" ESC",SUMPRODUCT(('Daily Checklist'!$D$2:$D$2000=$A18)*(TEXT('Daily Checklist'!$B$2:$B$2000,"yyyy-mm-dd")=TEXT(($B$4+21),"yyyy-mm-dd"))*('Daily Checklist'!$F$2:$F$2000="Done"))&amp;"/"&amp;SUMPRODUCT(('Daily Checklist'!$D$2:$D$2000=$A18)*(TEXT('Daily Checklist'!$B$2:$B$2000,"yyyy-mm-dd")=TEXT(($B$4+21),"yyyy-mm-dd"))))))</f>
        <v>-</v>
      </c>
      <c r="X18" s="25" t="str">
        <f aca="false">IF($A18="","",IF(SUMPRODUCT(('Daily Checklist'!$D$2:$D$2000=$A18)*(TEXT('Daily Checklist'!$B$2:$B$2000,"yyyy-mm-dd")=TEXT(($B$4+22),"yyyy-mm-dd")))=0,"-",IF(SUMPRODUCT(('Daily Checklist'!$D$2:$D$2000=$A18)*(TEXT('Daily Checklist'!$B$2:$B$2000,"yyyy-mm-dd")=TEXT(($B$4+22),"yyyy-mm-dd"))*('Daily Checklist'!$L$2:$L$2000="Y"))&gt;0,SUMPRODUCT(('Daily Checklist'!$D$2:$D$2000=$A18)*(TEXT('Daily Checklist'!$B$2:$B$2000,"yyyy-mm-dd")=TEXT(($B$4+22),"yyyy-mm-dd"))*('Daily Checklist'!$F$2:$F$2000="Done"))&amp;"/"&amp;SUMPRODUCT(('Daily Checklist'!$D$2:$D$2000=$A18)*(TEXT('Daily Checklist'!$B$2:$B$2000,"yyyy-mm-dd")=TEXT(($B$4+22),"yyyy-mm-dd")))&amp;" ESC",SUMPRODUCT(('Daily Checklist'!$D$2:$D$2000=$A18)*(TEXT('Daily Checklist'!$B$2:$B$2000,"yyyy-mm-dd")=TEXT(($B$4+22),"yyyy-mm-dd"))*('Daily Checklist'!$F$2:$F$2000="Done"))&amp;"/"&amp;SUMPRODUCT(('Daily Checklist'!$D$2:$D$2000=$A18)*(TEXT('Daily Checklist'!$B$2:$B$2000,"yyyy-mm-dd")=TEXT(($B$4+22),"yyyy-mm-dd"))))))</f>
        <v>-</v>
      </c>
      <c r="Y18" s="25" t="str">
        <f aca="false">IF($A18="","",IF(SUMPRODUCT(('Daily Checklist'!$D$2:$D$2000=$A18)*(TEXT('Daily Checklist'!$B$2:$B$2000,"yyyy-mm-dd")=TEXT(($B$4+23),"yyyy-mm-dd")))=0,"-",IF(SUMPRODUCT(('Daily Checklist'!$D$2:$D$2000=$A18)*(TEXT('Daily Checklist'!$B$2:$B$2000,"yyyy-mm-dd")=TEXT(($B$4+23),"yyyy-mm-dd"))*('Daily Checklist'!$L$2:$L$2000="Y"))&gt;0,SUMPRODUCT(('Daily Checklist'!$D$2:$D$2000=$A18)*(TEXT('Daily Checklist'!$B$2:$B$2000,"yyyy-mm-dd")=TEXT(($B$4+23),"yyyy-mm-dd"))*('Daily Checklist'!$F$2:$F$2000="Done"))&amp;"/"&amp;SUMPRODUCT(('Daily Checklist'!$D$2:$D$2000=$A18)*(TEXT('Daily Checklist'!$B$2:$B$2000,"yyyy-mm-dd")=TEXT(($B$4+23),"yyyy-mm-dd")))&amp;" ESC",SUMPRODUCT(('Daily Checklist'!$D$2:$D$2000=$A18)*(TEXT('Daily Checklist'!$B$2:$B$2000,"yyyy-mm-dd")=TEXT(($B$4+23),"yyyy-mm-dd"))*('Daily Checklist'!$F$2:$F$2000="Done"))&amp;"/"&amp;SUMPRODUCT(('Daily Checklist'!$D$2:$D$2000=$A18)*(TEXT('Daily Checklist'!$B$2:$B$2000,"yyyy-mm-dd")=TEXT(($B$4+23),"yyyy-mm-dd"))))))</f>
        <v>-</v>
      </c>
      <c r="Z18" s="25" t="str">
        <f aca="false">IF($A18="","",IF(SUMPRODUCT(('Daily Checklist'!$D$2:$D$2000=$A18)*(TEXT('Daily Checklist'!$B$2:$B$2000,"yyyy-mm-dd")=TEXT(($B$4+24),"yyyy-mm-dd")))=0,"-",IF(SUMPRODUCT(('Daily Checklist'!$D$2:$D$2000=$A18)*(TEXT('Daily Checklist'!$B$2:$B$2000,"yyyy-mm-dd")=TEXT(($B$4+24),"yyyy-mm-dd"))*('Daily Checklist'!$L$2:$L$2000="Y"))&gt;0,SUMPRODUCT(('Daily Checklist'!$D$2:$D$2000=$A18)*(TEXT('Daily Checklist'!$B$2:$B$2000,"yyyy-mm-dd")=TEXT(($B$4+24),"yyyy-mm-dd"))*('Daily Checklist'!$F$2:$F$2000="Done"))&amp;"/"&amp;SUMPRODUCT(('Daily Checklist'!$D$2:$D$2000=$A18)*(TEXT('Daily Checklist'!$B$2:$B$2000,"yyyy-mm-dd")=TEXT(($B$4+24),"yyyy-mm-dd")))&amp;" ESC",SUMPRODUCT(('Daily Checklist'!$D$2:$D$2000=$A18)*(TEXT('Daily Checklist'!$B$2:$B$2000,"yyyy-mm-dd")=TEXT(($B$4+24),"yyyy-mm-dd"))*('Daily Checklist'!$F$2:$F$2000="Done"))&amp;"/"&amp;SUMPRODUCT(('Daily Checklist'!$D$2:$D$2000=$A18)*(TEXT('Daily Checklist'!$B$2:$B$2000,"yyyy-mm-dd")=TEXT(($B$4+24),"yyyy-mm-dd"))))))</f>
        <v>-</v>
      </c>
      <c r="AA18" s="25" t="str">
        <f aca="false">IF($A18="","",IF(SUMPRODUCT(('Daily Checklist'!$D$2:$D$2000=$A18)*(TEXT('Daily Checklist'!$B$2:$B$2000,"yyyy-mm-dd")=TEXT(($B$4+25),"yyyy-mm-dd")))=0,"-",IF(SUMPRODUCT(('Daily Checklist'!$D$2:$D$2000=$A18)*(TEXT('Daily Checklist'!$B$2:$B$2000,"yyyy-mm-dd")=TEXT(($B$4+25),"yyyy-mm-dd"))*('Daily Checklist'!$L$2:$L$2000="Y"))&gt;0,SUMPRODUCT(('Daily Checklist'!$D$2:$D$2000=$A18)*(TEXT('Daily Checklist'!$B$2:$B$2000,"yyyy-mm-dd")=TEXT(($B$4+25),"yyyy-mm-dd"))*('Daily Checklist'!$F$2:$F$2000="Done"))&amp;"/"&amp;SUMPRODUCT(('Daily Checklist'!$D$2:$D$2000=$A18)*(TEXT('Daily Checklist'!$B$2:$B$2000,"yyyy-mm-dd")=TEXT(($B$4+25),"yyyy-mm-dd")))&amp;" ESC",SUMPRODUCT(('Daily Checklist'!$D$2:$D$2000=$A18)*(TEXT('Daily Checklist'!$B$2:$B$2000,"yyyy-mm-dd")=TEXT(($B$4+25),"yyyy-mm-dd"))*('Daily Checklist'!$F$2:$F$2000="Done"))&amp;"/"&amp;SUMPRODUCT(('Daily Checklist'!$D$2:$D$2000=$A18)*(TEXT('Daily Checklist'!$B$2:$B$2000,"yyyy-mm-dd")=TEXT(($B$4+25),"yyyy-mm-dd"))))))</f>
        <v>-</v>
      </c>
      <c r="AB18" s="25" t="str">
        <f aca="false">IF($A18="","",IF(SUMPRODUCT(('Daily Checklist'!$D$2:$D$2000=$A18)*(TEXT('Daily Checklist'!$B$2:$B$2000,"yyyy-mm-dd")=TEXT(($B$4+26),"yyyy-mm-dd")))=0,"-",IF(SUMPRODUCT(('Daily Checklist'!$D$2:$D$2000=$A18)*(TEXT('Daily Checklist'!$B$2:$B$2000,"yyyy-mm-dd")=TEXT(($B$4+26),"yyyy-mm-dd"))*('Daily Checklist'!$L$2:$L$2000="Y"))&gt;0,SUMPRODUCT(('Daily Checklist'!$D$2:$D$2000=$A18)*(TEXT('Daily Checklist'!$B$2:$B$2000,"yyyy-mm-dd")=TEXT(($B$4+26),"yyyy-mm-dd"))*('Daily Checklist'!$F$2:$F$2000="Done"))&amp;"/"&amp;SUMPRODUCT(('Daily Checklist'!$D$2:$D$2000=$A18)*(TEXT('Daily Checklist'!$B$2:$B$2000,"yyyy-mm-dd")=TEXT(($B$4+26),"yyyy-mm-dd")))&amp;" ESC",SUMPRODUCT(('Daily Checklist'!$D$2:$D$2000=$A18)*(TEXT('Daily Checklist'!$B$2:$B$2000,"yyyy-mm-dd")=TEXT(($B$4+26),"yyyy-mm-dd"))*('Daily Checklist'!$F$2:$F$2000="Done"))&amp;"/"&amp;SUMPRODUCT(('Daily Checklist'!$D$2:$D$2000=$A18)*(TEXT('Daily Checklist'!$B$2:$B$2000,"yyyy-mm-dd")=TEXT(($B$4+26),"yyyy-mm-dd"))))))</f>
        <v>-</v>
      </c>
      <c r="AC18" s="25" t="str">
        <f aca="false">IF($A18="","",IF(SUMPRODUCT(('Daily Checklist'!$D$2:$D$2000=$A18)*(TEXT('Daily Checklist'!$B$2:$B$2000,"yyyy-mm-dd")=TEXT(($B$4+27),"yyyy-mm-dd")))=0,"-",IF(SUMPRODUCT(('Daily Checklist'!$D$2:$D$2000=$A18)*(TEXT('Daily Checklist'!$B$2:$B$2000,"yyyy-mm-dd")=TEXT(($B$4+27),"yyyy-mm-dd"))*('Daily Checklist'!$L$2:$L$2000="Y"))&gt;0,SUMPRODUCT(('Daily Checklist'!$D$2:$D$2000=$A18)*(TEXT('Daily Checklist'!$B$2:$B$2000,"yyyy-mm-dd")=TEXT(($B$4+27),"yyyy-mm-dd"))*('Daily Checklist'!$F$2:$F$2000="Done"))&amp;"/"&amp;SUMPRODUCT(('Daily Checklist'!$D$2:$D$2000=$A18)*(TEXT('Daily Checklist'!$B$2:$B$2000,"yyyy-mm-dd")=TEXT(($B$4+27),"yyyy-mm-dd")))&amp;" ESC",SUMPRODUCT(('Daily Checklist'!$D$2:$D$2000=$A18)*(TEXT('Daily Checklist'!$B$2:$B$2000,"yyyy-mm-dd")=TEXT(($B$4+27),"yyyy-mm-dd"))*('Daily Checklist'!$F$2:$F$2000="Done"))&amp;"/"&amp;SUMPRODUCT(('Daily Checklist'!$D$2:$D$2000=$A18)*(TEXT('Daily Checklist'!$B$2:$B$2000,"yyyy-mm-dd")=TEXT(($B$4+27),"yyyy-mm-dd"))))))</f>
        <v>-</v>
      </c>
      <c r="AD18" s="25" t="str">
        <f aca="false">IF($A18="","",IF(SUMPRODUCT(('Daily Checklist'!$D$2:$D$2000=$A18)*(TEXT('Daily Checklist'!$B$2:$B$2000,"yyyy-mm-dd")=TEXT(($B$4+28),"yyyy-mm-dd")))=0,"-",IF(SUMPRODUCT(('Daily Checklist'!$D$2:$D$2000=$A18)*(TEXT('Daily Checklist'!$B$2:$B$2000,"yyyy-mm-dd")=TEXT(($B$4+28),"yyyy-mm-dd"))*('Daily Checklist'!$L$2:$L$2000="Y"))&gt;0,SUMPRODUCT(('Daily Checklist'!$D$2:$D$2000=$A18)*(TEXT('Daily Checklist'!$B$2:$B$2000,"yyyy-mm-dd")=TEXT(($B$4+28),"yyyy-mm-dd"))*('Daily Checklist'!$F$2:$F$2000="Done"))&amp;"/"&amp;SUMPRODUCT(('Daily Checklist'!$D$2:$D$2000=$A18)*(TEXT('Daily Checklist'!$B$2:$B$2000,"yyyy-mm-dd")=TEXT(($B$4+28),"yyyy-mm-dd")))&amp;" ESC",SUMPRODUCT(('Daily Checklist'!$D$2:$D$2000=$A18)*(TEXT('Daily Checklist'!$B$2:$B$2000,"yyyy-mm-dd")=TEXT(($B$4+28),"yyyy-mm-dd"))*('Daily Checklist'!$F$2:$F$2000="Done"))&amp;"/"&amp;SUMPRODUCT(('Daily Checklist'!$D$2:$D$2000=$A18)*(TEXT('Daily Checklist'!$B$2:$B$2000,"yyyy-mm-dd")=TEXT(($B$4+28),"yyyy-mm-dd"))))))</f>
        <v>-</v>
      </c>
      <c r="AE18" s="25" t="str">
        <f aca="false">IF($A18="","",IF(SUMPRODUCT(('Daily Checklist'!$D$2:$D$2000=$A18)*(TEXT('Daily Checklist'!$B$2:$B$2000,"yyyy-mm-dd")=TEXT(($B$4+29),"yyyy-mm-dd")))=0,"-",IF(SUMPRODUCT(('Daily Checklist'!$D$2:$D$2000=$A18)*(TEXT('Daily Checklist'!$B$2:$B$2000,"yyyy-mm-dd")=TEXT(($B$4+29),"yyyy-mm-dd"))*('Daily Checklist'!$L$2:$L$2000="Y"))&gt;0,SUMPRODUCT(('Daily Checklist'!$D$2:$D$2000=$A18)*(TEXT('Daily Checklist'!$B$2:$B$2000,"yyyy-mm-dd")=TEXT(($B$4+29),"yyyy-mm-dd"))*('Daily Checklist'!$F$2:$F$2000="Done"))&amp;"/"&amp;SUMPRODUCT(('Daily Checklist'!$D$2:$D$2000=$A18)*(TEXT('Daily Checklist'!$B$2:$B$2000,"yyyy-mm-dd")=TEXT(($B$4+29),"yyyy-mm-dd")))&amp;" ESC",SUMPRODUCT(('Daily Checklist'!$D$2:$D$2000=$A18)*(TEXT('Daily Checklist'!$B$2:$B$2000,"yyyy-mm-dd")=TEXT(($B$4+29),"yyyy-mm-dd"))*('Daily Checklist'!$F$2:$F$2000="Done"))&amp;"/"&amp;SUMPRODUCT(('Daily Checklist'!$D$2:$D$2000=$A18)*(TEXT('Daily Checklist'!$B$2:$B$2000,"yyyy-mm-dd")=TEXT(($B$4+29),"yyyy-mm-dd"))))))</f>
        <v>-</v>
      </c>
      <c r="AF18" s="25" t="str">
        <f aca="false">IF($A18="","",IF(SUMPRODUCT(('Daily Checklist'!$D$2:$D$2000=$A18)*(TEXT('Daily Checklist'!$B$2:$B$2000,"yyyy-mm-dd")=TEXT(($B$4+30),"yyyy-mm-dd")))=0,"-",IF(SUMPRODUCT(('Daily Checklist'!$D$2:$D$2000=$A18)*(TEXT('Daily Checklist'!$B$2:$B$2000,"yyyy-mm-dd")=TEXT(($B$4+30),"yyyy-mm-dd"))*('Daily Checklist'!$L$2:$L$2000="Y"))&gt;0,SUMPRODUCT(('Daily Checklist'!$D$2:$D$2000=$A18)*(TEXT('Daily Checklist'!$B$2:$B$2000,"yyyy-mm-dd")=TEXT(($B$4+30),"yyyy-mm-dd"))*('Daily Checklist'!$F$2:$F$2000="Done"))&amp;"/"&amp;SUMPRODUCT(('Daily Checklist'!$D$2:$D$2000=$A18)*(TEXT('Daily Checklist'!$B$2:$B$2000,"yyyy-mm-dd")=TEXT(($B$4+30),"yyyy-mm-dd")))&amp;" ESC",SUMPRODUCT(('Daily Checklist'!$D$2:$D$2000=$A18)*(TEXT('Daily Checklist'!$B$2:$B$2000,"yyyy-mm-dd")=TEXT(($B$4+30),"yyyy-mm-dd"))*('Daily Checklist'!$F$2:$F$2000="Done"))&amp;"/"&amp;SUMPRODUCT(('Daily Checklist'!$D$2:$D$2000=$A18)*(TEXT('Daily Checklist'!$B$2:$B$2000,"yyyy-mm-dd")=TEXT(($B$4+30),"yyyy-mm-dd"))))))</f>
        <v>-</v>
      </c>
    </row>
    <row r="19" customFormat="false" ht="15" hidden="false" customHeight="true" outlineLevel="0" collapsed="false">
      <c r="A19" s="24" t="str">
        <f aca="false">IFERROR(IF(Employees!A14="","",Employees!A14),"")</f>
        <v>Mobin Ansari</v>
      </c>
      <c r="B19" s="25" t="str">
        <f aca="false">IF($A19="","",IF(SUMPRODUCT(('Daily Checklist'!$D$2:$D$2000=$A19)*(TEXT('Daily Checklist'!$B$2:$B$2000,"yyyy-mm-dd")=TEXT(($B$4+0),"yyyy-mm-dd")))=0,"-",IF(SUMPRODUCT(('Daily Checklist'!$D$2:$D$2000=$A19)*(TEXT('Daily Checklist'!$B$2:$B$2000,"yyyy-mm-dd")=TEXT(($B$4+0),"yyyy-mm-dd"))*('Daily Checklist'!$L$2:$L$2000="Y"))&gt;0,SUMPRODUCT(('Daily Checklist'!$D$2:$D$2000=$A19)*(TEXT('Daily Checklist'!$B$2:$B$2000,"yyyy-mm-dd")=TEXT(($B$4+0),"yyyy-mm-dd"))*('Daily Checklist'!$F$2:$F$2000="Done"))&amp;"/"&amp;SUMPRODUCT(('Daily Checklist'!$D$2:$D$2000=$A19)*(TEXT('Daily Checklist'!$B$2:$B$2000,"yyyy-mm-dd")=TEXT(($B$4+0),"yyyy-mm-dd")))&amp;" ESC",SUMPRODUCT(('Daily Checklist'!$D$2:$D$2000=$A19)*(TEXT('Daily Checklist'!$B$2:$B$2000,"yyyy-mm-dd")=TEXT(($B$4+0),"yyyy-mm-dd"))*('Daily Checklist'!$F$2:$F$2000="Done"))&amp;"/"&amp;SUMPRODUCT(('Daily Checklist'!$D$2:$D$2000=$A19)*(TEXT('Daily Checklist'!$B$2:$B$2000,"yyyy-mm-dd")=TEXT(($B$4+0),"yyyy-mm-dd"))))))</f>
        <v>-</v>
      </c>
      <c r="C19" s="25" t="str">
        <f aca="false">IF($A19="","",IF(SUMPRODUCT(('Daily Checklist'!$D$2:$D$2000=$A19)*(TEXT('Daily Checklist'!$B$2:$B$2000,"yyyy-mm-dd")=TEXT(($B$4+1),"yyyy-mm-dd")))=0,"-",IF(SUMPRODUCT(('Daily Checklist'!$D$2:$D$2000=$A19)*(TEXT('Daily Checklist'!$B$2:$B$2000,"yyyy-mm-dd")=TEXT(($B$4+1),"yyyy-mm-dd"))*('Daily Checklist'!$L$2:$L$2000="Y"))&gt;0,SUMPRODUCT(('Daily Checklist'!$D$2:$D$2000=$A19)*(TEXT('Daily Checklist'!$B$2:$B$2000,"yyyy-mm-dd")=TEXT(($B$4+1),"yyyy-mm-dd"))*('Daily Checklist'!$F$2:$F$2000="Done"))&amp;"/"&amp;SUMPRODUCT(('Daily Checklist'!$D$2:$D$2000=$A19)*(TEXT('Daily Checklist'!$B$2:$B$2000,"yyyy-mm-dd")=TEXT(($B$4+1),"yyyy-mm-dd")))&amp;" ESC",SUMPRODUCT(('Daily Checklist'!$D$2:$D$2000=$A19)*(TEXT('Daily Checklist'!$B$2:$B$2000,"yyyy-mm-dd")=TEXT(($B$4+1),"yyyy-mm-dd"))*('Daily Checklist'!$F$2:$F$2000="Done"))&amp;"/"&amp;SUMPRODUCT(('Daily Checklist'!$D$2:$D$2000=$A19)*(TEXT('Daily Checklist'!$B$2:$B$2000,"yyyy-mm-dd")=TEXT(($B$4+1),"yyyy-mm-dd"))))))</f>
        <v>-</v>
      </c>
      <c r="D19" s="25" t="str">
        <f aca="false">IF($A19="","",IF(SUMPRODUCT(('Daily Checklist'!$D$2:$D$2000=$A19)*(TEXT('Daily Checklist'!$B$2:$B$2000,"yyyy-mm-dd")=TEXT(($B$4+2),"yyyy-mm-dd")))=0,"-",IF(SUMPRODUCT(('Daily Checklist'!$D$2:$D$2000=$A19)*(TEXT('Daily Checklist'!$B$2:$B$2000,"yyyy-mm-dd")=TEXT(($B$4+2),"yyyy-mm-dd"))*('Daily Checklist'!$L$2:$L$2000="Y"))&gt;0,SUMPRODUCT(('Daily Checklist'!$D$2:$D$2000=$A19)*(TEXT('Daily Checklist'!$B$2:$B$2000,"yyyy-mm-dd")=TEXT(($B$4+2),"yyyy-mm-dd"))*('Daily Checklist'!$F$2:$F$2000="Done"))&amp;"/"&amp;SUMPRODUCT(('Daily Checklist'!$D$2:$D$2000=$A19)*(TEXT('Daily Checklist'!$B$2:$B$2000,"yyyy-mm-dd")=TEXT(($B$4+2),"yyyy-mm-dd")))&amp;" ESC",SUMPRODUCT(('Daily Checklist'!$D$2:$D$2000=$A19)*(TEXT('Daily Checklist'!$B$2:$B$2000,"yyyy-mm-dd")=TEXT(($B$4+2),"yyyy-mm-dd"))*('Daily Checklist'!$F$2:$F$2000="Done"))&amp;"/"&amp;SUMPRODUCT(('Daily Checklist'!$D$2:$D$2000=$A19)*(TEXT('Daily Checklist'!$B$2:$B$2000,"yyyy-mm-dd")=TEXT(($B$4+2),"yyyy-mm-dd"))))))</f>
        <v>-</v>
      </c>
      <c r="E19" s="25" t="str">
        <f aca="false">IF($A19="","",IF(SUMPRODUCT(('Daily Checklist'!$D$2:$D$2000=$A19)*(TEXT('Daily Checklist'!$B$2:$B$2000,"yyyy-mm-dd")=TEXT(($B$4+3),"yyyy-mm-dd")))=0,"-",IF(SUMPRODUCT(('Daily Checklist'!$D$2:$D$2000=$A19)*(TEXT('Daily Checklist'!$B$2:$B$2000,"yyyy-mm-dd")=TEXT(($B$4+3),"yyyy-mm-dd"))*('Daily Checklist'!$L$2:$L$2000="Y"))&gt;0,SUMPRODUCT(('Daily Checklist'!$D$2:$D$2000=$A19)*(TEXT('Daily Checklist'!$B$2:$B$2000,"yyyy-mm-dd")=TEXT(($B$4+3),"yyyy-mm-dd"))*('Daily Checklist'!$F$2:$F$2000="Done"))&amp;"/"&amp;SUMPRODUCT(('Daily Checklist'!$D$2:$D$2000=$A19)*(TEXT('Daily Checklist'!$B$2:$B$2000,"yyyy-mm-dd")=TEXT(($B$4+3),"yyyy-mm-dd")))&amp;" ESC",SUMPRODUCT(('Daily Checklist'!$D$2:$D$2000=$A19)*(TEXT('Daily Checklist'!$B$2:$B$2000,"yyyy-mm-dd")=TEXT(($B$4+3),"yyyy-mm-dd"))*('Daily Checklist'!$F$2:$F$2000="Done"))&amp;"/"&amp;SUMPRODUCT(('Daily Checklist'!$D$2:$D$2000=$A19)*(TEXT('Daily Checklist'!$B$2:$B$2000,"yyyy-mm-dd")=TEXT(($B$4+3),"yyyy-mm-dd"))))))</f>
        <v>-</v>
      </c>
      <c r="F19" s="25" t="str">
        <f aca="false">IF($A19="","",IF(SUMPRODUCT(('Daily Checklist'!$D$2:$D$2000=$A19)*(TEXT('Daily Checklist'!$B$2:$B$2000,"yyyy-mm-dd")=TEXT(($B$4+4),"yyyy-mm-dd")))=0,"-",IF(SUMPRODUCT(('Daily Checklist'!$D$2:$D$2000=$A19)*(TEXT('Daily Checklist'!$B$2:$B$2000,"yyyy-mm-dd")=TEXT(($B$4+4),"yyyy-mm-dd"))*('Daily Checklist'!$L$2:$L$2000="Y"))&gt;0,SUMPRODUCT(('Daily Checklist'!$D$2:$D$2000=$A19)*(TEXT('Daily Checklist'!$B$2:$B$2000,"yyyy-mm-dd")=TEXT(($B$4+4),"yyyy-mm-dd"))*('Daily Checklist'!$F$2:$F$2000="Done"))&amp;"/"&amp;SUMPRODUCT(('Daily Checklist'!$D$2:$D$2000=$A19)*(TEXT('Daily Checklist'!$B$2:$B$2000,"yyyy-mm-dd")=TEXT(($B$4+4),"yyyy-mm-dd")))&amp;" ESC",SUMPRODUCT(('Daily Checklist'!$D$2:$D$2000=$A19)*(TEXT('Daily Checklist'!$B$2:$B$2000,"yyyy-mm-dd")=TEXT(($B$4+4),"yyyy-mm-dd"))*('Daily Checklist'!$F$2:$F$2000="Done"))&amp;"/"&amp;SUMPRODUCT(('Daily Checklist'!$D$2:$D$2000=$A19)*(TEXT('Daily Checklist'!$B$2:$B$2000,"yyyy-mm-dd")=TEXT(($B$4+4),"yyyy-mm-dd"))))))</f>
        <v>-</v>
      </c>
      <c r="G19" s="25" t="str">
        <f aca="false">IF($A19="","",IF(SUMPRODUCT(('Daily Checklist'!$D$2:$D$2000=$A19)*(TEXT('Daily Checklist'!$B$2:$B$2000,"yyyy-mm-dd")=TEXT(($B$4+5),"yyyy-mm-dd")))=0,"-",IF(SUMPRODUCT(('Daily Checklist'!$D$2:$D$2000=$A19)*(TEXT('Daily Checklist'!$B$2:$B$2000,"yyyy-mm-dd")=TEXT(($B$4+5),"yyyy-mm-dd"))*('Daily Checklist'!$L$2:$L$2000="Y"))&gt;0,SUMPRODUCT(('Daily Checklist'!$D$2:$D$2000=$A19)*(TEXT('Daily Checklist'!$B$2:$B$2000,"yyyy-mm-dd")=TEXT(($B$4+5),"yyyy-mm-dd"))*('Daily Checklist'!$F$2:$F$2000="Done"))&amp;"/"&amp;SUMPRODUCT(('Daily Checklist'!$D$2:$D$2000=$A19)*(TEXT('Daily Checklist'!$B$2:$B$2000,"yyyy-mm-dd")=TEXT(($B$4+5),"yyyy-mm-dd")))&amp;" ESC",SUMPRODUCT(('Daily Checklist'!$D$2:$D$2000=$A19)*(TEXT('Daily Checklist'!$B$2:$B$2000,"yyyy-mm-dd")=TEXT(($B$4+5),"yyyy-mm-dd"))*('Daily Checklist'!$F$2:$F$2000="Done"))&amp;"/"&amp;SUMPRODUCT(('Daily Checklist'!$D$2:$D$2000=$A19)*(TEXT('Daily Checklist'!$B$2:$B$2000,"yyyy-mm-dd")=TEXT(($B$4+5),"yyyy-mm-dd"))))))</f>
        <v>-</v>
      </c>
      <c r="H19" s="25" t="str">
        <f aca="false">IF($A19="","",IF(SUMPRODUCT(('Daily Checklist'!$D$2:$D$2000=$A19)*(TEXT('Daily Checklist'!$B$2:$B$2000,"yyyy-mm-dd")=TEXT(($B$4+6),"yyyy-mm-dd")))=0,"-",IF(SUMPRODUCT(('Daily Checklist'!$D$2:$D$2000=$A19)*(TEXT('Daily Checklist'!$B$2:$B$2000,"yyyy-mm-dd")=TEXT(($B$4+6),"yyyy-mm-dd"))*('Daily Checklist'!$L$2:$L$2000="Y"))&gt;0,SUMPRODUCT(('Daily Checklist'!$D$2:$D$2000=$A19)*(TEXT('Daily Checklist'!$B$2:$B$2000,"yyyy-mm-dd")=TEXT(($B$4+6),"yyyy-mm-dd"))*('Daily Checklist'!$F$2:$F$2000="Done"))&amp;"/"&amp;SUMPRODUCT(('Daily Checklist'!$D$2:$D$2000=$A19)*(TEXT('Daily Checklist'!$B$2:$B$2000,"yyyy-mm-dd")=TEXT(($B$4+6),"yyyy-mm-dd")))&amp;" ESC",SUMPRODUCT(('Daily Checklist'!$D$2:$D$2000=$A19)*(TEXT('Daily Checklist'!$B$2:$B$2000,"yyyy-mm-dd")=TEXT(($B$4+6),"yyyy-mm-dd"))*('Daily Checklist'!$F$2:$F$2000="Done"))&amp;"/"&amp;SUMPRODUCT(('Daily Checklist'!$D$2:$D$2000=$A19)*(TEXT('Daily Checklist'!$B$2:$B$2000,"yyyy-mm-dd")=TEXT(($B$4+6),"yyyy-mm-dd"))))))</f>
        <v>-</v>
      </c>
      <c r="I19" s="25" t="str">
        <f aca="false">IF($A19="","",IF(SUMPRODUCT(('Daily Checklist'!$D$2:$D$2000=$A19)*(TEXT('Daily Checklist'!$B$2:$B$2000,"yyyy-mm-dd")=TEXT(($B$4+7),"yyyy-mm-dd")))=0,"-",IF(SUMPRODUCT(('Daily Checklist'!$D$2:$D$2000=$A19)*(TEXT('Daily Checklist'!$B$2:$B$2000,"yyyy-mm-dd")=TEXT(($B$4+7),"yyyy-mm-dd"))*('Daily Checklist'!$L$2:$L$2000="Y"))&gt;0,SUMPRODUCT(('Daily Checklist'!$D$2:$D$2000=$A19)*(TEXT('Daily Checklist'!$B$2:$B$2000,"yyyy-mm-dd")=TEXT(($B$4+7),"yyyy-mm-dd"))*('Daily Checklist'!$F$2:$F$2000="Done"))&amp;"/"&amp;SUMPRODUCT(('Daily Checklist'!$D$2:$D$2000=$A19)*(TEXT('Daily Checklist'!$B$2:$B$2000,"yyyy-mm-dd")=TEXT(($B$4+7),"yyyy-mm-dd")))&amp;" ESC",SUMPRODUCT(('Daily Checklist'!$D$2:$D$2000=$A19)*(TEXT('Daily Checklist'!$B$2:$B$2000,"yyyy-mm-dd")=TEXT(($B$4+7),"yyyy-mm-dd"))*('Daily Checklist'!$F$2:$F$2000="Done"))&amp;"/"&amp;SUMPRODUCT(('Daily Checklist'!$D$2:$D$2000=$A19)*(TEXT('Daily Checklist'!$B$2:$B$2000,"yyyy-mm-dd")=TEXT(($B$4+7),"yyyy-mm-dd"))))))</f>
        <v>-</v>
      </c>
      <c r="J19" s="25" t="str">
        <f aca="false">IF($A19="","",IF(SUMPRODUCT(('Daily Checklist'!$D$2:$D$2000=$A19)*(TEXT('Daily Checklist'!$B$2:$B$2000,"yyyy-mm-dd")=TEXT(($B$4+8),"yyyy-mm-dd")))=0,"-",IF(SUMPRODUCT(('Daily Checklist'!$D$2:$D$2000=$A19)*(TEXT('Daily Checklist'!$B$2:$B$2000,"yyyy-mm-dd")=TEXT(($B$4+8),"yyyy-mm-dd"))*('Daily Checklist'!$L$2:$L$2000="Y"))&gt;0,SUMPRODUCT(('Daily Checklist'!$D$2:$D$2000=$A19)*(TEXT('Daily Checklist'!$B$2:$B$2000,"yyyy-mm-dd")=TEXT(($B$4+8),"yyyy-mm-dd"))*('Daily Checklist'!$F$2:$F$2000="Done"))&amp;"/"&amp;SUMPRODUCT(('Daily Checklist'!$D$2:$D$2000=$A19)*(TEXT('Daily Checklist'!$B$2:$B$2000,"yyyy-mm-dd")=TEXT(($B$4+8),"yyyy-mm-dd")))&amp;" ESC",SUMPRODUCT(('Daily Checklist'!$D$2:$D$2000=$A19)*(TEXT('Daily Checklist'!$B$2:$B$2000,"yyyy-mm-dd")=TEXT(($B$4+8),"yyyy-mm-dd"))*('Daily Checklist'!$F$2:$F$2000="Done"))&amp;"/"&amp;SUMPRODUCT(('Daily Checklist'!$D$2:$D$2000=$A19)*(TEXT('Daily Checklist'!$B$2:$B$2000,"yyyy-mm-dd")=TEXT(($B$4+8),"yyyy-mm-dd"))))))</f>
        <v>-</v>
      </c>
      <c r="K19" s="25" t="str">
        <f aca="false">IF($A19="","",IF(SUMPRODUCT(('Daily Checklist'!$D$2:$D$2000=$A19)*(TEXT('Daily Checklist'!$B$2:$B$2000,"yyyy-mm-dd")=TEXT(($B$4+9),"yyyy-mm-dd")))=0,"-",IF(SUMPRODUCT(('Daily Checklist'!$D$2:$D$2000=$A19)*(TEXT('Daily Checklist'!$B$2:$B$2000,"yyyy-mm-dd")=TEXT(($B$4+9),"yyyy-mm-dd"))*('Daily Checklist'!$L$2:$L$2000="Y"))&gt;0,SUMPRODUCT(('Daily Checklist'!$D$2:$D$2000=$A19)*(TEXT('Daily Checklist'!$B$2:$B$2000,"yyyy-mm-dd")=TEXT(($B$4+9),"yyyy-mm-dd"))*('Daily Checklist'!$F$2:$F$2000="Done"))&amp;"/"&amp;SUMPRODUCT(('Daily Checklist'!$D$2:$D$2000=$A19)*(TEXT('Daily Checklist'!$B$2:$B$2000,"yyyy-mm-dd")=TEXT(($B$4+9),"yyyy-mm-dd")))&amp;" ESC",SUMPRODUCT(('Daily Checklist'!$D$2:$D$2000=$A19)*(TEXT('Daily Checklist'!$B$2:$B$2000,"yyyy-mm-dd")=TEXT(($B$4+9),"yyyy-mm-dd"))*('Daily Checklist'!$F$2:$F$2000="Done"))&amp;"/"&amp;SUMPRODUCT(('Daily Checklist'!$D$2:$D$2000=$A19)*(TEXT('Daily Checklist'!$B$2:$B$2000,"yyyy-mm-dd")=TEXT(($B$4+9),"yyyy-mm-dd"))))))</f>
        <v>-</v>
      </c>
      <c r="L19" s="25" t="str">
        <f aca="false">IF($A19="","",IF(SUMPRODUCT(('Daily Checklist'!$D$2:$D$2000=$A19)*(TEXT('Daily Checklist'!$B$2:$B$2000,"yyyy-mm-dd")=TEXT(($B$4+10),"yyyy-mm-dd")))=0,"-",IF(SUMPRODUCT(('Daily Checklist'!$D$2:$D$2000=$A19)*(TEXT('Daily Checklist'!$B$2:$B$2000,"yyyy-mm-dd")=TEXT(($B$4+10),"yyyy-mm-dd"))*('Daily Checklist'!$L$2:$L$2000="Y"))&gt;0,SUMPRODUCT(('Daily Checklist'!$D$2:$D$2000=$A19)*(TEXT('Daily Checklist'!$B$2:$B$2000,"yyyy-mm-dd")=TEXT(($B$4+10),"yyyy-mm-dd"))*('Daily Checklist'!$F$2:$F$2000="Done"))&amp;"/"&amp;SUMPRODUCT(('Daily Checklist'!$D$2:$D$2000=$A19)*(TEXT('Daily Checklist'!$B$2:$B$2000,"yyyy-mm-dd")=TEXT(($B$4+10),"yyyy-mm-dd")))&amp;" ESC",SUMPRODUCT(('Daily Checklist'!$D$2:$D$2000=$A19)*(TEXT('Daily Checklist'!$B$2:$B$2000,"yyyy-mm-dd")=TEXT(($B$4+10),"yyyy-mm-dd"))*('Daily Checklist'!$F$2:$F$2000="Done"))&amp;"/"&amp;SUMPRODUCT(('Daily Checklist'!$D$2:$D$2000=$A19)*(TEXT('Daily Checklist'!$B$2:$B$2000,"yyyy-mm-dd")=TEXT(($B$4+10),"yyyy-mm-dd"))))))</f>
        <v>-</v>
      </c>
      <c r="M19" s="25" t="str">
        <f aca="false">IF($A19="","",IF(SUMPRODUCT(('Daily Checklist'!$D$2:$D$2000=$A19)*(TEXT('Daily Checklist'!$B$2:$B$2000,"yyyy-mm-dd")=TEXT(($B$4+11),"yyyy-mm-dd")))=0,"-",IF(SUMPRODUCT(('Daily Checklist'!$D$2:$D$2000=$A19)*(TEXT('Daily Checklist'!$B$2:$B$2000,"yyyy-mm-dd")=TEXT(($B$4+11),"yyyy-mm-dd"))*('Daily Checklist'!$L$2:$L$2000="Y"))&gt;0,SUMPRODUCT(('Daily Checklist'!$D$2:$D$2000=$A19)*(TEXT('Daily Checklist'!$B$2:$B$2000,"yyyy-mm-dd")=TEXT(($B$4+11),"yyyy-mm-dd"))*('Daily Checklist'!$F$2:$F$2000="Done"))&amp;"/"&amp;SUMPRODUCT(('Daily Checklist'!$D$2:$D$2000=$A19)*(TEXT('Daily Checklist'!$B$2:$B$2000,"yyyy-mm-dd")=TEXT(($B$4+11),"yyyy-mm-dd")))&amp;" ESC",SUMPRODUCT(('Daily Checklist'!$D$2:$D$2000=$A19)*(TEXT('Daily Checklist'!$B$2:$B$2000,"yyyy-mm-dd")=TEXT(($B$4+11),"yyyy-mm-dd"))*('Daily Checklist'!$F$2:$F$2000="Done"))&amp;"/"&amp;SUMPRODUCT(('Daily Checklist'!$D$2:$D$2000=$A19)*(TEXT('Daily Checklist'!$B$2:$B$2000,"yyyy-mm-dd")=TEXT(($B$4+11),"yyyy-mm-dd"))))))</f>
        <v>-</v>
      </c>
      <c r="N19" s="25" t="str">
        <f aca="false">IF($A19="","",IF(SUMPRODUCT(('Daily Checklist'!$D$2:$D$2000=$A19)*(TEXT('Daily Checklist'!$B$2:$B$2000,"yyyy-mm-dd")=TEXT(($B$4+12),"yyyy-mm-dd")))=0,"-",IF(SUMPRODUCT(('Daily Checklist'!$D$2:$D$2000=$A19)*(TEXT('Daily Checklist'!$B$2:$B$2000,"yyyy-mm-dd")=TEXT(($B$4+12),"yyyy-mm-dd"))*('Daily Checklist'!$L$2:$L$2000="Y"))&gt;0,SUMPRODUCT(('Daily Checklist'!$D$2:$D$2000=$A19)*(TEXT('Daily Checklist'!$B$2:$B$2000,"yyyy-mm-dd")=TEXT(($B$4+12),"yyyy-mm-dd"))*('Daily Checklist'!$F$2:$F$2000="Done"))&amp;"/"&amp;SUMPRODUCT(('Daily Checklist'!$D$2:$D$2000=$A19)*(TEXT('Daily Checklist'!$B$2:$B$2000,"yyyy-mm-dd")=TEXT(($B$4+12),"yyyy-mm-dd")))&amp;" ESC",SUMPRODUCT(('Daily Checklist'!$D$2:$D$2000=$A19)*(TEXT('Daily Checklist'!$B$2:$B$2000,"yyyy-mm-dd")=TEXT(($B$4+12),"yyyy-mm-dd"))*('Daily Checklist'!$F$2:$F$2000="Done"))&amp;"/"&amp;SUMPRODUCT(('Daily Checklist'!$D$2:$D$2000=$A19)*(TEXT('Daily Checklist'!$B$2:$B$2000,"yyyy-mm-dd")=TEXT(($B$4+12),"yyyy-mm-dd"))))))</f>
        <v>-</v>
      </c>
      <c r="O19" s="25" t="str">
        <f aca="false">IF($A19="","",IF(SUMPRODUCT(('Daily Checklist'!$D$2:$D$2000=$A19)*(TEXT('Daily Checklist'!$B$2:$B$2000,"yyyy-mm-dd")=TEXT(($B$4+13),"yyyy-mm-dd")))=0,"-",IF(SUMPRODUCT(('Daily Checklist'!$D$2:$D$2000=$A19)*(TEXT('Daily Checklist'!$B$2:$B$2000,"yyyy-mm-dd")=TEXT(($B$4+13),"yyyy-mm-dd"))*('Daily Checklist'!$L$2:$L$2000="Y"))&gt;0,SUMPRODUCT(('Daily Checklist'!$D$2:$D$2000=$A19)*(TEXT('Daily Checklist'!$B$2:$B$2000,"yyyy-mm-dd")=TEXT(($B$4+13),"yyyy-mm-dd"))*('Daily Checklist'!$F$2:$F$2000="Done"))&amp;"/"&amp;SUMPRODUCT(('Daily Checklist'!$D$2:$D$2000=$A19)*(TEXT('Daily Checklist'!$B$2:$B$2000,"yyyy-mm-dd")=TEXT(($B$4+13),"yyyy-mm-dd")))&amp;" ESC",SUMPRODUCT(('Daily Checklist'!$D$2:$D$2000=$A19)*(TEXT('Daily Checklist'!$B$2:$B$2000,"yyyy-mm-dd")=TEXT(($B$4+13),"yyyy-mm-dd"))*('Daily Checklist'!$F$2:$F$2000="Done"))&amp;"/"&amp;SUMPRODUCT(('Daily Checklist'!$D$2:$D$2000=$A19)*(TEXT('Daily Checklist'!$B$2:$B$2000,"yyyy-mm-dd")=TEXT(($B$4+13),"yyyy-mm-dd"))))))</f>
        <v>-</v>
      </c>
      <c r="P19" s="25" t="str">
        <f aca="false">IF($A19="","",IF(SUMPRODUCT(('Daily Checklist'!$D$2:$D$2000=$A19)*(TEXT('Daily Checklist'!$B$2:$B$2000,"yyyy-mm-dd")=TEXT(($B$4+14),"yyyy-mm-dd")))=0,"-",IF(SUMPRODUCT(('Daily Checklist'!$D$2:$D$2000=$A19)*(TEXT('Daily Checklist'!$B$2:$B$2000,"yyyy-mm-dd")=TEXT(($B$4+14),"yyyy-mm-dd"))*('Daily Checklist'!$L$2:$L$2000="Y"))&gt;0,SUMPRODUCT(('Daily Checklist'!$D$2:$D$2000=$A19)*(TEXT('Daily Checklist'!$B$2:$B$2000,"yyyy-mm-dd")=TEXT(($B$4+14),"yyyy-mm-dd"))*('Daily Checklist'!$F$2:$F$2000="Done"))&amp;"/"&amp;SUMPRODUCT(('Daily Checklist'!$D$2:$D$2000=$A19)*(TEXT('Daily Checklist'!$B$2:$B$2000,"yyyy-mm-dd")=TEXT(($B$4+14),"yyyy-mm-dd")))&amp;" ESC",SUMPRODUCT(('Daily Checklist'!$D$2:$D$2000=$A19)*(TEXT('Daily Checklist'!$B$2:$B$2000,"yyyy-mm-dd")=TEXT(($B$4+14),"yyyy-mm-dd"))*('Daily Checklist'!$F$2:$F$2000="Done"))&amp;"/"&amp;SUMPRODUCT(('Daily Checklist'!$D$2:$D$2000=$A19)*(TEXT('Daily Checklist'!$B$2:$B$2000,"yyyy-mm-dd")=TEXT(($B$4+14),"yyyy-mm-dd"))))))</f>
        <v>-</v>
      </c>
      <c r="Q19" s="25" t="str">
        <f aca="false">IF($A19="","",IF(SUMPRODUCT(('Daily Checklist'!$D$2:$D$2000=$A19)*(TEXT('Daily Checklist'!$B$2:$B$2000,"yyyy-mm-dd")=TEXT(($B$4+15),"yyyy-mm-dd")))=0,"-",IF(SUMPRODUCT(('Daily Checklist'!$D$2:$D$2000=$A19)*(TEXT('Daily Checklist'!$B$2:$B$2000,"yyyy-mm-dd")=TEXT(($B$4+15),"yyyy-mm-dd"))*('Daily Checklist'!$L$2:$L$2000="Y"))&gt;0,SUMPRODUCT(('Daily Checklist'!$D$2:$D$2000=$A19)*(TEXT('Daily Checklist'!$B$2:$B$2000,"yyyy-mm-dd")=TEXT(($B$4+15),"yyyy-mm-dd"))*('Daily Checklist'!$F$2:$F$2000="Done"))&amp;"/"&amp;SUMPRODUCT(('Daily Checklist'!$D$2:$D$2000=$A19)*(TEXT('Daily Checklist'!$B$2:$B$2000,"yyyy-mm-dd")=TEXT(($B$4+15),"yyyy-mm-dd")))&amp;" ESC",SUMPRODUCT(('Daily Checklist'!$D$2:$D$2000=$A19)*(TEXT('Daily Checklist'!$B$2:$B$2000,"yyyy-mm-dd")=TEXT(($B$4+15),"yyyy-mm-dd"))*('Daily Checklist'!$F$2:$F$2000="Done"))&amp;"/"&amp;SUMPRODUCT(('Daily Checklist'!$D$2:$D$2000=$A19)*(TEXT('Daily Checklist'!$B$2:$B$2000,"yyyy-mm-dd")=TEXT(($B$4+15),"yyyy-mm-dd"))))))</f>
        <v>-</v>
      </c>
      <c r="R19" s="25" t="str">
        <f aca="false">IF($A19="","",IF(SUMPRODUCT(('Daily Checklist'!$D$2:$D$2000=$A19)*(TEXT('Daily Checklist'!$B$2:$B$2000,"yyyy-mm-dd")=TEXT(($B$4+16),"yyyy-mm-dd")))=0,"-",IF(SUMPRODUCT(('Daily Checklist'!$D$2:$D$2000=$A19)*(TEXT('Daily Checklist'!$B$2:$B$2000,"yyyy-mm-dd")=TEXT(($B$4+16),"yyyy-mm-dd"))*('Daily Checklist'!$L$2:$L$2000="Y"))&gt;0,SUMPRODUCT(('Daily Checklist'!$D$2:$D$2000=$A19)*(TEXT('Daily Checklist'!$B$2:$B$2000,"yyyy-mm-dd")=TEXT(($B$4+16),"yyyy-mm-dd"))*('Daily Checklist'!$F$2:$F$2000="Done"))&amp;"/"&amp;SUMPRODUCT(('Daily Checklist'!$D$2:$D$2000=$A19)*(TEXT('Daily Checklist'!$B$2:$B$2000,"yyyy-mm-dd")=TEXT(($B$4+16),"yyyy-mm-dd")))&amp;" ESC",SUMPRODUCT(('Daily Checklist'!$D$2:$D$2000=$A19)*(TEXT('Daily Checklist'!$B$2:$B$2000,"yyyy-mm-dd")=TEXT(($B$4+16),"yyyy-mm-dd"))*('Daily Checklist'!$F$2:$F$2000="Done"))&amp;"/"&amp;SUMPRODUCT(('Daily Checklist'!$D$2:$D$2000=$A19)*(TEXT('Daily Checklist'!$B$2:$B$2000,"yyyy-mm-dd")=TEXT(($B$4+16),"yyyy-mm-dd"))))))</f>
        <v>-</v>
      </c>
      <c r="S19" s="25" t="str">
        <f aca="false">IF($A19="","",IF(SUMPRODUCT(('Daily Checklist'!$D$2:$D$2000=$A19)*(TEXT('Daily Checklist'!$B$2:$B$2000,"yyyy-mm-dd")=TEXT(($B$4+17),"yyyy-mm-dd")))=0,"-",IF(SUMPRODUCT(('Daily Checklist'!$D$2:$D$2000=$A19)*(TEXT('Daily Checklist'!$B$2:$B$2000,"yyyy-mm-dd")=TEXT(($B$4+17),"yyyy-mm-dd"))*('Daily Checklist'!$L$2:$L$2000="Y"))&gt;0,SUMPRODUCT(('Daily Checklist'!$D$2:$D$2000=$A19)*(TEXT('Daily Checklist'!$B$2:$B$2000,"yyyy-mm-dd")=TEXT(($B$4+17),"yyyy-mm-dd"))*('Daily Checklist'!$F$2:$F$2000="Done"))&amp;"/"&amp;SUMPRODUCT(('Daily Checklist'!$D$2:$D$2000=$A19)*(TEXT('Daily Checklist'!$B$2:$B$2000,"yyyy-mm-dd")=TEXT(($B$4+17),"yyyy-mm-dd")))&amp;" ESC",SUMPRODUCT(('Daily Checklist'!$D$2:$D$2000=$A19)*(TEXT('Daily Checklist'!$B$2:$B$2000,"yyyy-mm-dd")=TEXT(($B$4+17),"yyyy-mm-dd"))*('Daily Checklist'!$F$2:$F$2000="Done"))&amp;"/"&amp;SUMPRODUCT(('Daily Checklist'!$D$2:$D$2000=$A19)*(TEXT('Daily Checklist'!$B$2:$B$2000,"yyyy-mm-dd")=TEXT(($B$4+17),"yyyy-mm-dd"))))))</f>
        <v>-</v>
      </c>
      <c r="T19" s="25" t="str">
        <f aca="false">IF($A19="","",IF(SUMPRODUCT(('Daily Checklist'!$D$2:$D$2000=$A19)*(TEXT('Daily Checklist'!$B$2:$B$2000,"yyyy-mm-dd")=TEXT(($B$4+18),"yyyy-mm-dd")))=0,"-",IF(SUMPRODUCT(('Daily Checklist'!$D$2:$D$2000=$A19)*(TEXT('Daily Checklist'!$B$2:$B$2000,"yyyy-mm-dd")=TEXT(($B$4+18),"yyyy-mm-dd"))*('Daily Checklist'!$L$2:$L$2000="Y"))&gt;0,SUMPRODUCT(('Daily Checklist'!$D$2:$D$2000=$A19)*(TEXT('Daily Checklist'!$B$2:$B$2000,"yyyy-mm-dd")=TEXT(($B$4+18),"yyyy-mm-dd"))*('Daily Checklist'!$F$2:$F$2000="Done"))&amp;"/"&amp;SUMPRODUCT(('Daily Checklist'!$D$2:$D$2000=$A19)*(TEXT('Daily Checklist'!$B$2:$B$2000,"yyyy-mm-dd")=TEXT(($B$4+18),"yyyy-mm-dd")))&amp;" ESC",SUMPRODUCT(('Daily Checklist'!$D$2:$D$2000=$A19)*(TEXT('Daily Checklist'!$B$2:$B$2000,"yyyy-mm-dd")=TEXT(($B$4+18),"yyyy-mm-dd"))*('Daily Checklist'!$F$2:$F$2000="Done"))&amp;"/"&amp;SUMPRODUCT(('Daily Checklist'!$D$2:$D$2000=$A19)*(TEXT('Daily Checklist'!$B$2:$B$2000,"yyyy-mm-dd")=TEXT(($B$4+18),"yyyy-mm-dd"))))))</f>
        <v>-</v>
      </c>
      <c r="U19" s="25" t="str">
        <f aca="false">IF($A19="","",IF(SUMPRODUCT(('Daily Checklist'!$D$2:$D$2000=$A19)*(TEXT('Daily Checklist'!$B$2:$B$2000,"yyyy-mm-dd")=TEXT(($B$4+19),"yyyy-mm-dd")))=0,"-",IF(SUMPRODUCT(('Daily Checklist'!$D$2:$D$2000=$A19)*(TEXT('Daily Checklist'!$B$2:$B$2000,"yyyy-mm-dd")=TEXT(($B$4+19),"yyyy-mm-dd"))*('Daily Checklist'!$L$2:$L$2000="Y"))&gt;0,SUMPRODUCT(('Daily Checklist'!$D$2:$D$2000=$A19)*(TEXT('Daily Checklist'!$B$2:$B$2000,"yyyy-mm-dd")=TEXT(($B$4+19),"yyyy-mm-dd"))*('Daily Checklist'!$F$2:$F$2000="Done"))&amp;"/"&amp;SUMPRODUCT(('Daily Checklist'!$D$2:$D$2000=$A19)*(TEXT('Daily Checklist'!$B$2:$B$2000,"yyyy-mm-dd")=TEXT(($B$4+19),"yyyy-mm-dd")))&amp;" ESC",SUMPRODUCT(('Daily Checklist'!$D$2:$D$2000=$A19)*(TEXT('Daily Checklist'!$B$2:$B$2000,"yyyy-mm-dd")=TEXT(($B$4+19),"yyyy-mm-dd"))*('Daily Checklist'!$F$2:$F$2000="Done"))&amp;"/"&amp;SUMPRODUCT(('Daily Checklist'!$D$2:$D$2000=$A19)*(TEXT('Daily Checklist'!$B$2:$B$2000,"yyyy-mm-dd")=TEXT(($B$4+19),"yyyy-mm-dd"))))))</f>
        <v>-</v>
      </c>
      <c r="V19" s="25" t="str">
        <f aca="false">IF($A19="","",IF(SUMPRODUCT(('Daily Checklist'!$D$2:$D$2000=$A19)*(TEXT('Daily Checklist'!$B$2:$B$2000,"yyyy-mm-dd")=TEXT(($B$4+20),"yyyy-mm-dd")))=0,"-",IF(SUMPRODUCT(('Daily Checklist'!$D$2:$D$2000=$A19)*(TEXT('Daily Checklist'!$B$2:$B$2000,"yyyy-mm-dd")=TEXT(($B$4+20),"yyyy-mm-dd"))*('Daily Checklist'!$L$2:$L$2000="Y"))&gt;0,SUMPRODUCT(('Daily Checklist'!$D$2:$D$2000=$A19)*(TEXT('Daily Checklist'!$B$2:$B$2000,"yyyy-mm-dd")=TEXT(($B$4+20),"yyyy-mm-dd"))*('Daily Checklist'!$F$2:$F$2000="Done"))&amp;"/"&amp;SUMPRODUCT(('Daily Checklist'!$D$2:$D$2000=$A19)*(TEXT('Daily Checklist'!$B$2:$B$2000,"yyyy-mm-dd")=TEXT(($B$4+20),"yyyy-mm-dd")))&amp;" ESC",SUMPRODUCT(('Daily Checklist'!$D$2:$D$2000=$A19)*(TEXT('Daily Checklist'!$B$2:$B$2000,"yyyy-mm-dd")=TEXT(($B$4+20),"yyyy-mm-dd"))*('Daily Checklist'!$F$2:$F$2000="Done"))&amp;"/"&amp;SUMPRODUCT(('Daily Checklist'!$D$2:$D$2000=$A19)*(TEXT('Daily Checklist'!$B$2:$B$2000,"yyyy-mm-dd")=TEXT(($B$4+20),"yyyy-mm-dd"))))))</f>
        <v>-</v>
      </c>
      <c r="W19" s="25" t="str">
        <f aca="false">IF($A19="","",IF(SUMPRODUCT(('Daily Checklist'!$D$2:$D$2000=$A19)*(TEXT('Daily Checklist'!$B$2:$B$2000,"yyyy-mm-dd")=TEXT(($B$4+21),"yyyy-mm-dd")))=0,"-",IF(SUMPRODUCT(('Daily Checklist'!$D$2:$D$2000=$A19)*(TEXT('Daily Checklist'!$B$2:$B$2000,"yyyy-mm-dd")=TEXT(($B$4+21),"yyyy-mm-dd"))*('Daily Checklist'!$L$2:$L$2000="Y"))&gt;0,SUMPRODUCT(('Daily Checklist'!$D$2:$D$2000=$A19)*(TEXT('Daily Checklist'!$B$2:$B$2000,"yyyy-mm-dd")=TEXT(($B$4+21),"yyyy-mm-dd"))*('Daily Checklist'!$F$2:$F$2000="Done"))&amp;"/"&amp;SUMPRODUCT(('Daily Checklist'!$D$2:$D$2000=$A19)*(TEXT('Daily Checklist'!$B$2:$B$2000,"yyyy-mm-dd")=TEXT(($B$4+21),"yyyy-mm-dd")))&amp;" ESC",SUMPRODUCT(('Daily Checklist'!$D$2:$D$2000=$A19)*(TEXT('Daily Checklist'!$B$2:$B$2000,"yyyy-mm-dd")=TEXT(($B$4+21),"yyyy-mm-dd"))*('Daily Checklist'!$F$2:$F$2000="Done"))&amp;"/"&amp;SUMPRODUCT(('Daily Checklist'!$D$2:$D$2000=$A19)*(TEXT('Daily Checklist'!$B$2:$B$2000,"yyyy-mm-dd")=TEXT(($B$4+21),"yyyy-mm-dd"))))))</f>
        <v>-</v>
      </c>
      <c r="X19" s="25" t="str">
        <f aca="false">IF($A19="","",IF(SUMPRODUCT(('Daily Checklist'!$D$2:$D$2000=$A19)*(TEXT('Daily Checklist'!$B$2:$B$2000,"yyyy-mm-dd")=TEXT(($B$4+22),"yyyy-mm-dd")))=0,"-",IF(SUMPRODUCT(('Daily Checklist'!$D$2:$D$2000=$A19)*(TEXT('Daily Checklist'!$B$2:$B$2000,"yyyy-mm-dd")=TEXT(($B$4+22),"yyyy-mm-dd"))*('Daily Checklist'!$L$2:$L$2000="Y"))&gt;0,SUMPRODUCT(('Daily Checklist'!$D$2:$D$2000=$A19)*(TEXT('Daily Checklist'!$B$2:$B$2000,"yyyy-mm-dd")=TEXT(($B$4+22),"yyyy-mm-dd"))*('Daily Checklist'!$F$2:$F$2000="Done"))&amp;"/"&amp;SUMPRODUCT(('Daily Checklist'!$D$2:$D$2000=$A19)*(TEXT('Daily Checklist'!$B$2:$B$2000,"yyyy-mm-dd")=TEXT(($B$4+22),"yyyy-mm-dd")))&amp;" ESC",SUMPRODUCT(('Daily Checklist'!$D$2:$D$2000=$A19)*(TEXT('Daily Checklist'!$B$2:$B$2000,"yyyy-mm-dd")=TEXT(($B$4+22),"yyyy-mm-dd"))*('Daily Checklist'!$F$2:$F$2000="Done"))&amp;"/"&amp;SUMPRODUCT(('Daily Checklist'!$D$2:$D$2000=$A19)*(TEXT('Daily Checklist'!$B$2:$B$2000,"yyyy-mm-dd")=TEXT(($B$4+22),"yyyy-mm-dd"))))))</f>
        <v>-</v>
      </c>
      <c r="Y19" s="25" t="str">
        <f aca="false">IF($A19="","",IF(SUMPRODUCT(('Daily Checklist'!$D$2:$D$2000=$A19)*(TEXT('Daily Checklist'!$B$2:$B$2000,"yyyy-mm-dd")=TEXT(($B$4+23),"yyyy-mm-dd")))=0,"-",IF(SUMPRODUCT(('Daily Checklist'!$D$2:$D$2000=$A19)*(TEXT('Daily Checklist'!$B$2:$B$2000,"yyyy-mm-dd")=TEXT(($B$4+23),"yyyy-mm-dd"))*('Daily Checklist'!$L$2:$L$2000="Y"))&gt;0,SUMPRODUCT(('Daily Checklist'!$D$2:$D$2000=$A19)*(TEXT('Daily Checklist'!$B$2:$B$2000,"yyyy-mm-dd")=TEXT(($B$4+23),"yyyy-mm-dd"))*('Daily Checklist'!$F$2:$F$2000="Done"))&amp;"/"&amp;SUMPRODUCT(('Daily Checklist'!$D$2:$D$2000=$A19)*(TEXT('Daily Checklist'!$B$2:$B$2000,"yyyy-mm-dd")=TEXT(($B$4+23),"yyyy-mm-dd")))&amp;" ESC",SUMPRODUCT(('Daily Checklist'!$D$2:$D$2000=$A19)*(TEXT('Daily Checklist'!$B$2:$B$2000,"yyyy-mm-dd")=TEXT(($B$4+23),"yyyy-mm-dd"))*('Daily Checklist'!$F$2:$F$2000="Done"))&amp;"/"&amp;SUMPRODUCT(('Daily Checklist'!$D$2:$D$2000=$A19)*(TEXT('Daily Checklist'!$B$2:$B$2000,"yyyy-mm-dd")=TEXT(($B$4+23),"yyyy-mm-dd"))))))</f>
        <v>-</v>
      </c>
      <c r="Z19" s="25" t="str">
        <f aca="false">IF($A19="","",IF(SUMPRODUCT(('Daily Checklist'!$D$2:$D$2000=$A19)*(TEXT('Daily Checklist'!$B$2:$B$2000,"yyyy-mm-dd")=TEXT(($B$4+24),"yyyy-mm-dd")))=0,"-",IF(SUMPRODUCT(('Daily Checklist'!$D$2:$D$2000=$A19)*(TEXT('Daily Checklist'!$B$2:$B$2000,"yyyy-mm-dd")=TEXT(($B$4+24),"yyyy-mm-dd"))*('Daily Checklist'!$L$2:$L$2000="Y"))&gt;0,SUMPRODUCT(('Daily Checklist'!$D$2:$D$2000=$A19)*(TEXT('Daily Checklist'!$B$2:$B$2000,"yyyy-mm-dd")=TEXT(($B$4+24),"yyyy-mm-dd"))*('Daily Checklist'!$F$2:$F$2000="Done"))&amp;"/"&amp;SUMPRODUCT(('Daily Checklist'!$D$2:$D$2000=$A19)*(TEXT('Daily Checklist'!$B$2:$B$2000,"yyyy-mm-dd")=TEXT(($B$4+24),"yyyy-mm-dd")))&amp;" ESC",SUMPRODUCT(('Daily Checklist'!$D$2:$D$2000=$A19)*(TEXT('Daily Checklist'!$B$2:$B$2000,"yyyy-mm-dd")=TEXT(($B$4+24),"yyyy-mm-dd"))*('Daily Checklist'!$F$2:$F$2000="Done"))&amp;"/"&amp;SUMPRODUCT(('Daily Checklist'!$D$2:$D$2000=$A19)*(TEXT('Daily Checklist'!$B$2:$B$2000,"yyyy-mm-dd")=TEXT(($B$4+24),"yyyy-mm-dd"))))))</f>
        <v>-</v>
      </c>
      <c r="AA19" s="25" t="str">
        <f aca="false">IF($A19="","",IF(SUMPRODUCT(('Daily Checklist'!$D$2:$D$2000=$A19)*(TEXT('Daily Checklist'!$B$2:$B$2000,"yyyy-mm-dd")=TEXT(($B$4+25),"yyyy-mm-dd")))=0,"-",IF(SUMPRODUCT(('Daily Checklist'!$D$2:$D$2000=$A19)*(TEXT('Daily Checklist'!$B$2:$B$2000,"yyyy-mm-dd")=TEXT(($B$4+25),"yyyy-mm-dd"))*('Daily Checklist'!$L$2:$L$2000="Y"))&gt;0,SUMPRODUCT(('Daily Checklist'!$D$2:$D$2000=$A19)*(TEXT('Daily Checklist'!$B$2:$B$2000,"yyyy-mm-dd")=TEXT(($B$4+25),"yyyy-mm-dd"))*('Daily Checklist'!$F$2:$F$2000="Done"))&amp;"/"&amp;SUMPRODUCT(('Daily Checklist'!$D$2:$D$2000=$A19)*(TEXT('Daily Checklist'!$B$2:$B$2000,"yyyy-mm-dd")=TEXT(($B$4+25),"yyyy-mm-dd")))&amp;" ESC",SUMPRODUCT(('Daily Checklist'!$D$2:$D$2000=$A19)*(TEXT('Daily Checklist'!$B$2:$B$2000,"yyyy-mm-dd")=TEXT(($B$4+25),"yyyy-mm-dd"))*('Daily Checklist'!$F$2:$F$2000="Done"))&amp;"/"&amp;SUMPRODUCT(('Daily Checklist'!$D$2:$D$2000=$A19)*(TEXT('Daily Checklist'!$B$2:$B$2000,"yyyy-mm-dd")=TEXT(($B$4+25),"yyyy-mm-dd"))))))</f>
        <v>-</v>
      </c>
      <c r="AB19" s="25" t="str">
        <f aca="false">IF($A19="","",IF(SUMPRODUCT(('Daily Checklist'!$D$2:$D$2000=$A19)*(TEXT('Daily Checklist'!$B$2:$B$2000,"yyyy-mm-dd")=TEXT(($B$4+26),"yyyy-mm-dd")))=0,"-",IF(SUMPRODUCT(('Daily Checklist'!$D$2:$D$2000=$A19)*(TEXT('Daily Checklist'!$B$2:$B$2000,"yyyy-mm-dd")=TEXT(($B$4+26),"yyyy-mm-dd"))*('Daily Checklist'!$L$2:$L$2000="Y"))&gt;0,SUMPRODUCT(('Daily Checklist'!$D$2:$D$2000=$A19)*(TEXT('Daily Checklist'!$B$2:$B$2000,"yyyy-mm-dd")=TEXT(($B$4+26),"yyyy-mm-dd"))*('Daily Checklist'!$F$2:$F$2000="Done"))&amp;"/"&amp;SUMPRODUCT(('Daily Checklist'!$D$2:$D$2000=$A19)*(TEXT('Daily Checklist'!$B$2:$B$2000,"yyyy-mm-dd")=TEXT(($B$4+26),"yyyy-mm-dd")))&amp;" ESC",SUMPRODUCT(('Daily Checklist'!$D$2:$D$2000=$A19)*(TEXT('Daily Checklist'!$B$2:$B$2000,"yyyy-mm-dd")=TEXT(($B$4+26),"yyyy-mm-dd"))*('Daily Checklist'!$F$2:$F$2000="Done"))&amp;"/"&amp;SUMPRODUCT(('Daily Checklist'!$D$2:$D$2000=$A19)*(TEXT('Daily Checklist'!$B$2:$B$2000,"yyyy-mm-dd")=TEXT(($B$4+26),"yyyy-mm-dd"))))))</f>
        <v>-</v>
      </c>
      <c r="AC19" s="25" t="str">
        <f aca="false">IF($A19="","",IF(SUMPRODUCT(('Daily Checklist'!$D$2:$D$2000=$A19)*(TEXT('Daily Checklist'!$B$2:$B$2000,"yyyy-mm-dd")=TEXT(($B$4+27),"yyyy-mm-dd")))=0,"-",IF(SUMPRODUCT(('Daily Checklist'!$D$2:$D$2000=$A19)*(TEXT('Daily Checklist'!$B$2:$B$2000,"yyyy-mm-dd")=TEXT(($B$4+27),"yyyy-mm-dd"))*('Daily Checklist'!$L$2:$L$2000="Y"))&gt;0,SUMPRODUCT(('Daily Checklist'!$D$2:$D$2000=$A19)*(TEXT('Daily Checklist'!$B$2:$B$2000,"yyyy-mm-dd")=TEXT(($B$4+27),"yyyy-mm-dd"))*('Daily Checklist'!$F$2:$F$2000="Done"))&amp;"/"&amp;SUMPRODUCT(('Daily Checklist'!$D$2:$D$2000=$A19)*(TEXT('Daily Checklist'!$B$2:$B$2000,"yyyy-mm-dd")=TEXT(($B$4+27),"yyyy-mm-dd")))&amp;" ESC",SUMPRODUCT(('Daily Checklist'!$D$2:$D$2000=$A19)*(TEXT('Daily Checklist'!$B$2:$B$2000,"yyyy-mm-dd")=TEXT(($B$4+27),"yyyy-mm-dd"))*('Daily Checklist'!$F$2:$F$2000="Done"))&amp;"/"&amp;SUMPRODUCT(('Daily Checklist'!$D$2:$D$2000=$A19)*(TEXT('Daily Checklist'!$B$2:$B$2000,"yyyy-mm-dd")=TEXT(($B$4+27),"yyyy-mm-dd"))))))</f>
        <v>-</v>
      </c>
      <c r="AD19" s="25" t="str">
        <f aca="false">IF($A19="","",IF(SUMPRODUCT(('Daily Checklist'!$D$2:$D$2000=$A19)*(TEXT('Daily Checklist'!$B$2:$B$2000,"yyyy-mm-dd")=TEXT(($B$4+28),"yyyy-mm-dd")))=0,"-",IF(SUMPRODUCT(('Daily Checklist'!$D$2:$D$2000=$A19)*(TEXT('Daily Checklist'!$B$2:$B$2000,"yyyy-mm-dd")=TEXT(($B$4+28),"yyyy-mm-dd"))*('Daily Checklist'!$L$2:$L$2000="Y"))&gt;0,SUMPRODUCT(('Daily Checklist'!$D$2:$D$2000=$A19)*(TEXT('Daily Checklist'!$B$2:$B$2000,"yyyy-mm-dd")=TEXT(($B$4+28),"yyyy-mm-dd"))*('Daily Checklist'!$F$2:$F$2000="Done"))&amp;"/"&amp;SUMPRODUCT(('Daily Checklist'!$D$2:$D$2000=$A19)*(TEXT('Daily Checklist'!$B$2:$B$2000,"yyyy-mm-dd")=TEXT(($B$4+28),"yyyy-mm-dd")))&amp;" ESC",SUMPRODUCT(('Daily Checklist'!$D$2:$D$2000=$A19)*(TEXT('Daily Checklist'!$B$2:$B$2000,"yyyy-mm-dd")=TEXT(($B$4+28),"yyyy-mm-dd"))*('Daily Checklist'!$F$2:$F$2000="Done"))&amp;"/"&amp;SUMPRODUCT(('Daily Checklist'!$D$2:$D$2000=$A19)*(TEXT('Daily Checklist'!$B$2:$B$2000,"yyyy-mm-dd")=TEXT(($B$4+28),"yyyy-mm-dd"))))))</f>
        <v>-</v>
      </c>
      <c r="AE19" s="25" t="str">
        <f aca="false">IF($A19="","",IF(SUMPRODUCT(('Daily Checklist'!$D$2:$D$2000=$A19)*(TEXT('Daily Checklist'!$B$2:$B$2000,"yyyy-mm-dd")=TEXT(($B$4+29),"yyyy-mm-dd")))=0,"-",IF(SUMPRODUCT(('Daily Checklist'!$D$2:$D$2000=$A19)*(TEXT('Daily Checklist'!$B$2:$B$2000,"yyyy-mm-dd")=TEXT(($B$4+29),"yyyy-mm-dd"))*('Daily Checklist'!$L$2:$L$2000="Y"))&gt;0,SUMPRODUCT(('Daily Checklist'!$D$2:$D$2000=$A19)*(TEXT('Daily Checklist'!$B$2:$B$2000,"yyyy-mm-dd")=TEXT(($B$4+29),"yyyy-mm-dd"))*('Daily Checklist'!$F$2:$F$2000="Done"))&amp;"/"&amp;SUMPRODUCT(('Daily Checklist'!$D$2:$D$2000=$A19)*(TEXT('Daily Checklist'!$B$2:$B$2000,"yyyy-mm-dd")=TEXT(($B$4+29),"yyyy-mm-dd")))&amp;" ESC",SUMPRODUCT(('Daily Checklist'!$D$2:$D$2000=$A19)*(TEXT('Daily Checklist'!$B$2:$B$2000,"yyyy-mm-dd")=TEXT(($B$4+29),"yyyy-mm-dd"))*('Daily Checklist'!$F$2:$F$2000="Done"))&amp;"/"&amp;SUMPRODUCT(('Daily Checklist'!$D$2:$D$2000=$A19)*(TEXT('Daily Checklist'!$B$2:$B$2000,"yyyy-mm-dd")=TEXT(($B$4+29),"yyyy-mm-dd"))))))</f>
        <v>-</v>
      </c>
      <c r="AF19" s="25" t="str">
        <f aca="false">IF($A19="","",IF(SUMPRODUCT(('Daily Checklist'!$D$2:$D$2000=$A19)*(TEXT('Daily Checklist'!$B$2:$B$2000,"yyyy-mm-dd")=TEXT(($B$4+30),"yyyy-mm-dd")))=0,"-",IF(SUMPRODUCT(('Daily Checklist'!$D$2:$D$2000=$A19)*(TEXT('Daily Checklist'!$B$2:$B$2000,"yyyy-mm-dd")=TEXT(($B$4+30),"yyyy-mm-dd"))*('Daily Checklist'!$L$2:$L$2000="Y"))&gt;0,SUMPRODUCT(('Daily Checklist'!$D$2:$D$2000=$A19)*(TEXT('Daily Checklist'!$B$2:$B$2000,"yyyy-mm-dd")=TEXT(($B$4+30),"yyyy-mm-dd"))*('Daily Checklist'!$F$2:$F$2000="Done"))&amp;"/"&amp;SUMPRODUCT(('Daily Checklist'!$D$2:$D$2000=$A19)*(TEXT('Daily Checklist'!$B$2:$B$2000,"yyyy-mm-dd")=TEXT(($B$4+30),"yyyy-mm-dd")))&amp;" ESC",SUMPRODUCT(('Daily Checklist'!$D$2:$D$2000=$A19)*(TEXT('Daily Checklist'!$B$2:$B$2000,"yyyy-mm-dd")=TEXT(($B$4+30),"yyyy-mm-dd"))*('Daily Checklist'!$F$2:$F$2000="Done"))&amp;"/"&amp;SUMPRODUCT(('Daily Checklist'!$D$2:$D$2000=$A19)*(TEXT('Daily Checklist'!$B$2:$B$2000,"yyyy-mm-dd")=TEXT(($B$4+30),"yyyy-mm-dd"))))))</f>
        <v>-</v>
      </c>
    </row>
    <row r="20" customFormat="false" ht="15" hidden="false" customHeight="true" outlineLevel="0" collapsed="false">
      <c r="A20" s="24" t="str">
        <f aca="false">IFERROR(IF(Employees!A15="","",Employees!A15),"")</f>
        <v/>
      </c>
      <c r="B20" s="25" t="str">
        <f aca="false">IF($A20="","",IF(SUMPRODUCT(('Daily Checklist'!$D$2:$D$2000=$A20)*(TEXT('Daily Checklist'!$B$2:$B$2000,"yyyy-mm-dd")=TEXT(($B$4+0),"yyyy-mm-dd")))=0,"-",IF(SUMPRODUCT(('Daily Checklist'!$D$2:$D$2000=$A20)*(TEXT('Daily Checklist'!$B$2:$B$2000,"yyyy-mm-dd")=TEXT(($B$4+0),"yyyy-mm-dd"))*('Daily Checklist'!$L$2:$L$2000="Y"))&gt;0,SUMPRODUCT(('Daily Checklist'!$D$2:$D$2000=$A20)*(TEXT('Daily Checklist'!$B$2:$B$2000,"yyyy-mm-dd")=TEXT(($B$4+0),"yyyy-mm-dd"))*('Daily Checklist'!$F$2:$F$2000="Done"))&amp;"/"&amp;SUMPRODUCT(('Daily Checklist'!$D$2:$D$2000=$A20)*(TEXT('Daily Checklist'!$B$2:$B$2000,"yyyy-mm-dd")=TEXT(($B$4+0),"yyyy-mm-dd")))&amp;" ESC",SUMPRODUCT(('Daily Checklist'!$D$2:$D$2000=$A20)*(TEXT('Daily Checklist'!$B$2:$B$2000,"yyyy-mm-dd")=TEXT(($B$4+0),"yyyy-mm-dd"))*('Daily Checklist'!$F$2:$F$2000="Done"))&amp;"/"&amp;SUMPRODUCT(('Daily Checklist'!$D$2:$D$2000=$A20)*(TEXT('Daily Checklist'!$B$2:$B$2000,"yyyy-mm-dd")=TEXT(($B$4+0),"yyyy-mm-dd"))))))</f>
        <v/>
      </c>
      <c r="C20" s="25" t="str">
        <f aca="false">IF($A20="","",IF(SUMPRODUCT(('Daily Checklist'!$D$2:$D$2000=$A20)*(TEXT('Daily Checklist'!$B$2:$B$2000,"yyyy-mm-dd")=TEXT(($B$4+1),"yyyy-mm-dd")))=0,"-",IF(SUMPRODUCT(('Daily Checklist'!$D$2:$D$2000=$A20)*(TEXT('Daily Checklist'!$B$2:$B$2000,"yyyy-mm-dd")=TEXT(($B$4+1),"yyyy-mm-dd"))*('Daily Checklist'!$L$2:$L$2000="Y"))&gt;0,SUMPRODUCT(('Daily Checklist'!$D$2:$D$2000=$A20)*(TEXT('Daily Checklist'!$B$2:$B$2000,"yyyy-mm-dd")=TEXT(($B$4+1),"yyyy-mm-dd"))*('Daily Checklist'!$F$2:$F$2000="Done"))&amp;"/"&amp;SUMPRODUCT(('Daily Checklist'!$D$2:$D$2000=$A20)*(TEXT('Daily Checklist'!$B$2:$B$2000,"yyyy-mm-dd")=TEXT(($B$4+1),"yyyy-mm-dd")))&amp;" ESC",SUMPRODUCT(('Daily Checklist'!$D$2:$D$2000=$A20)*(TEXT('Daily Checklist'!$B$2:$B$2000,"yyyy-mm-dd")=TEXT(($B$4+1),"yyyy-mm-dd"))*('Daily Checklist'!$F$2:$F$2000="Done"))&amp;"/"&amp;SUMPRODUCT(('Daily Checklist'!$D$2:$D$2000=$A20)*(TEXT('Daily Checklist'!$B$2:$B$2000,"yyyy-mm-dd")=TEXT(($B$4+1),"yyyy-mm-dd"))))))</f>
        <v/>
      </c>
      <c r="D20" s="25" t="str">
        <f aca="false">IF($A20="","",IF(SUMPRODUCT(('Daily Checklist'!$D$2:$D$2000=$A20)*(TEXT('Daily Checklist'!$B$2:$B$2000,"yyyy-mm-dd")=TEXT(($B$4+2),"yyyy-mm-dd")))=0,"-",IF(SUMPRODUCT(('Daily Checklist'!$D$2:$D$2000=$A20)*(TEXT('Daily Checklist'!$B$2:$B$2000,"yyyy-mm-dd")=TEXT(($B$4+2),"yyyy-mm-dd"))*('Daily Checklist'!$L$2:$L$2000="Y"))&gt;0,SUMPRODUCT(('Daily Checklist'!$D$2:$D$2000=$A20)*(TEXT('Daily Checklist'!$B$2:$B$2000,"yyyy-mm-dd")=TEXT(($B$4+2),"yyyy-mm-dd"))*('Daily Checklist'!$F$2:$F$2000="Done"))&amp;"/"&amp;SUMPRODUCT(('Daily Checklist'!$D$2:$D$2000=$A20)*(TEXT('Daily Checklist'!$B$2:$B$2000,"yyyy-mm-dd")=TEXT(($B$4+2),"yyyy-mm-dd")))&amp;" ESC",SUMPRODUCT(('Daily Checklist'!$D$2:$D$2000=$A20)*(TEXT('Daily Checklist'!$B$2:$B$2000,"yyyy-mm-dd")=TEXT(($B$4+2),"yyyy-mm-dd"))*('Daily Checklist'!$F$2:$F$2000="Done"))&amp;"/"&amp;SUMPRODUCT(('Daily Checklist'!$D$2:$D$2000=$A20)*(TEXT('Daily Checklist'!$B$2:$B$2000,"yyyy-mm-dd")=TEXT(($B$4+2),"yyyy-mm-dd"))))))</f>
        <v/>
      </c>
      <c r="E20" s="25" t="str">
        <f aca="false">IF($A20="","",IF(SUMPRODUCT(('Daily Checklist'!$D$2:$D$2000=$A20)*(TEXT('Daily Checklist'!$B$2:$B$2000,"yyyy-mm-dd")=TEXT(($B$4+3),"yyyy-mm-dd")))=0,"-",IF(SUMPRODUCT(('Daily Checklist'!$D$2:$D$2000=$A20)*(TEXT('Daily Checklist'!$B$2:$B$2000,"yyyy-mm-dd")=TEXT(($B$4+3),"yyyy-mm-dd"))*('Daily Checklist'!$L$2:$L$2000="Y"))&gt;0,SUMPRODUCT(('Daily Checklist'!$D$2:$D$2000=$A20)*(TEXT('Daily Checklist'!$B$2:$B$2000,"yyyy-mm-dd")=TEXT(($B$4+3),"yyyy-mm-dd"))*('Daily Checklist'!$F$2:$F$2000="Done"))&amp;"/"&amp;SUMPRODUCT(('Daily Checklist'!$D$2:$D$2000=$A20)*(TEXT('Daily Checklist'!$B$2:$B$2000,"yyyy-mm-dd")=TEXT(($B$4+3),"yyyy-mm-dd")))&amp;" ESC",SUMPRODUCT(('Daily Checklist'!$D$2:$D$2000=$A20)*(TEXT('Daily Checklist'!$B$2:$B$2000,"yyyy-mm-dd")=TEXT(($B$4+3),"yyyy-mm-dd"))*('Daily Checklist'!$F$2:$F$2000="Done"))&amp;"/"&amp;SUMPRODUCT(('Daily Checklist'!$D$2:$D$2000=$A20)*(TEXT('Daily Checklist'!$B$2:$B$2000,"yyyy-mm-dd")=TEXT(($B$4+3),"yyyy-mm-dd"))))))</f>
        <v/>
      </c>
      <c r="F20" s="25" t="str">
        <f aca="false">IF($A20="","",IF(SUMPRODUCT(('Daily Checklist'!$D$2:$D$2000=$A20)*(TEXT('Daily Checklist'!$B$2:$B$2000,"yyyy-mm-dd")=TEXT(($B$4+4),"yyyy-mm-dd")))=0,"-",IF(SUMPRODUCT(('Daily Checklist'!$D$2:$D$2000=$A20)*(TEXT('Daily Checklist'!$B$2:$B$2000,"yyyy-mm-dd")=TEXT(($B$4+4),"yyyy-mm-dd"))*('Daily Checklist'!$L$2:$L$2000="Y"))&gt;0,SUMPRODUCT(('Daily Checklist'!$D$2:$D$2000=$A20)*(TEXT('Daily Checklist'!$B$2:$B$2000,"yyyy-mm-dd")=TEXT(($B$4+4),"yyyy-mm-dd"))*('Daily Checklist'!$F$2:$F$2000="Done"))&amp;"/"&amp;SUMPRODUCT(('Daily Checklist'!$D$2:$D$2000=$A20)*(TEXT('Daily Checklist'!$B$2:$B$2000,"yyyy-mm-dd")=TEXT(($B$4+4),"yyyy-mm-dd")))&amp;" ESC",SUMPRODUCT(('Daily Checklist'!$D$2:$D$2000=$A20)*(TEXT('Daily Checklist'!$B$2:$B$2000,"yyyy-mm-dd")=TEXT(($B$4+4),"yyyy-mm-dd"))*('Daily Checklist'!$F$2:$F$2000="Done"))&amp;"/"&amp;SUMPRODUCT(('Daily Checklist'!$D$2:$D$2000=$A20)*(TEXT('Daily Checklist'!$B$2:$B$2000,"yyyy-mm-dd")=TEXT(($B$4+4),"yyyy-mm-dd"))))))</f>
        <v/>
      </c>
      <c r="G20" s="25" t="str">
        <f aca="false">IF($A20="","",IF(SUMPRODUCT(('Daily Checklist'!$D$2:$D$2000=$A20)*(TEXT('Daily Checklist'!$B$2:$B$2000,"yyyy-mm-dd")=TEXT(($B$4+5),"yyyy-mm-dd")))=0,"-",IF(SUMPRODUCT(('Daily Checklist'!$D$2:$D$2000=$A20)*(TEXT('Daily Checklist'!$B$2:$B$2000,"yyyy-mm-dd")=TEXT(($B$4+5),"yyyy-mm-dd"))*('Daily Checklist'!$L$2:$L$2000="Y"))&gt;0,SUMPRODUCT(('Daily Checklist'!$D$2:$D$2000=$A20)*(TEXT('Daily Checklist'!$B$2:$B$2000,"yyyy-mm-dd")=TEXT(($B$4+5),"yyyy-mm-dd"))*('Daily Checklist'!$F$2:$F$2000="Done"))&amp;"/"&amp;SUMPRODUCT(('Daily Checklist'!$D$2:$D$2000=$A20)*(TEXT('Daily Checklist'!$B$2:$B$2000,"yyyy-mm-dd")=TEXT(($B$4+5),"yyyy-mm-dd")))&amp;" ESC",SUMPRODUCT(('Daily Checklist'!$D$2:$D$2000=$A20)*(TEXT('Daily Checklist'!$B$2:$B$2000,"yyyy-mm-dd")=TEXT(($B$4+5),"yyyy-mm-dd"))*('Daily Checklist'!$F$2:$F$2000="Done"))&amp;"/"&amp;SUMPRODUCT(('Daily Checklist'!$D$2:$D$2000=$A20)*(TEXT('Daily Checklist'!$B$2:$B$2000,"yyyy-mm-dd")=TEXT(($B$4+5),"yyyy-mm-dd"))))))</f>
        <v/>
      </c>
      <c r="H20" s="25" t="str">
        <f aca="false">IF($A20="","",IF(SUMPRODUCT(('Daily Checklist'!$D$2:$D$2000=$A20)*(TEXT('Daily Checklist'!$B$2:$B$2000,"yyyy-mm-dd")=TEXT(($B$4+6),"yyyy-mm-dd")))=0,"-",IF(SUMPRODUCT(('Daily Checklist'!$D$2:$D$2000=$A20)*(TEXT('Daily Checklist'!$B$2:$B$2000,"yyyy-mm-dd")=TEXT(($B$4+6),"yyyy-mm-dd"))*('Daily Checklist'!$L$2:$L$2000="Y"))&gt;0,SUMPRODUCT(('Daily Checklist'!$D$2:$D$2000=$A20)*(TEXT('Daily Checklist'!$B$2:$B$2000,"yyyy-mm-dd")=TEXT(($B$4+6),"yyyy-mm-dd"))*('Daily Checklist'!$F$2:$F$2000="Done"))&amp;"/"&amp;SUMPRODUCT(('Daily Checklist'!$D$2:$D$2000=$A20)*(TEXT('Daily Checklist'!$B$2:$B$2000,"yyyy-mm-dd")=TEXT(($B$4+6),"yyyy-mm-dd")))&amp;" ESC",SUMPRODUCT(('Daily Checklist'!$D$2:$D$2000=$A20)*(TEXT('Daily Checklist'!$B$2:$B$2000,"yyyy-mm-dd")=TEXT(($B$4+6),"yyyy-mm-dd"))*('Daily Checklist'!$F$2:$F$2000="Done"))&amp;"/"&amp;SUMPRODUCT(('Daily Checklist'!$D$2:$D$2000=$A20)*(TEXT('Daily Checklist'!$B$2:$B$2000,"yyyy-mm-dd")=TEXT(($B$4+6),"yyyy-mm-dd"))))))</f>
        <v/>
      </c>
      <c r="I20" s="25" t="str">
        <f aca="false">IF($A20="","",IF(SUMPRODUCT(('Daily Checklist'!$D$2:$D$2000=$A20)*(TEXT('Daily Checklist'!$B$2:$B$2000,"yyyy-mm-dd")=TEXT(($B$4+7),"yyyy-mm-dd")))=0,"-",IF(SUMPRODUCT(('Daily Checklist'!$D$2:$D$2000=$A20)*(TEXT('Daily Checklist'!$B$2:$B$2000,"yyyy-mm-dd")=TEXT(($B$4+7),"yyyy-mm-dd"))*('Daily Checklist'!$L$2:$L$2000="Y"))&gt;0,SUMPRODUCT(('Daily Checklist'!$D$2:$D$2000=$A20)*(TEXT('Daily Checklist'!$B$2:$B$2000,"yyyy-mm-dd")=TEXT(($B$4+7),"yyyy-mm-dd"))*('Daily Checklist'!$F$2:$F$2000="Done"))&amp;"/"&amp;SUMPRODUCT(('Daily Checklist'!$D$2:$D$2000=$A20)*(TEXT('Daily Checklist'!$B$2:$B$2000,"yyyy-mm-dd")=TEXT(($B$4+7),"yyyy-mm-dd")))&amp;" ESC",SUMPRODUCT(('Daily Checklist'!$D$2:$D$2000=$A20)*(TEXT('Daily Checklist'!$B$2:$B$2000,"yyyy-mm-dd")=TEXT(($B$4+7),"yyyy-mm-dd"))*('Daily Checklist'!$F$2:$F$2000="Done"))&amp;"/"&amp;SUMPRODUCT(('Daily Checklist'!$D$2:$D$2000=$A20)*(TEXT('Daily Checklist'!$B$2:$B$2000,"yyyy-mm-dd")=TEXT(($B$4+7),"yyyy-mm-dd"))))))</f>
        <v/>
      </c>
      <c r="J20" s="25" t="str">
        <f aca="false">IF($A20="","",IF(SUMPRODUCT(('Daily Checklist'!$D$2:$D$2000=$A20)*(TEXT('Daily Checklist'!$B$2:$B$2000,"yyyy-mm-dd")=TEXT(($B$4+8),"yyyy-mm-dd")))=0,"-",IF(SUMPRODUCT(('Daily Checklist'!$D$2:$D$2000=$A20)*(TEXT('Daily Checklist'!$B$2:$B$2000,"yyyy-mm-dd")=TEXT(($B$4+8),"yyyy-mm-dd"))*('Daily Checklist'!$L$2:$L$2000="Y"))&gt;0,SUMPRODUCT(('Daily Checklist'!$D$2:$D$2000=$A20)*(TEXT('Daily Checklist'!$B$2:$B$2000,"yyyy-mm-dd")=TEXT(($B$4+8),"yyyy-mm-dd"))*('Daily Checklist'!$F$2:$F$2000="Done"))&amp;"/"&amp;SUMPRODUCT(('Daily Checklist'!$D$2:$D$2000=$A20)*(TEXT('Daily Checklist'!$B$2:$B$2000,"yyyy-mm-dd")=TEXT(($B$4+8),"yyyy-mm-dd")))&amp;" ESC",SUMPRODUCT(('Daily Checklist'!$D$2:$D$2000=$A20)*(TEXT('Daily Checklist'!$B$2:$B$2000,"yyyy-mm-dd")=TEXT(($B$4+8),"yyyy-mm-dd"))*('Daily Checklist'!$F$2:$F$2000="Done"))&amp;"/"&amp;SUMPRODUCT(('Daily Checklist'!$D$2:$D$2000=$A20)*(TEXT('Daily Checklist'!$B$2:$B$2000,"yyyy-mm-dd")=TEXT(($B$4+8),"yyyy-mm-dd"))))))</f>
        <v/>
      </c>
      <c r="K20" s="25" t="str">
        <f aca="false">IF($A20="","",IF(SUMPRODUCT(('Daily Checklist'!$D$2:$D$2000=$A20)*(TEXT('Daily Checklist'!$B$2:$B$2000,"yyyy-mm-dd")=TEXT(($B$4+9),"yyyy-mm-dd")))=0,"-",IF(SUMPRODUCT(('Daily Checklist'!$D$2:$D$2000=$A20)*(TEXT('Daily Checklist'!$B$2:$B$2000,"yyyy-mm-dd")=TEXT(($B$4+9),"yyyy-mm-dd"))*('Daily Checklist'!$L$2:$L$2000="Y"))&gt;0,SUMPRODUCT(('Daily Checklist'!$D$2:$D$2000=$A20)*(TEXT('Daily Checklist'!$B$2:$B$2000,"yyyy-mm-dd")=TEXT(($B$4+9),"yyyy-mm-dd"))*('Daily Checklist'!$F$2:$F$2000="Done"))&amp;"/"&amp;SUMPRODUCT(('Daily Checklist'!$D$2:$D$2000=$A20)*(TEXT('Daily Checklist'!$B$2:$B$2000,"yyyy-mm-dd")=TEXT(($B$4+9),"yyyy-mm-dd")))&amp;" ESC",SUMPRODUCT(('Daily Checklist'!$D$2:$D$2000=$A20)*(TEXT('Daily Checklist'!$B$2:$B$2000,"yyyy-mm-dd")=TEXT(($B$4+9),"yyyy-mm-dd"))*('Daily Checklist'!$F$2:$F$2000="Done"))&amp;"/"&amp;SUMPRODUCT(('Daily Checklist'!$D$2:$D$2000=$A20)*(TEXT('Daily Checklist'!$B$2:$B$2000,"yyyy-mm-dd")=TEXT(($B$4+9),"yyyy-mm-dd"))))))</f>
        <v/>
      </c>
      <c r="L20" s="25" t="str">
        <f aca="false">IF($A20="","",IF(SUMPRODUCT(('Daily Checklist'!$D$2:$D$2000=$A20)*(TEXT('Daily Checklist'!$B$2:$B$2000,"yyyy-mm-dd")=TEXT(($B$4+10),"yyyy-mm-dd")))=0,"-",IF(SUMPRODUCT(('Daily Checklist'!$D$2:$D$2000=$A20)*(TEXT('Daily Checklist'!$B$2:$B$2000,"yyyy-mm-dd")=TEXT(($B$4+10),"yyyy-mm-dd"))*('Daily Checklist'!$L$2:$L$2000="Y"))&gt;0,SUMPRODUCT(('Daily Checklist'!$D$2:$D$2000=$A20)*(TEXT('Daily Checklist'!$B$2:$B$2000,"yyyy-mm-dd")=TEXT(($B$4+10),"yyyy-mm-dd"))*('Daily Checklist'!$F$2:$F$2000="Done"))&amp;"/"&amp;SUMPRODUCT(('Daily Checklist'!$D$2:$D$2000=$A20)*(TEXT('Daily Checklist'!$B$2:$B$2000,"yyyy-mm-dd")=TEXT(($B$4+10),"yyyy-mm-dd")))&amp;" ESC",SUMPRODUCT(('Daily Checklist'!$D$2:$D$2000=$A20)*(TEXT('Daily Checklist'!$B$2:$B$2000,"yyyy-mm-dd")=TEXT(($B$4+10),"yyyy-mm-dd"))*('Daily Checklist'!$F$2:$F$2000="Done"))&amp;"/"&amp;SUMPRODUCT(('Daily Checklist'!$D$2:$D$2000=$A20)*(TEXT('Daily Checklist'!$B$2:$B$2000,"yyyy-mm-dd")=TEXT(($B$4+10),"yyyy-mm-dd"))))))</f>
        <v/>
      </c>
      <c r="M20" s="25" t="str">
        <f aca="false">IF($A20="","",IF(SUMPRODUCT(('Daily Checklist'!$D$2:$D$2000=$A20)*(TEXT('Daily Checklist'!$B$2:$B$2000,"yyyy-mm-dd")=TEXT(($B$4+11),"yyyy-mm-dd")))=0,"-",IF(SUMPRODUCT(('Daily Checklist'!$D$2:$D$2000=$A20)*(TEXT('Daily Checklist'!$B$2:$B$2000,"yyyy-mm-dd")=TEXT(($B$4+11),"yyyy-mm-dd"))*('Daily Checklist'!$L$2:$L$2000="Y"))&gt;0,SUMPRODUCT(('Daily Checklist'!$D$2:$D$2000=$A20)*(TEXT('Daily Checklist'!$B$2:$B$2000,"yyyy-mm-dd")=TEXT(($B$4+11),"yyyy-mm-dd"))*('Daily Checklist'!$F$2:$F$2000="Done"))&amp;"/"&amp;SUMPRODUCT(('Daily Checklist'!$D$2:$D$2000=$A20)*(TEXT('Daily Checklist'!$B$2:$B$2000,"yyyy-mm-dd")=TEXT(($B$4+11),"yyyy-mm-dd")))&amp;" ESC",SUMPRODUCT(('Daily Checklist'!$D$2:$D$2000=$A20)*(TEXT('Daily Checklist'!$B$2:$B$2000,"yyyy-mm-dd")=TEXT(($B$4+11),"yyyy-mm-dd"))*('Daily Checklist'!$F$2:$F$2000="Done"))&amp;"/"&amp;SUMPRODUCT(('Daily Checklist'!$D$2:$D$2000=$A20)*(TEXT('Daily Checklist'!$B$2:$B$2000,"yyyy-mm-dd")=TEXT(($B$4+11),"yyyy-mm-dd"))))))</f>
        <v/>
      </c>
      <c r="N20" s="25" t="str">
        <f aca="false">IF($A20="","",IF(SUMPRODUCT(('Daily Checklist'!$D$2:$D$2000=$A20)*(TEXT('Daily Checklist'!$B$2:$B$2000,"yyyy-mm-dd")=TEXT(($B$4+12),"yyyy-mm-dd")))=0,"-",IF(SUMPRODUCT(('Daily Checklist'!$D$2:$D$2000=$A20)*(TEXT('Daily Checklist'!$B$2:$B$2000,"yyyy-mm-dd")=TEXT(($B$4+12),"yyyy-mm-dd"))*('Daily Checklist'!$L$2:$L$2000="Y"))&gt;0,SUMPRODUCT(('Daily Checklist'!$D$2:$D$2000=$A20)*(TEXT('Daily Checklist'!$B$2:$B$2000,"yyyy-mm-dd")=TEXT(($B$4+12),"yyyy-mm-dd"))*('Daily Checklist'!$F$2:$F$2000="Done"))&amp;"/"&amp;SUMPRODUCT(('Daily Checklist'!$D$2:$D$2000=$A20)*(TEXT('Daily Checklist'!$B$2:$B$2000,"yyyy-mm-dd")=TEXT(($B$4+12),"yyyy-mm-dd")))&amp;" ESC",SUMPRODUCT(('Daily Checklist'!$D$2:$D$2000=$A20)*(TEXT('Daily Checklist'!$B$2:$B$2000,"yyyy-mm-dd")=TEXT(($B$4+12),"yyyy-mm-dd"))*('Daily Checklist'!$F$2:$F$2000="Done"))&amp;"/"&amp;SUMPRODUCT(('Daily Checklist'!$D$2:$D$2000=$A20)*(TEXT('Daily Checklist'!$B$2:$B$2000,"yyyy-mm-dd")=TEXT(($B$4+12),"yyyy-mm-dd"))))))</f>
        <v/>
      </c>
      <c r="O20" s="25" t="str">
        <f aca="false">IF($A20="","",IF(SUMPRODUCT(('Daily Checklist'!$D$2:$D$2000=$A20)*(TEXT('Daily Checklist'!$B$2:$B$2000,"yyyy-mm-dd")=TEXT(($B$4+13),"yyyy-mm-dd")))=0,"-",IF(SUMPRODUCT(('Daily Checklist'!$D$2:$D$2000=$A20)*(TEXT('Daily Checklist'!$B$2:$B$2000,"yyyy-mm-dd")=TEXT(($B$4+13),"yyyy-mm-dd"))*('Daily Checklist'!$L$2:$L$2000="Y"))&gt;0,SUMPRODUCT(('Daily Checklist'!$D$2:$D$2000=$A20)*(TEXT('Daily Checklist'!$B$2:$B$2000,"yyyy-mm-dd")=TEXT(($B$4+13),"yyyy-mm-dd"))*('Daily Checklist'!$F$2:$F$2000="Done"))&amp;"/"&amp;SUMPRODUCT(('Daily Checklist'!$D$2:$D$2000=$A20)*(TEXT('Daily Checklist'!$B$2:$B$2000,"yyyy-mm-dd")=TEXT(($B$4+13),"yyyy-mm-dd")))&amp;" ESC",SUMPRODUCT(('Daily Checklist'!$D$2:$D$2000=$A20)*(TEXT('Daily Checklist'!$B$2:$B$2000,"yyyy-mm-dd")=TEXT(($B$4+13),"yyyy-mm-dd"))*('Daily Checklist'!$F$2:$F$2000="Done"))&amp;"/"&amp;SUMPRODUCT(('Daily Checklist'!$D$2:$D$2000=$A20)*(TEXT('Daily Checklist'!$B$2:$B$2000,"yyyy-mm-dd")=TEXT(($B$4+13),"yyyy-mm-dd"))))))</f>
        <v/>
      </c>
      <c r="P20" s="25" t="str">
        <f aca="false">IF($A20="","",IF(SUMPRODUCT(('Daily Checklist'!$D$2:$D$2000=$A20)*(TEXT('Daily Checklist'!$B$2:$B$2000,"yyyy-mm-dd")=TEXT(($B$4+14),"yyyy-mm-dd")))=0,"-",IF(SUMPRODUCT(('Daily Checklist'!$D$2:$D$2000=$A20)*(TEXT('Daily Checklist'!$B$2:$B$2000,"yyyy-mm-dd")=TEXT(($B$4+14),"yyyy-mm-dd"))*('Daily Checklist'!$L$2:$L$2000="Y"))&gt;0,SUMPRODUCT(('Daily Checklist'!$D$2:$D$2000=$A20)*(TEXT('Daily Checklist'!$B$2:$B$2000,"yyyy-mm-dd")=TEXT(($B$4+14),"yyyy-mm-dd"))*('Daily Checklist'!$F$2:$F$2000="Done"))&amp;"/"&amp;SUMPRODUCT(('Daily Checklist'!$D$2:$D$2000=$A20)*(TEXT('Daily Checklist'!$B$2:$B$2000,"yyyy-mm-dd")=TEXT(($B$4+14),"yyyy-mm-dd")))&amp;" ESC",SUMPRODUCT(('Daily Checklist'!$D$2:$D$2000=$A20)*(TEXT('Daily Checklist'!$B$2:$B$2000,"yyyy-mm-dd")=TEXT(($B$4+14),"yyyy-mm-dd"))*('Daily Checklist'!$F$2:$F$2000="Done"))&amp;"/"&amp;SUMPRODUCT(('Daily Checklist'!$D$2:$D$2000=$A20)*(TEXT('Daily Checklist'!$B$2:$B$2000,"yyyy-mm-dd")=TEXT(($B$4+14),"yyyy-mm-dd"))))))</f>
        <v/>
      </c>
      <c r="Q20" s="25" t="str">
        <f aca="false">IF($A20="","",IF(SUMPRODUCT(('Daily Checklist'!$D$2:$D$2000=$A20)*(TEXT('Daily Checklist'!$B$2:$B$2000,"yyyy-mm-dd")=TEXT(($B$4+15),"yyyy-mm-dd")))=0,"-",IF(SUMPRODUCT(('Daily Checklist'!$D$2:$D$2000=$A20)*(TEXT('Daily Checklist'!$B$2:$B$2000,"yyyy-mm-dd")=TEXT(($B$4+15),"yyyy-mm-dd"))*('Daily Checklist'!$L$2:$L$2000="Y"))&gt;0,SUMPRODUCT(('Daily Checklist'!$D$2:$D$2000=$A20)*(TEXT('Daily Checklist'!$B$2:$B$2000,"yyyy-mm-dd")=TEXT(($B$4+15),"yyyy-mm-dd"))*('Daily Checklist'!$F$2:$F$2000="Done"))&amp;"/"&amp;SUMPRODUCT(('Daily Checklist'!$D$2:$D$2000=$A20)*(TEXT('Daily Checklist'!$B$2:$B$2000,"yyyy-mm-dd")=TEXT(($B$4+15),"yyyy-mm-dd")))&amp;" ESC",SUMPRODUCT(('Daily Checklist'!$D$2:$D$2000=$A20)*(TEXT('Daily Checklist'!$B$2:$B$2000,"yyyy-mm-dd")=TEXT(($B$4+15),"yyyy-mm-dd"))*('Daily Checklist'!$F$2:$F$2000="Done"))&amp;"/"&amp;SUMPRODUCT(('Daily Checklist'!$D$2:$D$2000=$A20)*(TEXT('Daily Checklist'!$B$2:$B$2000,"yyyy-mm-dd")=TEXT(($B$4+15),"yyyy-mm-dd"))))))</f>
        <v/>
      </c>
      <c r="R20" s="25" t="str">
        <f aca="false">IF($A20="","",IF(SUMPRODUCT(('Daily Checklist'!$D$2:$D$2000=$A20)*(TEXT('Daily Checklist'!$B$2:$B$2000,"yyyy-mm-dd")=TEXT(($B$4+16),"yyyy-mm-dd")))=0,"-",IF(SUMPRODUCT(('Daily Checklist'!$D$2:$D$2000=$A20)*(TEXT('Daily Checklist'!$B$2:$B$2000,"yyyy-mm-dd")=TEXT(($B$4+16),"yyyy-mm-dd"))*('Daily Checklist'!$L$2:$L$2000="Y"))&gt;0,SUMPRODUCT(('Daily Checklist'!$D$2:$D$2000=$A20)*(TEXT('Daily Checklist'!$B$2:$B$2000,"yyyy-mm-dd")=TEXT(($B$4+16),"yyyy-mm-dd"))*('Daily Checklist'!$F$2:$F$2000="Done"))&amp;"/"&amp;SUMPRODUCT(('Daily Checklist'!$D$2:$D$2000=$A20)*(TEXT('Daily Checklist'!$B$2:$B$2000,"yyyy-mm-dd")=TEXT(($B$4+16),"yyyy-mm-dd")))&amp;" ESC",SUMPRODUCT(('Daily Checklist'!$D$2:$D$2000=$A20)*(TEXT('Daily Checklist'!$B$2:$B$2000,"yyyy-mm-dd")=TEXT(($B$4+16),"yyyy-mm-dd"))*('Daily Checklist'!$F$2:$F$2000="Done"))&amp;"/"&amp;SUMPRODUCT(('Daily Checklist'!$D$2:$D$2000=$A20)*(TEXT('Daily Checklist'!$B$2:$B$2000,"yyyy-mm-dd")=TEXT(($B$4+16),"yyyy-mm-dd"))))))</f>
        <v/>
      </c>
      <c r="S20" s="25" t="str">
        <f aca="false">IF($A20="","",IF(SUMPRODUCT(('Daily Checklist'!$D$2:$D$2000=$A20)*(TEXT('Daily Checklist'!$B$2:$B$2000,"yyyy-mm-dd")=TEXT(($B$4+17),"yyyy-mm-dd")))=0,"-",IF(SUMPRODUCT(('Daily Checklist'!$D$2:$D$2000=$A20)*(TEXT('Daily Checklist'!$B$2:$B$2000,"yyyy-mm-dd")=TEXT(($B$4+17),"yyyy-mm-dd"))*('Daily Checklist'!$L$2:$L$2000="Y"))&gt;0,SUMPRODUCT(('Daily Checklist'!$D$2:$D$2000=$A20)*(TEXT('Daily Checklist'!$B$2:$B$2000,"yyyy-mm-dd")=TEXT(($B$4+17),"yyyy-mm-dd"))*('Daily Checklist'!$F$2:$F$2000="Done"))&amp;"/"&amp;SUMPRODUCT(('Daily Checklist'!$D$2:$D$2000=$A20)*(TEXT('Daily Checklist'!$B$2:$B$2000,"yyyy-mm-dd")=TEXT(($B$4+17),"yyyy-mm-dd")))&amp;" ESC",SUMPRODUCT(('Daily Checklist'!$D$2:$D$2000=$A20)*(TEXT('Daily Checklist'!$B$2:$B$2000,"yyyy-mm-dd")=TEXT(($B$4+17),"yyyy-mm-dd"))*('Daily Checklist'!$F$2:$F$2000="Done"))&amp;"/"&amp;SUMPRODUCT(('Daily Checklist'!$D$2:$D$2000=$A20)*(TEXT('Daily Checklist'!$B$2:$B$2000,"yyyy-mm-dd")=TEXT(($B$4+17),"yyyy-mm-dd"))))))</f>
        <v/>
      </c>
      <c r="T20" s="25" t="str">
        <f aca="false">IF($A20="","",IF(SUMPRODUCT(('Daily Checklist'!$D$2:$D$2000=$A20)*(TEXT('Daily Checklist'!$B$2:$B$2000,"yyyy-mm-dd")=TEXT(($B$4+18),"yyyy-mm-dd")))=0,"-",IF(SUMPRODUCT(('Daily Checklist'!$D$2:$D$2000=$A20)*(TEXT('Daily Checklist'!$B$2:$B$2000,"yyyy-mm-dd")=TEXT(($B$4+18),"yyyy-mm-dd"))*('Daily Checklist'!$L$2:$L$2000="Y"))&gt;0,SUMPRODUCT(('Daily Checklist'!$D$2:$D$2000=$A20)*(TEXT('Daily Checklist'!$B$2:$B$2000,"yyyy-mm-dd")=TEXT(($B$4+18),"yyyy-mm-dd"))*('Daily Checklist'!$F$2:$F$2000="Done"))&amp;"/"&amp;SUMPRODUCT(('Daily Checklist'!$D$2:$D$2000=$A20)*(TEXT('Daily Checklist'!$B$2:$B$2000,"yyyy-mm-dd")=TEXT(($B$4+18),"yyyy-mm-dd")))&amp;" ESC",SUMPRODUCT(('Daily Checklist'!$D$2:$D$2000=$A20)*(TEXT('Daily Checklist'!$B$2:$B$2000,"yyyy-mm-dd")=TEXT(($B$4+18),"yyyy-mm-dd"))*('Daily Checklist'!$F$2:$F$2000="Done"))&amp;"/"&amp;SUMPRODUCT(('Daily Checklist'!$D$2:$D$2000=$A20)*(TEXT('Daily Checklist'!$B$2:$B$2000,"yyyy-mm-dd")=TEXT(($B$4+18),"yyyy-mm-dd"))))))</f>
        <v/>
      </c>
      <c r="U20" s="25" t="str">
        <f aca="false">IF($A20="","",IF(SUMPRODUCT(('Daily Checklist'!$D$2:$D$2000=$A20)*(TEXT('Daily Checklist'!$B$2:$B$2000,"yyyy-mm-dd")=TEXT(($B$4+19),"yyyy-mm-dd")))=0,"-",IF(SUMPRODUCT(('Daily Checklist'!$D$2:$D$2000=$A20)*(TEXT('Daily Checklist'!$B$2:$B$2000,"yyyy-mm-dd")=TEXT(($B$4+19),"yyyy-mm-dd"))*('Daily Checklist'!$L$2:$L$2000="Y"))&gt;0,SUMPRODUCT(('Daily Checklist'!$D$2:$D$2000=$A20)*(TEXT('Daily Checklist'!$B$2:$B$2000,"yyyy-mm-dd")=TEXT(($B$4+19),"yyyy-mm-dd"))*('Daily Checklist'!$F$2:$F$2000="Done"))&amp;"/"&amp;SUMPRODUCT(('Daily Checklist'!$D$2:$D$2000=$A20)*(TEXT('Daily Checklist'!$B$2:$B$2000,"yyyy-mm-dd")=TEXT(($B$4+19),"yyyy-mm-dd")))&amp;" ESC",SUMPRODUCT(('Daily Checklist'!$D$2:$D$2000=$A20)*(TEXT('Daily Checklist'!$B$2:$B$2000,"yyyy-mm-dd")=TEXT(($B$4+19),"yyyy-mm-dd"))*('Daily Checklist'!$F$2:$F$2000="Done"))&amp;"/"&amp;SUMPRODUCT(('Daily Checklist'!$D$2:$D$2000=$A20)*(TEXT('Daily Checklist'!$B$2:$B$2000,"yyyy-mm-dd")=TEXT(($B$4+19),"yyyy-mm-dd"))))))</f>
        <v/>
      </c>
      <c r="V20" s="25" t="str">
        <f aca="false">IF($A20="","",IF(SUMPRODUCT(('Daily Checklist'!$D$2:$D$2000=$A20)*(TEXT('Daily Checklist'!$B$2:$B$2000,"yyyy-mm-dd")=TEXT(($B$4+20),"yyyy-mm-dd")))=0,"-",IF(SUMPRODUCT(('Daily Checklist'!$D$2:$D$2000=$A20)*(TEXT('Daily Checklist'!$B$2:$B$2000,"yyyy-mm-dd")=TEXT(($B$4+20),"yyyy-mm-dd"))*('Daily Checklist'!$L$2:$L$2000="Y"))&gt;0,SUMPRODUCT(('Daily Checklist'!$D$2:$D$2000=$A20)*(TEXT('Daily Checklist'!$B$2:$B$2000,"yyyy-mm-dd")=TEXT(($B$4+20),"yyyy-mm-dd"))*('Daily Checklist'!$F$2:$F$2000="Done"))&amp;"/"&amp;SUMPRODUCT(('Daily Checklist'!$D$2:$D$2000=$A20)*(TEXT('Daily Checklist'!$B$2:$B$2000,"yyyy-mm-dd")=TEXT(($B$4+20),"yyyy-mm-dd")))&amp;" ESC",SUMPRODUCT(('Daily Checklist'!$D$2:$D$2000=$A20)*(TEXT('Daily Checklist'!$B$2:$B$2000,"yyyy-mm-dd")=TEXT(($B$4+20),"yyyy-mm-dd"))*('Daily Checklist'!$F$2:$F$2000="Done"))&amp;"/"&amp;SUMPRODUCT(('Daily Checklist'!$D$2:$D$2000=$A20)*(TEXT('Daily Checklist'!$B$2:$B$2000,"yyyy-mm-dd")=TEXT(($B$4+20),"yyyy-mm-dd"))))))</f>
        <v/>
      </c>
      <c r="W20" s="25" t="str">
        <f aca="false">IF($A20="","",IF(SUMPRODUCT(('Daily Checklist'!$D$2:$D$2000=$A20)*(TEXT('Daily Checklist'!$B$2:$B$2000,"yyyy-mm-dd")=TEXT(($B$4+21),"yyyy-mm-dd")))=0,"-",IF(SUMPRODUCT(('Daily Checklist'!$D$2:$D$2000=$A20)*(TEXT('Daily Checklist'!$B$2:$B$2000,"yyyy-mm-dd")=TEXT(($B$4+21),"yyyy-mm-dd"))*('Daily Checklist'!$L$2:$L$2000="Y"))&gt;0,SUMPRODUCT(('Daily Checklist'!$D$2:$D$2000=$A20)*(TEXT('Daily Checklist'!$B$2:$B$2000,"yyyy-mm-dd")=TEXT(($B$4+21),"yyyy-mm-dd"))*('Daily Checklist'!$F$2:$F$2000="Done"))&amp;"/"&amp;SUMPRODUCT(('Daily Checklist'!$D$2:$D$2000=$A20)*(TEXT('Daily Checklist'!$B$2:$B$2000,"yyyy-mm-dd")=TEXT(($B$4+21),"yyyy-mm-dd")))&amp;" ESC",SUMPRODUCT(('Daily Checklist'!$D$2:$D$2000=$A20)*(TEXT('Daily Checklist'!$B$2:$B$2000,"yyyy-mm-dd")=TEXT(($B$4+21),"yyyy-mm-dd"))*('Daily Checklist'!$F$2:$F$2000="Done"))&amp;"/"&amp;SUMPRODUCT(('Daily Checklist'!$D$2:$D$2000=$A20)*(TEXT('Daily Checklist'!$B$2:$B$2000,"yyyy-mm-dd")=TEXT(($B$4+21),"yyyy-mm-dd"))))))</f>
        <v/>
      </c>
      <c r="X20" s="25" t="str">
        <f aca="false">IF($A20="","",IF(SUMPRODUCT(('Daily Checklist'!$D$2:$D$2000=$A20)*(TEXT('Daily Checklist'!$B$2:$B$2000,"yyyy-mm-dd")=TEXT(($B$4+22),"yyyy-mm-dd")))=0,"-",IF(SUMPRODUCT(('Daily Checklist'!$D$2:$D$2000=$A20)*(TEXT('Daily Checklist'!$B$2:$B$2000,"yyyy-mm-dd")=TEXT(($B$4+22),"yyyy-mm-dd"))*('Daily Checklist'!$L$2:$L$2000="Y"))&gt;0,SUMPRODUCT(('Daily Checklist'!$D$2:$D$2000=$A20)*(TEXT('Daily Checklist'!$B$2:$B$2000,"yyyy-mm-dd")=TEXT(($B$4+22),"yyyy-mm-dd"))*('Daily Checklist'!$F$2:$F$2000="Done"))&amp;"/"&amp;SUMPRODUCT(('Daily Checklist'!$D$2:$D$2000=$A20)*(TEXT('Daily Checklist'!$B$2:$B$2000,"yyyy-mm-dd")=TEXT(($B$4+22),"yyyy-mm-dd")))&amp;" ESC",SUMPRODUCT(('Daily Checklist'!$D$2:$D$2000=$A20)*(TEXT('Daily Checklist'!$B$2:$B$2000,"yyyy-mm-dd")=TEXT(($B$4+22),"yyyy-mm-dd"))*('Daily Checklist'!$F$2:$F$2000="Done"))&amp;"/"&amp;SUMPRODUCT(('Daily Checklist'!$D$2:$D$2000=$A20)*(TEXT('Daily Checklist'!$B$2:$B$2000,"yyyy-mm-dd")=TEXT(($B$4+22),"yyyy-mm-dd"))))))</f>
        <v/>
      </c>
      <c r="Y20" s="25" t="str">
        <f aca="false">IF($A20="","",IF(SUMPRODUCT(('Daily Checklist'!$D$2:$D$2000=$A20)*(TEXT('Daily Checklist'!$B$2:$B$2000,"yyyy-mm-dd")=TEXT(($B$4+23),"yyyy-mm-dd")))=0,"-",IF(SUMPRODUCT(('Daily Checklist'!$D$2:$D$2000=$A20)*(TEXT('Daily Checklist'!$B$2:$B$2000,"yyyy-mm-dd")=TEXT(($B$4+23),"yyyy-mm-dd"))*('Daily Checklist'!$L$2:$L$2000="Y"))&gt;0,SUMPRODUCT(('Daily Checklist'!$D$2:$D$2000=$A20)*(TEXT('Daily Checklist'!$B$2:$B$2000,"yyyy-mm-dd")=TEXT(($B$4+23),"yyyy-mm-dd"))*('Daily Checklist'!$F$2:$F$2000="Done"))&amp;"/"&amp;SUMPRODUCT(('Daily Checklist'!$D$2:$D$2000=$A20)*(TEXT('Daily Checklist'!$B$2:$B$2000,"yyyy-mm-dd")=TEXT(($B$4+23),"yyyy-mm-dd")))&amp;" ESC",SUMPRODUCT(('Daily Checklist'!$D$2:$D$2000=$A20)*(TEXT('Daily Checklist'!$B$2:$B$2000,"yyyy-mm-dd")=TEXT(($B$4+23),"yyyy-mm-dd"))*('Daily Checklist'!$F$2:$F$2000="Done"))&amp;"/"&amp;SUMPRODUCT(('Daily Checklist'!$D$2:$D$2000=$A20)*(TEXT('Daily Checklist'!$B$2:$B$2000,"yyyy-mm-dd")=TEXT(($B$4+23),"yyyy-mm-dd"))))))</f>
        <v/>
      </c>
      <c r="Z20" s="25" t="str">
        <f aca="false">IF($A20="","",IF(SUMPRODUCT(('Daily Checklist'!$D$2:$D$2000=$A20)*(TEXT('Daily Checklist'!$B$2:$B$2000,"yyyy-mm-dd")=TEXT(($B$4+24),"yyyy-mm-dd")))=0,"-",IF(SUMPRODUCT(('Daily Checklist'!$D$2:$D$2000=$A20)*(TEXT('Daily Checklist'!$B$2:$B$2000,"yyyy-mm-dd")=TEXT(($B$4+24),"yyyy-mm-dd"))*('Daily Checklist'!$L$2:$L$2000="Y"))&gt;0,SUMPRODUCT(('Daily Checklist'!$D$2:$D$2000=$A20)*(TEXT('Daily Checklist'!$B$2:$B$2000,"yyyy-mm-dd")=TEXT(($B$4+24),"yyyy-mm-dd"))*('Daily Checklist'!$F$2:$F$2000="Done"))&amp;"/"&amp;SUMPRODUCT(('Daily Checklist'!$D$2:$D$2000=$A20)*(TEXT('Daily Checklist'!$B$2:$B$2000,"yyyy-mm-dd")=TEXT(($B$4+24),"yyyy-mm-dd")))&amp;" ESC",SUMPRODUCT(('Daily Checklist'!$D$2:$D$2000=$A20)*(TEXT('Daily Checklist'!$B$2:$B$2000,"yyyy-mm-dd")=TEXT(($B$4+24),"yyyy-mm-dd"))*('Daily Checklist'!$F$2:$F$2000="Done"))&amp;"/"&amp;SUMPRODUCT(('Daily Checklist'!$D$2:$D$2000=$A20)*(TEXT('Daily Checklist'!$B$2:$B$2000,"yyyy-mm-dd")=TEXT(($B$4+24),"yyyy-mm-dd"))))))</f>
        <v/>
      </c>
      <c r="AA20" s="25" t="str">
        <f aca="false">IF($A20="","",IF(SUMPRODUCT(('Daily Checklist'!$D$2:$D$2000=$A20)*(TEXT('Daily Checklist'!$B$2:$B$2000,"yyyy-mm-dd")=TEXT(($B$4+25),"yyyy-mm-dd")))=0,"-",IF(SUMPRODUCT(('Daily Checklist'!$D$2:$D$2000=$A20)*(TEXT('Daily Checklist'!$B$2:$B$2000,"yyyy-mm-dd")=TEXT(($B$4+25),"yyyy-mm-dd"))*('Daily Checklist'!$L$2:$L$2000="Y"))&gt;0,SUMPRODUCT(('Daily Checklist'!$D$2:$D$2000=$A20)*(TEXT('Daily Checklist'!$B$2:$B$2000,"yyyy-mm-dd")=TEXT(($B$4+25),"yyyy-mm-dd"))*('Daily Checklist'!$F$2:$F$2000="Done"))&amp;"/"&amp;SUMPRODUCT(('Daily Checklist'!$D$2:$D$2000=$A20)*(TEXT('Daily Checklist'!$B$2:$B$2000,"yyyy-mm-dd")=TEXT(($B$4+25),"yyyy-mm-dd")))&amp;" ESC",SUMPRODUCT(('Daily Checklist'!$D$2:$D$2000=$A20)*(TEXT('Daily Checklist'!$B$2:$B$2000,"yyyy-mm-dd")=TEXT(($B$4+25),"yyyy-mm-dd"))*('Daily Checklist'!$F$2:$F$2000="Done"))&amp;"/"&amp;SUMPRODUCT(('Daily Checklist'!$D$2:$D$2000=$A20)*(TEXT('Daily Checklist'!$B$2:$B$2000,"yyyy-mm-dd")=TEXT(($B$4+25),"yyyy-mm-dd"))))))</f>
        <v/>
      </c>
      <c r="AB20" s="25" t="str">
        <f aca="false">IF($A20="","",IF(SUMPRODUCT(('Daily Checklist'!$D$2:$D$2000=$A20)*(TEXT('Daily Checklist'!$B$2:$B$2000,"yyyy-mm-dd")=TEXT(($B$4+26),"yyyy-mm-dd")))=0,"-",IF(SUMPRODUCT(('Daily Checklist'!$D$2:$D$2000=$A20)*(TEXT('Daily Checklist'!$B$2:$B$2000,"yyyy-mm-dd")=TEXT(($B$4+26),"yyyy-mm-dd"))*('Daily Checklist'!$L$2:$L$2000="Y"))&gt;0,SUMPRODUCT(('Daily Checklist'!$D$2:$D$2000=$A20)*(TEXT('Daily Checklist'!$B$2:$B$2000,"yyyy-mm-dd")=TEXT(($B$4+26),"yyyy-mm-dd"))*('Daily Checklist'!$F$2:$F$2000="Done"))&amp;"/"&amp;SUMPRODUCT(('Daily Checklist'!$D$2:$D$2000=$A20)*(TEXT('Daily Checklist'!$B$2:$B$2000,"yyyy-mm-dd")=TEXT(($B$4+26),"yyyy-mm-dd")))&amp;" ESC",SUMPRODUCT(('Daily Checklist'!$D$2:$D$2000=$A20)*(TEXT('Daily Checklist'!$B$2:$B$2000,"yyyy-mm-dd")=TEXT(($B$4+26),"yyyy-mm-dd"))*('Daily Checklist'!$F$2:$F$2000="Done"))&amp;"/"&amp;SUMPRODUCT(('Daily Checklist'!$D$2:$D$2000=$A20)*(TEXT('Daily Checklist'!$B$2:$B$2000,"yyyy-mm-dd")=TEXT(($B$4+26),"yyyy-mm-dd"))))))</f>
        <v/>
      </c>
      <c r="AC20" s="25" t="str">
        <f aca="false">IF($A20="","",IF(SUMPRODUCT(('Daily Checklist'!$D$2:$D$2000=$A20)*(TEXT('Daily Checklist'!$B$2:$B$2000,"yyyy-mm-dd")=TEXT(($B$4+27),"yyyy-mm-dd")))=0,"-",IF(SUMPRODUCT(('Daily Checklist'!$D$2:$D$2000=$A20)*(TEXT('Daily Checklist'!$B$2:$B$2000,"yyyy-mm-dd")=TEXT(($B$4+27),"yyyy-mm-dd"))*('Daily Checklist'!$L$2:$L$2000="Y"))&gt;0,SUMPRODUCT(('Daily Checklist'!$D$2:$D$2000=$A20)*(TEXT('Daily Checklist'!$B$2:$B$2000,"yyyy-mm-dd")=TEXT(($B$4+27),"yyyy-mm-dd"))*('Daily Checklist'!$F$2:$F$2000="Done"))&amp;"/"&amp;SUMPRODUCT(('Daily Checklist'!$D$2:$D$2000=$A20)*(TEXT('Daily Checklist'!$B$2:$B$2000,"yyyy-mm-dd")=TEXT(($B$4+27),"yyyy-mm-dd")))&amp;" ESC",SUMPRODUCT(('Daily Checklist'!$D$2:$D$2000=$A20)*(TEXT('Daily Checklist'!$B$2:$B$2000,"yyyy-mm-dd")=TEXT(($B$4+27),"yyyy-mm-dd"))*('Daily Checklist'!$F$2:$F$2000="Done"))&amp;"/"&amp;SUMPRODUCT(('Daily Checklist'!$D$2:$D$2000=$A20)*(TEXT('Daily Checklist'!$B$2:$B$2000,"yyyy-mm-dd")=TEXT(($B$4+27),"yyyy-mm-dd"))))))</f>
        <v/>
      </c>
      <c r="AD20" s="25" t="str">
        <f aca="false">IF($A20="","",IF(SUMPRODUCT(('Daily Checklist'!$D$2:$D$2000=$A20)*(TEXT('Daily Checklist'!$B$2:$B$2000,"yyyy-mm-dd")=TEXT(($B$4+28),"yyyy-mm-dd")))=0,"-",IF(SUMPRODUCT(('Daily Checklist'!$D$2:$D$2000=$A20)*(TEXT('Daily Checklist'!$B$2:$B$2000,"yyyy-mm-dd")=TEXT(($B$4+28),"yyyy-mm-dd"))*('Daily Checklist'!$L$2:$L$2000="Y"))&gt;0,SUMPRODUCT(('Daily Checklist'!$D$2:$D$2000=$A20)*(TEXT('Daily Checklist'!$B$2:$B$2000,"yyyy-mm-dd")=TEXT(($B$4+28),"yyyy-mm-dd"))*('Daily Checklist'!$F$2:$F$2000="Done"))&amp;"/"&amp;SUMPRODUCT(('Daily Checklist'!$D$2:$D$2000=$A20)*(TEXT('Daily Checklist'!$B$2:$B$2000,"yyyy-mm-dd")=TEXT(($B$4+28),"yyyy-mm-dd")))&amp;" ESC",SUMPRODUCT(('Daily Checklist'!$D$2:$D$2000=$A20)*(TEXT('Daily Checklist'!$B$2:$B$2000,"yyyy-mm-dd")=TEXT(($B$4+28),"yyyy-mm-dd"))*('Daily Checklist'!$F$2:$F$2000="Done"))&amp;"/"&amp;SUMPRODUCT(('Daily Checklist'!$D$2:$D$2000=$A20)*(TEXT('Daily Checklist'!$B$2:$B$2000,"yyyy-mm-dd")=TEXT(($B$4+28),"yyyy-mm-dd"))))))</f>
        <v/>
      </c>
      <c r="AE20" s="25" t="str">
        <f aca="false">IF($A20="","",IF(SUMPRODUCT(('Daily Checklist'!$D$2:$D$2000=$A20)*(TEXT('Daily Checklist'!$B$2:$B$2000,"yyyy-mm-dd")=TEXT(($B$4+29),"yyyy-mm-dd")))=0,"-",IF(SUMPRODUCT(('Daily Checklist'!$D$2:$D$2000=$A20)*(TEXT('Daily Checklist'!$B$2:$B$2000,"yyyy-mm-dd")=TEXT(($B$4+29),"yyyy-mm-dd"))*('Daily Checklist'!$L$2:$L$2000="Y"))&gt;0,SUMPRODUCT(('Daily Checklist'!$D$2:$D$2000=$A20)*(TEXT('Daily Checklist'!$B$2:$B$2000,"yyyy-mm-dd")=TEXT(($B$4+29),"yyyy-mm-dd"))*('Daily Checklist'!$F$2:$F$2000="Done"))&amp;"/"&amp;SUMPRODUCT(('Daily Checklist'!$D$2:$D$2000=$A20)*(TEXT('Daily Checklist'!$B$2:$B$2000,"yyyy-mm-dd")=TEXT(($B$4+29),"yyyy-mm-dd")))&amp;" ESC",SUMPRODUCT(('Daily Checklist'!$D$2:$D$2000=$A20)*(TEXT('Daily Checklist'!$B$2:$B$2000,"yyyy-mm-dd")=TEXT(($B$4+29),"yyyy-mm-dd"))*('Daily Checklist'!$F$2:$F$2000="Done"))&amp;"/"&amp;SUMPRODUCT(('Daily Checklist'!$D$2:$D$2000=$A20)*(TEXT('Daily Checklist'!$B$2:$B$2000,"yyyy-mm-dd")=TEXT(($B$4+29),"yyyy-mm-dd"))))))</f>
        <v/>
      </c>
      <c r="AF20" s="25" t="str">
        <f aca="false">IF($A20="","",IF(SUMPRODUCT(('Daily Checklist'!$D$2:$D$2000=$A20)*(TEXT('Daily Checklist'!$B$2:$B$2000,"yyyy-mm-dd")=TEXT(($B$4+30),"yyyy-mm-dd")))=0,"-",IF(SUMPRODUCT(('Daily Checklist'!$D$2:$D$2000=$A20)*(TEXT('Daily Checklist'!$B$2:$B$2000,"yyyy-mm-dd")=TEXT(($B$4+30),"yyyy-mm-dd"))*('Daily Checklist'!$L$2:$L$2000="Y"))&gt;0,SUMPRODUCT(('Daily Checklist'!$D$2:$D$2000=$A20)*(TEXT('Daily Checklist'!$B$2:$B$2000,"yyyy-mm-dd")=TEXT(($B$4+30),"yyyy-mm-dd"))*('Daily Checklist'!$F$2:$F$2000="Done"))&amp;"/"&amp;SUMPRODUCT(('Daily Checklist'!$D$2:$D$2000=$A20)*(TEXT('Daily Checklist'!$B$2:$B$2000,"yyyy-mm-dd")=TEXT(($B$4+30),"yyyy-mm-dd")))&amp;" ESC",SUMPRODUCT(('Daily Checklist'!$D$2:$D$2000=$A20)*(TEXT('Daily Checklist'!$B$2:$B$2000,"yyyy-mm-dd")=TEXT(($B$4+30),"yyyy-mm-dd"))*('Daily Checklist'!$F$2:$F$2000="Done"))&amp;"/"&amp;SUMPRODUCT(('Daily Checklist'!$D$2:$D$2000=$A20)*(TEXT('Daily Checklist'!$B$2:$B$2000,"yyyy-mm-dd")=TEXT(($B$4+30),"yyyy-mm-dd"))))))</f>
        <v/>
      </c>
    </row>
    <row r="21" customFormat="false" ht="15" hidden="false" customHeight="true" outlineLevel="0" collapsed="false">
      <c r="A21" s="24" t="str">
        <f aca="false">IFERROR(IF(Employees!A16="","",Employees!A16),"")</f>
        <v/>
      </c>
      <c r="B21" s="25" t="str">
        <f aca="false">IF($A21="","",IF(SUMPRODUCT(('Daily Checklist'!$D$2:$D$2000=$A21)*(TEXT('Daily Checklist'!$B$2:$B$2000,"yyyy-mm-dd")=TEXT(($B$4+0),"yyyy-mm-dd")))=0,"-",IF(SUMPRODUCT(('Daily Checklist'!$D$2:$D$2000=$A21)*(TEXT('Daily Checklist'!$B$2:$B$2000,"yyyy-mm-dd")=TEXT(($B$4+0),"yyyy-mm-dd"))*('Daily Checklist'!$L$2:$L$2000="Y"))&gt;0,SUMPRODUCT(('Daily Checklist'!$D$2:$D$2000=$A21)*(TEXT('Daily Checklist'!$B$2:$B$2000,"yyyy-mm-dd")=TEXT(($B$4+0),"yyyy-mm-dd"))*('Daily Checklist'!$F$2:$F$2000="Done"))&amp;"/"&amp;SUMPRODUCT(('Daily Checklist'!$D$2:$D$2000=$A21)*(TEXT('Daily Checklist'!$B$2:$B$2000,"yyyy-mm-dd")=TEXT(($B$4+0),"yyyy-mm-dd")))&amp;" ESC",SUMPRODUCT(('Daily Checklist'!$D$2:$D$2000=$A21)*(TEXT('Daily Checklist'!$B$2:$B$2000,"yyyy-mm-dd")=TEXT(($B$4+0),"yyyy-mm-dd"))*('Daily Checklist'!$F$2:$F$2000="Done"))&amp;"/"&amp;SUMPRODUCT(('Daily Checklist'!$D$2:$D$2000=$A21)*(TEXT('Daily Checklist'!$B$2:$B$2000,"yyyy-mm-dd")=TEXT(($B$4+0),"yyyy-mm-dd"))))))</f>
        <v/>
      </c>
      <c r="C21" s="25" t="str">
        <f aca="false">IF($A21="","",IF(SUMPRODUCT(('Daily Checklist'!$D$2:$D$2000=$A21)*(TEXT('Daily Checklist'!$B$2:$B$2000,"yyyy-mm-dd")=TEXT(($B$4+1),"yyyy-mm-dd")))=0,"-",IF(SUMPRODUCT(('Daily Checklist'!$D$2:$D$2000=$A21)*(TEXT('Daily Checklist'!$B$2:$B$2000,"yyyy-mm-dd")=TEXT(($B$4+1),"yyyy-mm-dd"))*('Daily Checklist'!$L$2:$L$2000="Y"))&gt;0,SUMPRODUCT(('Daily Checklist'!$D$2:$D$2000=$A21)*(TEXT('Daily Checklist'!$B$2:$B$2000,"yyyy-mm-dd")=TEXT(($B$4+1),"yyyy-mm-dd"))*('Daily Checklist'!$F$2:$F$2000="Done"))&amp;"/"&amp;SUMPRODUCT(('Daily Checklist'!$D$2:$D$2000=$A21)*(TEXT('Daily Checklist'!$B$2:$B$2000,"yyyy-mm-dd")=TEXT(($B$4+1),"yyyy-mm-dd")))&amp;" ESC",SUMPRODUCT(('Daily Checklist'!$D$2:$D$2000=$A21)*(TEXT('Daily Checklist'!$B$2:$B$2000,"yyyy-mm-dd")=TEXT(($B$4+1),"yyyy-mm-dd"))*('Daily Checklist'!$F$2:$F$2000="Done"))&amp;"/"&amp;SUMPRODUCT(('Daily Checklist'!$D$2:$D$2000=$A21)*(TEXT('Daily Checklist'!$B$2:$B$2000,"yyyy-mm-dd")=TEXT(($B$4+1),"yyyy-mm-dd"))))))</f>
        <v/>
      </c>
      <c r="D21" s="25" t="str">
        <f aca="false">IF($A21="","",IF(SUMPRODUCT(('Daily Checklist'!$D$2:$D$2000=$A21)*(TEXT('Daily Checklist'!$B$2:$B$2000,"yyyy-mm-dd")=TEXT(($B$4+2),"yyyy-mm-dd")))=0,"-",IF(SUMPRODUCT(('Daily Checklist'!$D$2:$D$2000=$A21)*(TEXT('Daily Checklist'!$B$2:$B$2000,"yyyy-mm-dd")=TEXT(($B$4+2),"yyyy-mm-dd"))*('Daily Checklist'!$L$2:$L$2000="Y"))&gt;0,SUMPRODUCT(('Daily Checklist'!$D$2:$D$2000=$A21)*(TEXT('Daily Checklist'!$B$2:$B$2000,"yyyy-mm-dd")=TEXT(($B$4+2),"yyyy-mm-dd"))*('Daily Checklist'!$F$2:$F$2000="Done"))&amp;"/"&amp;SUMPRODUCT(('Daily Checklist'!$D$2:$D$2000=$A21)*(TEXT('Daily Checklist'!$B$2:$B$2000,"yyyy-mm-dd")=TEXT(($B$4+2),"yyyy-mm-dd")))&amp;" ESC",SUMPRODUCT(('Daily Checklist'!$D$2:$D$2000=$A21)*(TEXT('Daily Checklist'!$B$2:$B$2000,"yyyy-mm-dd")=TEXT(($B$4+2),"yyyy-mm-dd"))*('Daily Checklist'!$F$2:$F$2000="Done"))&amp;"/"&amp;SUMPRODUCT(('Daily Checklist'!$D$2:$D$2000=$A21)*(TEXT('Daily Checklist'!$B$2:$B$2000,"yyyy-mm-dd")=TEXT(($B$4+2),"yyyy-mm-dd"))))))</f>
        <v/>
      </c>
      <c r="E21" s="25" t="str">
        <f aca="false">IF($A21="","",IF(SUMPRODUCT(('Daily Checklist'!$D$2:$D$2000=$A21)*(TEXT('Daily Checklist'!$B$2:$B$2000,"yyyy-mm-dd")=TEXT(($B$4+3),"yyyy-mm-dd")))=0,"-",IF(SUMPRODUCT(('Daily Checklist'!$D$2:$D$2000=$A21)*(TEXT('Daily Checklist'!$B$2:$B$2000,"yyyy-mm-dd")=TEXT(($B$4+3),"yyyy-mm-dd"))*('Daily Checklist'!$L$2:$L$2000="Y"))&gt;0,SUMPRODUCT(('Daily Checklist'!$D$2:$D$2000=$A21)*(TEXT('Daily Checklist'!$B$2:$B$2000,"yyyy-mm-dd")=TEXT(($B$4+3),"yyyy-mm-dd"))*('Daily Checklist'!$F$2:$F$2000="Done"))&amp;"/"&amp;SUMPRODUCT(('Daily Checklist'!$D$2:$D$2000=$A21)*(TEXT('Daily Checklist'!$B$2:$B$2000,"yyyy-mm-dd")=TEXT(($B$4+3),"yyyy-mm-dd")))&amp;" ESC",SUMPRODUCT(('Daily Checklist'!$D$2:$D$2000=$A21)*(TEXT('Daily Checklist'!$B$2:$B$2000,"yyyy-mm-dd")=TEXT(($B$4+3),"yyyy-mm-dd"))*('Daily Checklist'!$F$2:$F$2000="Done"))&amp;"/"&amp;SUMPRODUCT(('Daily Checklist'!$D$2:$D$2000=$A21)*(TEXT('Daily Checklist'!$B$2:$B$2000,"yyyy-mm-dd")=TEXT(($B$4+3),"yyyy-mm-dd"))))))</f>
        <v/>
      </c>
      <c r="F21" s="25" t="str">
        <f aca="false">IF($A21="","",IF(SUMPRODUCT(('Daily Checklist'!$D$2:$D$2000=$A21)*(TEXT('Daily Checklist'!$B$2:$B$2000,"yyyy-mm-dd")=TEXT(($B$4+4),"yyyy-mm-dd")))=0,"-",IF(SUMPRODUCT(('Daily Checklist'!$D$2:$D$2000=$A21)*(TEXT('Daily Checklist'!$B$2:$B$2000,"yyyy-mm-dd")=TEXT(($B$4+4),"yyyy-mm-dd"))*('Daily Checklist'!$L$2:$L$2000="Y"))&gt;0,SUMPRODUCT(('Daily Checklist'!$D$2:$D$2000=$A21)*(TEXT('Daily Checklist'!$B$2:$B$2000,"yyyy-mm-dd")=TEXT(($B$4+4),"yyyy-mm-dd"))*('Daily Checklist'!$F$2:$F$2000="Done"))&amp;"/"&amp;SUMPRODUCT(('Daily Checklist'!$D$2:$D$2000=$A21)*(TEXT('Daily Checklist'!$B$2:$B$2000,"yyyy-mm-dd")=TEXT(($B$4+4),"yyyy-mm-dd")))&amp;" ESC",SUMPRODUCT(('Daily Checklist'!$D$2:$D$2000=$A21)*(TEXT('Daily Checklist'!$B$2:$B$2000,"yyyy-mm-dd")=TEXT(($B$4+4),"yyyy-mm-dd"))*('Daily Checklist'!$F$2:$F$2000="Done"))&amp;"/"&amp;SUMPRODUCT(('Daily Checklist'!$D$2:$D$2000=$A21)*(TEXT('Daily Checklist'!$B$2:$B$2000,"yyyy-mm-dd")=TEXT(($B$4+4),"yyyy-mm-dd"))))))</f>
        <v/>
      </c>
      <c r="G21" s="25" t="str">
        <f aca="false">IF($A21="","",IF(SUMPRODUCT(('Daily Checklist'!$D$2:$D$2000=$A21)*(TEXT('Daily Checklist'!$B$2:$B$2000,"yyyy-mm-dd")=TEXT(($B$4+5),"yyyy-mm-dd")))=0,"-",IF(SUMPRODUCT(('Daily Checklist'!$D$2:$D$2000=$A21)*(TEXT('Daily Checklist'!$B$2:$B$2000,"yyyy-mm-dd")=TEXT(($B$4+5),"yyyy-mm-dd"))*('Daily Checklist'!$L$2:$L$2000="Y"))&gt;0,SUMPRODUCT(('Daily Checklist'!$D$2:$D$2000=$A21)*(TEXT('Daily Checklist'!$B$2:$B$2000,"yyyy-mm-dd")=TEXT(($B$4+5),"yyyy-mm-dd"))*('Daily Checklist'!$F$2:$F$2000="Done"))&amp;"/"&amp;SUMPRODUCT(('Daily Checklist'!$D$2:$D$2000=$A21)*(TEXT('Daily Checklist'!$B$2:$B$2000,"yyyy-mm-dd")=TEXT(($B$4+5),"yyyy-mm-dd")))&amp;" ESC",SUMPRODUCT(('Daily Checklist'!$D$2:$D$2000=$A21)*(TEXT('Daily Checklist'!$B$2:$B$2000,"yyyy-mm-dd")=TEXT(($B$4+5),"yyyy-mm-dd"))*('Daily Checklist'!$F$2:$F$2000="Done"))&amp;"/"&amp;SUMPRODUCT(('Daily Checklist'!$D$2:$D$2000=$A21)*(TEXT('Daily Checklist'!$B$2:$B$2000,"yyyy-mm-dd")=TEXT(($B$4+5),"yyyy-mm-dd"))))))</f>
        <v/>
      </c>
      <c r="H21" s="25" t="str">
        <f aca="false">IF($A21="","",IF(SUMPRODUCT(('Daily Checklist'!$D$2:$D$2000=$A21)*(TEXT('Daily Checklist'!$B$2:$B$2000,"yyyy-mm-dd")=TEXT(($B$4+6),"yyyy-mm-dd")))=0,"-",IF(SUMPRODUCT(('Daily Checklist'!$D$2:$D$2000=$A21)*(TEXT('Daily Checklist'!$B$2:$B$2000,"yyyy-mm-dd")=TEXT(($B$4+6),"yyyy-mm-dd"))*('Daily Checklist'!$L$2:$L$2000="Y"))&gt;0,SUMPRODUCT(('Daily Checklist'!$D$2:$D$2000=$A21)*(TEXT('Daily Checklist'!$B$2:$B$2000,"yyyy-mm-dd")=TEXT(($B$4+6),"yyyy-mm-dd"))*('Daily Checklist'!$F$2:$F$2000="Done"))&amp;"/"&amp;SUMPRODUCT(('Daily Checklist'!$D$2:$D$2000=$A21)*(TEXT('Daily Checklist'!$B$2:$B$2000,"yyyy-mm-dd")=TEXT(($B$4+6),"yyyy-mm-dd")))&amp;" ESC",SUMPRODUCT(('Daily Checklist'!$D$2:$D$2000=$A21)*(TEXT('Daily Checklist'!$B$2:$B$2000,"yyyy-mm-dd")=TEXT(($B$4+6),"yyyy-mm-dd"))*('Daily Checklist'!$F$2:$F$2000="Done"))&amp;"/"&amp;SUMPRODUCT(('Daily Checklist'!$D$2:$D$2000=$A21)*(TEXT('Daily Checklist'!$B$2:$B$2000,"yyyy-mm-dd")=TEXT(($B$4+6),"yyyy-mm-dd"))))))</f>
        <v/>
      </c>
      <c r="I21" s="25" t="str">
        <f aca="false">IF($A21="","",IF(SUMPRODUCT(('Daily Checklist'!$D$2:$D$2000=$A21)*(TEXT('Daily Checklist'!$B$2:$B$2000,"yyyy-mm-dd")=TEXT(($B$4+7),"yyyy-mm-dd")))=0,"-",IF(SUMPRODUCT(('Daily Checklist'!$D$2:$D$2000=$A21)*(TEXT('Daily Checklist'!$B$2:$B$2000,"yyyy-mm-dd")=TEXT(($B$4+7),"yyyy-mm-dd"))*('Daily Checklist'!$L$2:$L$2000="Y"))&gt;0,SUMPRODUCT(('Daily Checklist'!$D$2:$D$2000=$A21)*(TEXT('Daily Checklist'!$B$2:$B$2000,"yyyy-mm-dd")=TEXT(($B$4+7),"yyyy-mm-dd"))*('Daily Checklist'!$F$2:$F$2000="Done"))&amp;"/"&amp;SUMPRODUCT(('Daily Checklist'!$D$2:$D$2000=$A21)*(TEXT('Daily Checklist'!$B$2:$B$2000,"yyyy-mm-dd")=TEXT(($B$4+7),"yyyy-mm-dd")))&amp;" ESC",SUMPRODUCT(('Daily Checklist'!$D$2:$D$2000=$A21)*(TEXT('Daily Checklist'!$B$2:$B$2000,"yyyy-mm-dd")=TEXT(($B$4+7),"yyyy-mm-dd"))*('Daily Checklist'!$F$2:$F$2000="Done"))&amp;"/"&amp;SUMPRODUCT(('Daily Checklist'!$D$2:$D$2000=$A21)*(TEXT('Daily Checklist'!$B$2:$B$2000,"yyyy-mm-dd")=TEXT(($B$4+7),"yyyy-mm-dd"))))))</f>
        <v/>
      </c>
      <c r="J21" s="25" t="str">
        <f aca="false">IF($A21="","",IF(SUMPRODUCT(('Daily Checklist'!$D$2:$D$2000=$A21)*(TEXT('Daily Checklist'!$B$2:$B$2000,"yyyy-mm-dd")=TEXT(($B$4+8),"yyyy-mm-dd")))=0,"-",IF(SUMPRODUCT(('Daily Checklist'!$D$2:$D$2000=$A21)*(TEXT('Daily Checklist'!$B$2:$B$2000,"yyyy-mm-dd")=TEXT(($B$4+8),"yyyy-mm-dd"))*('Daily Checklist'!$L$2:$L$2000="Y"))&gt;0,SUMPRODUCT(('Daily Checklist'!$D$2:$D$2000=$A21)*(TEXT('Daily Checklist'!$B$2:$B$2000,"yyyy-mm-dd")=TEXT(($B$4+8),"yyyy-mm-dd"))*('Daily Checklist'!$F$2:$F$2000="Done"))&amp;"/"&amp;SUMPRODUCT(('Daily Checklist'!$D$2:$D$2000=$A21)*(TEXT('Daily Checklist'!$B$2:$B$2000,"yyyy-mm-dd")=TEXT(($B$4+8),"yyyy-mm-dd")))&amp;" ESC",SUMPRODUCT(('Daily Checklist'!$D$2:$D$2000=$A21)*(TEXT('Daily Checklist'!$B$2:$B$2000,"yyyy-mm-dd")=TEXT(($B$4+8),"yyyy-mm-dd"))*('Daily Checklist'!$F$2:$F$2000="Done"))&amp;"/"&amp;SUMPRODUCT(('Daily Checklist'!$D$2:$D$2000=$A21)*(TEXT('Daily Checklist'!$B$2:$B$2000,"yyyy-mm-dd")=TEXT(($B$4+8),"yyyy-mm-dd"))))))</f>
        <v/>
      </c>
      <c r="K21" s="25" t="str">
        <f aca="false">IF($A21="","",IF(SUMPRODUCT(('Daily Checklist'!$D$2:$D$2000=$A21)*(TEXT('Daily Checklist'!$B$2:$B$2000,"yyyy-mm-dd")=TEXT(($B$4+9),"yyyy-mm-dd")))=0,"-",IF(SUMPRODUCT(('Daily Checklist'!$D$2:$D$2000=$A21)*(TEXT('Daily Checklist'!$B$2:$B$2000,"yyyy-mm-dd")=TEXT(($B$4+9),"yyyy-mm-dd"))*('Daily Checklist'!$L$2:$L$2000="Y"))&gt;0,SUMPRODUCT(('Daily Checklist'!$D$2:$D$2000=$A21)*(TEXT('Daily Checklist'!$B$2:$B$2000,"yyyy-mm-dd")=TEXT(($B$4+9),"yyyy-mm-dd"))*('Daily Checklist'!$F$2:$F$2000="Done"))&amp;"/"&amp;SUMPRODUCT(('Daily Checklist'!$D$2:$D$2000=$A21)*(TEXT('Daily Checklist'!$B$2:$B$2000,"yyyy-mm-dd")=TEXT(($B$4+9),"yyyy-mm-dd")))&amp;" ESC",SUMPRODUCT(('Daily Checklist'!$D$2:$D$2000=$A21)*(TEXT('Daily Checklist'!$B$2:$B$2000,"yyyy-mm-dd")=TEXT(($B$4+9),"yyyy-mm-dd"))*('Daily Checklist'!$F$2:$F$2000="Done"))&amp;"/"&amp;SUMPRODUCT(('Daily Checklist'!$D$2:$D$2000=$A21)*(TEXT('Daily Checklist'!$B$2:$B$2000,"yyyy-mm-dd")=TEXT(($B$4+9),"yyyy-mm-dd"))))))</f>
        <v/>
      </c>
      <c r="L21" s="25" t="str">
        <f aca="false">IF($A21="","",IF(SUMPRODUCT(('Daily Checklist'!$D$2:$D$2000=$A21)*(TEXT('Daily Checklist'!$B$2:$B$2000,"yyyy-mm-dd")=TEXT(($B$4+10),"yyyy-mm-dd")))=0,"-",IF(SUMPRODUCT(('Daily Checklist'!$D$2:$D$2000=$A21)*(TEXT('Daily Checklist'!$B$2:$B$2000,"yyyy-mm-dd")=TEXT(($B$4+10),"yyyy-mm-dd"))*('Daily Checklist'!$L$2:$L$2000="Y"))&gt;0,SUMPRODUCT(('Daily Checklist'!$D$2:$D$2000=$A21)*(TEXT('Daily Checklist'!$B$2:$B$2000,"yyyy-mm-dd")=TEXT(($B$4+10),"yyyy-mm-dd"))*('Daily Checklist'!$F$2:$F$2000="Done"))&amp;"/"&amp;SUMPRODUCT(('Daily Checklist'!$D$2:$D$2000=$A21)*(TEXT('Daily Checklist'!$B$2:$B$2000,"yyyy-mm-dd")=TEXT(($B$4+10),"yyyy-mm-dd")))&amp;" ESC",SUMPRODUCT(('Daily Checklist'!$D$2:$D$2000=$A21)*(TEXT('Daily Checklist'!$B$2:$B$2000,"yyyy-mm-dd")=TEXT(($B$4+10),"yyyy-mm-dd"))*('Daily Checklist'!$F$2:$F$2000="Done"))&amp;"/"&amp;SUMPRODUCT(('Daily Checklist'!$D$2:$D$2000=$A21)*(TEXT('Daily Checklist'!$B$2:$B$2000,"yyyy-mm-dd")=TEXT(($B$4+10),"yyyy-mm-dd"))))))</f>
        <v/>
      </c>
      <c r="M21" s="25" t="str">
        <f aca="false">IF($A21="","",IF(SUMPRODUCT(('Daily Checklist'!$D$2:$D$2000=$A21)*(TEXT('Daily Checklist'!$B$2:$B$2000,"yyyy-mm-dd")=TEXT(($B$4+11),"yyyy-mm-dd")))=0,"-",IF(SUMPRODUCT(('Daily Checklist'!$D$2:$D$2000=$A21)*(TEXT('Daily Checklist'!$B$2:$B$2000,"yyyy-mm-dd")=TEXT(($B$4+11),"yyyy-mm-dd"))*('Daily Checklist'!$L$2:$L$2000="Y"))&gt;0,SUMPRODUCT(('Daily Checklist'!$D$2:$D$2000=$A21)*(TEXT('Daily Checklist'!$B$2:$B$2000,"yyyy-mm-dd")=TEXT(($B$4+11),"yyyy-mm-dd"))*('Daily Checklist'!$F$2:$F$2000="Done"))&amp;"/"&amp;SUMPRODUCT(('Daily Checklist'!$D$2:$D$2000=$A21)*(TEXT('Daily Checklist'!$B$2:$B$2000,"yyyy-mm-dd")=TEXT(($B$4+11),"yyyy-mm-dd")))&amp;" ESC",SUMPRODUCT(('Daily Checklist'!$D$2:$D$2000=$A21)*(TEXT('Daily Checklist'!$B$2:$B$2000,"yyyy-mm-dd")=TEXT(($B$4+11),"yyyy-mm-dd"))*('Daily Checklist'!$F$2:$F$2000="Done"))&amp;"/"&amp;SUMPRODUCT(('Daily Checklist'!$D$2:$D$2000=$A21)*(TEXT('Daily Checklist'!$B$2:$B$2000,"yyyy-mm-dd")=TEXT(($B$4+11),"yyyy-mm-dd"))))))</f>
        <v/>
      </c>
      <c r="N21" s="25" t="str">
        <f aca="false">IF($A21="","",IF(SUMPRODUCT(('Daily Checklist'!$D$2:$D$2000=$A21)*(TEXT('Daily Checklist'!$B$2:$B$2000,"yyyy-mm-dd")=TEXT(($B$4+12),"yyyy-mm-dd")))=0,"-",IF(SUMPRODUCT(('Daily Checklist'!$D$2:$D$2000=$A21)*(TEXT('Daily Checklist'!$B$2:$B$2000,"yyyy-mm-dd")=TEXT(($B$4+12),"yyyy-mm-dd"))*('Daily Checklist'!$L$2:$L$2000="Y"))&gt;0,SUMPRODUCT(('Daily Checklist'!$D$2:$D$2000=$A21)*(TEXT('Daily Checklist'!$B$2:$B$2000,"yyyy-mm-dd")=TEXT(($B$4+12),"yyyy-mm-dd"))*('Daily Checklist'!$F$2:$F$2000="Done"))&amp;"/"&amp;SUMPRODUCT(('Daily Checklist'!$D$2:$D$2000=$A21)*(TEXT('Daily Checklist'!$B$2:$B$2000,"yyyy-mm-dd")=TEXT(($B$4+12),"yyyy-mm-dd")))&amp;" ESC",SUMPRODUCT(('Daily Checklist'!$D$2:$D$2000=$A21)*(TEXT('Daily Checklist'!$B$2:$B$2000,"yyyy-mm-dd")=TEXT(($B$4+12),"yyyy-mm-dd"))*('Daily Checklist'!$F$2:$F$2000="Done"))&amp;"/"&amp;SUMPRODUCT(('Daily Checklist'!$D$2:$D$2000=$A21)*(TEXT('Daily Checklist'!$B$2:$B$2000,"yyyy-mm-dd")=TEXT(($B$4+12),"yyyy-mm-dd"))))))</f>
        <v/>
      </c>
      <c r="O21" s="25" t="str">
        <f aca="false">IF($A21="","",IF(SUMPRODUCT(('Daily Checklist'!$D$2:$D$2000=$A21)*(TEXT('Daily Checklist'!$B$2:$B$2000,"yyyy-mm-dd")=TEXT(($B$4+13),"yyyy-mm-dd")))=0,"-",IF(SUMPRODUCT(('Daily Checklist'!$D$2:$D$2000=$A21)*(TEXT('Daily Checklist'!$B$2:$B$2000,"yyyy-mm-dd")=TEXT(($B$4+13),"yyyy-mm-dd"))*('Daily Checklist'!$L$2:$L$2000="Y"))&gt;0,SUMPRODUCT(('Daily Checklist'!$D$2:$D$2000=$A21)*(TEXT('Daily Checklist'!$B$2:$B$2000,"yyyy-mm-dd")=TEXT(($B$4+13),"yyyy-mm-dd"))*('Daily Checklist'!$F$2:$F$2000="Done"))&amp;"/"&amp;SUMPRODUCT(('Daily Checklist'!$D$2:$D$2000=$A21)*(TEXT('Daily Checklist'!$B$2:$B$2000,"yyyy-mm-dd")=TEXT(($B$4+13),"yyyy-mm-dd")))&amp;" ESC",SUMPRODUCT(('Daily Checklist'!$D$2:$D$2000=$A21)*(TEXT('Daily Checklist'!$B$2:$B$2000,"yyyy-mm-dd")=TEXT(($B$4+13),"yyyy-mm-dd"))*('Daily Checklist'!$F$2:$F$2000="Done"))&amp;"/"&amp;SUMPRODUCT(('Daily Checklist'!$D$2:$D$2000=$A21)*(TEXT('Daily Checklist'!$B$2:$B$2000,"yyyy-mm-dd")=TEXT(($B$4+13),"yyyy-mm-dd"))))))</f>
        <v/>
      </c>
      <c r="P21" s="25" t="str">
        <f aca="false">IF($A21="","",IF(SUMPRODUCT(('Daily Checklist'!$D$2:$D$2000=$A21)*(TEXT('Daily Checklist'!$B$2:$B$2000,"yyyy-mm-dd")=TEXT(($B$4+14),"yyyy-mm-dd")))=0,"-",IF(SUMPRODUCT(('Daily Checklist'!$D$2:$D$2000=$A21)*(TEXT('Daily Checklist'!$B$2:$B$2000,"yyyy-mm-dd")=TEXT(($B$4+14),"yyyy-mm-dd"))*('Daily Checklist'!$L$2:$L$2000="Y"))&gt;0,SUMPRODUCT(('Daily Checklist'!$D$2:$D$2000=$A21)*(TEXT('Daily Checklist'!$B$2:$B$2000,"yyyy-mm-dd")=TEXT(($B$4+14),"yyyy-mm-dd"))*('Daily Checklist'!$F$2:$F$2000="Done"))&amp;"/"&amp;SUMPRODUCT(('Daily Checklist'!$D$2:$D$2000=$A21)*(TEXT('Daily Checklist'!$B$2:$B$2000,"yyyy-mm-dd")=TEXT(($B$4+14),"yyyy-mm-dd")))&amp;" ESC",SUMPRODUCT(('Daily Checklist'!$D$2:$D$2000=$A21)*(TEXT('Daily Checklist'!$B$2:$B$2000,"yyyy-mm-dd")=TEXT(($B$4+14),"yyyy-mm-dd"))*('Daily Checklist'!$F$2:$F$2000="Done"))&amp;"/"&amp;SUMPRODUCT(('Daily Checklist'!$D$2:$D$2000=$A21)*(TEXT('Daily Checklist'!$B$2:$B$2000,"yyyy-mm-dd")=TEXT(($B$4+14),"yyyy-mm-dd"))))))</f>
        <v/>
      </c>
      <c r="Q21" s="25" t="str">
        <f aca="false">IF($A21="","",IF(SUMPRODUCT(('Daily Checklist'!$D$2:$D$2000=$A21)*(TEXT('Daily Checklist'!$B$2:$B$2000,"yyyy-mm-dd")=TEXT(($B$4+15),"yyyy-mm-dd")))=0,"-",IF(SUMPRODUCT(('Daily Checklist'!$D$2:$D$2000=$A21)*(TEXT('Daily Checklist'!$B$2:$B$2000,"yyyy-mm-dd")=TEXT(($B$4+15),"yyyy-mm-dd"))*('Daily Checklist'!$L$2:$L$2000="Y"))&gt;0,SUMPRODUCT(('Daily Checklist'!$D$2:$D$2000=$A21)*(TEXT('Daily Checklist'!$B$2:$B$2000,"yyyy-mm-dd")=TEXT(($B$4+15),"yyyy-mm-dd"))*('Daily Checklist'!$F$2:$F$2000="Done"))&amp;"/"&amp;SUMPRODUCT(('Daily Checklist'!$D$2:$D$2000=$A21)*(TEXT('Daily Checklist'!$B$2:$B$2000,"yyyy-mm-dd")=TEXT(($B$4+15),"yyyy-mm-dd")))&amp;" ESC",SUMPRODUCT(('Daily Checklist'!$D$2:$D$2000=$A21)*(TEXT('Daily Checklist'!$B$2:$B$2000,"yyyy-mm-dd")=TEXT(($B$4+15),"yyyy-mm-dd"))*('Daily Checklist'!$F$2:$F$2000="Done"))&amp;"/"&amp;SUMPRODUCT(('Daily Checklist'!$D$2:$D$2000=$A21)*(TEXT('Daily Checklist'!$B$2:$B$2000,"yyyy-mm-dd")=TEXT(($B$4+15),"yyyy-mm-dd"))))))</f>
        <v/>
      </c>
      <c r="R21" s="25" t="str">
        <f aca="false">IF($A21="","",IF(SUMPRODUCT(('Daily Checklist'!$D$2:$D$2000=$A21)*(TEXT('Daily Checklist'!$B$2:$B$2000,"yyyy-mm-dd")=TEXT(($B$4+16),"yyyy-mm-dd")))=0,"-",IF(SUMPRODUCT(('Daily Checklist'!$D$2:$D$2000=$A21)*(TEXT('Daily Checklist'!$B$2:$B$2000,"yyyy-mm-dd")=TEXT(($B$4+16),"yyyy-mm-dd"))*('Daily Checklist'!$L$2:$L$2000="Y"))&gt;0,SUMPRODUCT(('Daily Checklist'!$D$2:$D$2000=$A21)*(TEXT('Daily Checklist'!$B$2:$B$2000,"yyyy-mm-dd")=TEXT(($B$4+16),"yyyy-mm-dd"))*('Daily Checklist'!$F$2:$F$2000="Done"))&amp;"/"&amp;SUMPRODUCT(('Daily Checklist'!$D$2:$D$2000=$A21)*(TEXT('Daily Checklist'!$B$2:$B$2000,"yyyy-mm-dd")=TEXT(($B$4+16),"yyyy-mm-dd")))&amp;" ESC",SUMPRODUCT(('Daily Checklist'!$D$2:$D$2000=$A21)*(TEXT('Daily Checklist'!$B$2:$B$2000,"yyyy-mm-dd")=TEXT(($B$4+16),"yyyy-mm-dd"))*('Daily Checklist'!$F$2:$F$2000="Done"))&amp;"/"&amp;SUMPRODUCT(('Daily Checklist'!$D$2:$D$2000=$A21)*(TEXT('Daily Checklist'!$B$2:$B$2000,"yyyy-mm-dd")=TEXT(($B$4+16),"yyyy-mm-dd"))))))</f>
        <v/>
      </c>
      <c r="S21" s="25" t="str">
        <f aca="false">IF($A21="","",IF(SUMPRODUCT(('Daily Checklist'!$D$2:$D$2000=$A21)*(TEXT('Daily Checklist'!$B$2:$B$2000,"yyyy-mm-dd")=TEXT(($B$4+17),"yyyy-mm-dd")))=0,"-",IF(SUMPRODUCT(('Daily Checklist'!$D$2:$D$2000=$A21)*(TEXT('Daily Checklist'!$B$2:$B$2000,"yyyy-mm-dd")=TEXT(($B$4+17),"yyyy-mm-dd"))*('Daily Checklist'!$L$2:$L$2000="Y"))&gt;0,SUMPRODUCT(('Daily Checklist'!$D$2:$D$2000=$A21)*(TEXT('Daily Checklist'!$B$2:$B$2000,"yyyy-mm-dd")=TEXT(($B$4+17),"yyyy-mm-dd"))*('Daily Checklist'!$F$2:$F$2000="Done"))&amp;"/"&amp;SUMPRODUCT(('Daily Checklist'!$D$2:$D$2000=$A21)*(TEXT('Daily Checklist'!$B$2:$B$2000,"yyyy-mm-dd")=TEXT(($B$4+17),"yyyy-mm-dd")))&amp;" ESC",SUMPRODUCT(('Daily Checklist'!$D$2:$D$2000=$A21)*(TEXT('Daily Checklist'!$B$2:$B$2000,"yyyy-mm-dd")=TEXT(($B$4+17),"yyyy-mm-dd"))*('Daily Checklist'!$F$2:$F$2000="Done"))&amp;"/"&amp;SUMPRODUCT(('Daily Checklist'!$D$2:$D$2000=$A21)*(TEXT('Daily Checklist'!$B$2:$B$2000,"yyyy-mm-dd")=TEXT(($B$4+17),"yyyy-mm-dd"))))))</f>
        <v/>
      </c>
      <c r="T21" s="25" t="str">
        <f aca="false">IF($A21="","",IF(SUMPRODUCT(('Daily Checklist'!$D$2:$D$2000=$A21)*(TEXT('Daily Checklist'!$B$2:$B$2000,"yyyy-mm-dd")=TEXT(($B$4+18),"yyyy-mm-dd")))=0,"-",IF(SUMPRODUCT(('Daily Checklist'!$D$2:$D$2000=$A21)*(TEXT('Daily Checklist'!$B$2:$B$2000,"yyyy-mm-dd")=TEXT(($B$4+18),"yyyy-mm-dd"))*('Daily Checklist'!$L$2:$L$2000="Y"))&gt;0,SUMPRODUCT(('Daily Checklist'!$D$2:$D$2000=$A21)*(TEXT('Daily Checklist'!$B$2:$B$2000,"yyyy-mm-dd")=TEXT(($B$4+18),"yyyy-mm-dd"))*('Daily Checklist'!$F$2:$F$2000="Done"))&amp;"/"&amp;SUMPRODUCT(('Daily Checklist'!$D$2:$D$2000=$A21)*(TEXT('Daily Checklist'!$B$2:$B$2000,"yyyy-mm-dd")=TEXT(($B$4+18),"yyyy-mm-dd")))&amp;" ESC",SUMPRODUCT(('Daily Checklist'!$D$2:$D$2000=$A21)*(TEXT('Daily Checklist'!$B$2:$B$2000,"yyyy-mm-dd")=TEXT(($B$4+18),"yyyy-mm-dd"))*('Daily Checklist'!$F$2:$F$2000="Done"))&amp;"/"&amp;SUMPRODUCT(('Daily Checklist'!$D$2:$D$2000=$A21)*(TEXT('Daily Checklist'!$B$2:$B$2000,"yyyy-mm-dd")=TEXT(($B$4+18),"yyyy-mm-dd"))))))</f>
        <v/>
      </c>
      <c r="U21" s="25" t="str">
        <f aca="false">IF($A21="","",IF(SUMPRODUCT(('Daily Checklist'!$D$2:$D$2000=$A21)*(TEXT('Daily Checklist'!$B$2:$B$2000,"yyyy-mm-dd")=TEXT(($B$4+19),"yyyy-mm-dd")))=0,"-",IF(SUMPRODUCT(('Daily Checklist'!$D$2:$D$2000=$A21)*(TEXT('Daily Checklist'!$B$2:$B$2000,"yyyy-mm-dd")=TEXT(($B$4+19),"yyyy-mm-dd"))*('Daily Checklist'!$L$2:$L$2000="Y"))&gt;0,SUMPRODUCT(('Daily Checklist'!$D$2:$D$2000=$A21)*(TEXT('Daily Checklist'!$B$2:$B$2000,"yyyy-mm-dd")=TEXT(($B$4+19),"yyyy-mm-dd"))*('Daily Checklist'!$F$2:$F$2000="Done"))&amp;"/"&amp;SUMPRODUCT(('Daily Checklist'!$D$2:$D$2000=$A21)*(TEXT('Daily Checklist'!$B$2:$B$2000,"yyyy-mm-dd")=TEXT(($B$4+19),"yyyy-mm-dd")))&amp;" ESC",SUMPRODUCT(('Daily Checklist'!$D$2:$D$2000=$A21)*(TEXT('Daily Checklist'!$B$2:$B$2000,"yyyy-mm-dd")=TEXT(($B$4+19),"yyyy-mm-dd"))*('Daily Checklist'!$F$2:$F$2000="Done"))&amp;"/"&amp;SUMPRODUCT(('Daily Checklist'!$D$2:$D$2000=$A21)*(TEXT('Daily Checklist'!$B$2:$B$2000,"yyyy-mm-dd")=TEXT(($B$4+19),"yyyy-mm-dd"))))))</f>
        <v/>
      </c>
      <c r="V21" s="25" t="str">
        <f aca="false">IF($A21="","",IF(SUMPRODUCT(('Daily Checklist'!$D$2:$D$2000=$A21)*(TEXT('Daily Checklist'!$B$2:$B$2000,"yyyy-mm-dd")=TEXT(($B$4+20),"yyyy-mm-dd")))=0,"-",IF(SUMPRODUCT(('Daily Checklist'!$D$2:$D$2000=$A21)*(TEXT('Daily Checklist'!$B$2:$B$2000,"yyyy-mm-dd")=TEXT(($B$4+20),"yyyy-mm-dd"))*('Daily Checklist'!$L$2:$L$2000="Y"))&gt;0,SUMPRODUCT(('Daily Checklist'!$D$2:$D$2000=$A21)*(TEXT('Daily Checklist'!$B$2:$B$2000,"yyyy-mm-dd")=TEXT(($B$4+20),"yyyy-mm-dd"))*('Daily Checklist'!$F$2:$F$2000="Done"))&amp;"/"&amp;SUMPRODUCT(('Daily Checklist'!$D$2:$D$2000=$A21)*(TEXT('Daily Checklist'!$B$2:$B$2000,"yyyy-mm-dd")=TEXT(($B$4+20),"yyyy-mm-dd")))&amp;" ESC",SUMPRODUCT(('Daily Checklist'!$D$2:$D$2000=$A21)*(TEXT('Daily Checklist'!$B$2:$B$2000,"yyyy-mm-dd")=TEXT(($B$4+20),"yyyy-mm-dd"))*('Daily Checklist'!$F$2:$F$2000="Done"))&amp;"/"&amp;SUMPRODUCT(('Daily Checklist'!$D$2:$D$2000=$A21)*(TEXT('Daily Checklist'!$B$2:$B$2000,"yyyy-mm-dd")=TEXT(($B$4+20),"yyyy-mm-dd"))))))</f>
        <v/>
      </c>
      <c r="W21" s="25" t="str">
        <f aca="false">IF($A21="","",IF(SUMPRODUCT(('Daily Checklist'!$D$2:$D$2000=$A21)*(TEXT('Daily Checklist'!$B$2:$B$2000,"yyyy-mm-dd")=TEXT(($B$4+21),"yyyy-mm-dd")))=0,"-",IF(SUMPRODUCT(('Daily Checklist'!$D$2:$D$2000=$A21)*(TEXT('Daily Checklist'!$B$2:$B$2000,"yyyy-mm-dd")=TEXT(($B$4+21),"yyyy-mm-dd"))*('Daily Checklist'!$L$2:$L$2000="Y"))&gt;0,SUMPRODUCT(('Daily Checklist'!$D$2:$D$2000=$A21)*(TEXT('Daily Checklist'!$B$2:$B$2000,"yyyy-mm-dd")=TEXT(($B$4+21),"yyyy-mm-dd"))*('Daily Checklist'!$F$2:$F$2000="Done"))&amp;"/"&amp;SUMPRODUCT(('Daily Checklist'!$D$2:$D$2000=$A21)*(TEXT('Daily Checklist'!$B$2:$B$2000,"yyyy-mm-dd")=TEXT(($B$4+21),"yyyy-mm-dd")))&amp;" ESC",SUMPRODUCT(('Daily Checklist'!$D$2:$D$2000=$A21)*(TEXT('Daily Checklist'!$B$2:$B$2000,"yyyy-mm-dd")=TEXT(($B$4+21),"yyyy-mm-dd"))*('Daily Checklist'!$F$2:$F$2000="Done"))&amp;"/"&amp;SUMPRODUCT(('Daily Checklist'!$D$2:$D$2000=$A21)*(TEXT('Daily Checklist'!$B$2:$B$2000,"yyyy-mm-dd")=TEXT(($B$4+21),"yyyy-mm-dd"))))))</f>
        <v/>
      </c>
      <c r="X21" s="25" t="str">
        <f aca="false">IF($A21="","",IF(SUMPRODUCT(('Daily Checklist'!$D$2:$D$2000=$A21)*(TEXT('Daily Checklist'!$B$2:$B$2000,"yyyy-mm-dd")=TEXT(($B$4+22),"yyyy-mm-dd")))=0,"-",IF(SUMPRODUCT(('Daily Checklist'!$D$2:$D$2000=$A21)*(TEXT('Daily Checklist'!$B$2:$B$2000,"yyyy-mm-dd")=TEXT(($B$4+22),"yyyy-mm-dd"))*('Daily Checklist'!$L$2:$L$2000="Y"))&gt;0,SUMPRODUCT(('Daily Checklist'!$D$2:$D$2000=$A21)*(TEXT('Daily Checklist'!$B$2:$B$2000,"yyyy-mm-dd")=TEXT(($B$4+22),"yyyy-mm-dd"))*('Daily Checklist'!$F$2:$F$2000="Done"))&amp;"/"&amp;SUMPRODUCT(('Daily Checklist'!$D$2:$D$2000=$A21)*(TEXT('Daily Checklist'!$B$2:$B$2000,"yyyy-mm-dd")=TEXT(($B$4+22),"yyyy-mm-dd")))&amp;" ESC",SUMPRODUCT(('Daily Checklist'!$D$2:$D$2000=$A21)*(TEXT('Daily Checklist'!$B$2:$B$2000,"yyyy-mm-dd")=TEXT(($B$4+22),"yyyy-mm-dd"))*('Daily Checklist'!$F$2:$F$2000="Done"))&amp;"/"&amp;SUMPRODUCT(('Daily Checklist'!$D$2:$D$2000=$A21)*(TEXT('Daily Checklist'!$B$2:$B$2000,"yyyy-mm-dd")=TEXT(($B$4+22),"yyyy-mm-dd"))))))</f>
        <v/>
      </c>
      <c r="Y21" s="25" t="str">
        <f aca="false">IF($A21="","",IF(SUMPRODUCT(('Daily Checklist'!$D$2:$D$2000=$A21)*(TEXT('Daily Checklist'!$B$2:$B$2000,"yyyy-mm-dd")=TEXT(($B$4+23),"yyyy-mm-dd")))=0,"-",IF(SUMPRODUCT(('Daily Checklist'!$D$2:$D$2000=$A21)*(TEXT('Daily Checklist'!$B$2:$B$2000,"yyyy-mm-dd")=TEXT(($B$4+23),"yyyy-mm-dd"))*('Daily Checklist'!$L$2:$L$2000="Y"))&gt;0,SUMPRODUCT(('Daily Checklist'!$D$2:$D$2000=$A21)*(TEXT('Daily Checklist'!$B$2:$B$2000,"yyyy-mm-dd")=TEXT(($B$4+23),"yyyy-mm-dd"))*('Daily Checklist'!$F$2:$F$2000="Done"))&amp;"/"&amp;SUMPRODUCT(('Daily Checklist'!$D$2:$D$2000=$A21)*(TEXT('Daily Checklist'!$B$2:$B$2000,"yyyy-mm-dd")=TEXT(($B$4+23),"yyyy-mm-dd")))&amp;" ESC",SUMPRODUCT(('Daily Checklist'!$D$2:$D$2000=$A21)*(TEXT('Daily Checklist'!$B$2:$B$2000,"yyyy-mm-dd")=TEXT(($B$4+23),"yyyy-mm-dd"))*('Daily Checklist'!$F$2:$F$2000="Done"))&amp;"/"&amp;SUMPRODUCT(('Daily Checklist'!$D$2:$D$2000=$A21)*(TEXT('Daily Checklist'!$B$2:$B$2000,"yyyy-mm-dd")=TEXT(($B$4+23),"yyyy-mm-dd"))))))</f>
        <v/>
      </c>
      <c r="Z21" s="25" t="str">
        <f aca="false">IF($A21="","",IF(SUMPRODUCT(('Daily Checklist'!$D$2:$D$2000=$A21)*(TEXT('Daily Checklist'!$B$2:$B$2000,"yyyy-mm-dd")=TEXT(($B$4+24),"yyyy-mm-dd")))=0,"-",IF(SUMPRODUCT(('Daily Checklist'!$D$2:$D$2000=$A21)*(TEXT('Daily Checklist'!$B$2:$B$2000,"yyyy-mm-dd")=TEXT(($B$4+24),"yyyy-mm-dd"))*('Daily Checklist'!$L$2:$L$2000="Y"))&gt;0,SUMPRODUCT(('Daily Checklist'!$D$2:$D$2000=$A21)*(TEXT('Daily Checklist'!$B$2:$B$2000,"yyyy-mm-dd")=TEXT(($B$4+24),"yyyy-mm-dd"))*('Daily Checklist'!$F$2:$F$2000="Done"))&amp;"/"&amp;SUMPRODUCT(('Daily Checklist'!$D$2:$D$2000=$A21)*(TEXT('Daily Checklist'!$B$2:$B$2000,"yyyy-mm-dd")=TEXT(($B$4+24),"yyyy-mm-dd")))&amp;" ESC",SUMPRODUCT(('Daily Checklist'!$D$2:$D$2000=$A21)*(TEXT('Daily Checklist'!$B$2:$B$2000,"yyyy-mm-dd")=TEXT(($B$4+24),"yyyy-mm-dd"))*('Daily Checklist'!$F$2:$F$2000="Done"))&amp;"/"&amp;SUMPRODUCT(('Daily Checklist'!$D$2:$D$2000=$A21)*(TEXT('Daily Checklist'!$B$2:$B$2000,"yyyy-mm-dd")=TEXT(($B$4+24),"yyyy-mm-dd"))))))</f>
        <v/>
      </c>
      <c r="AA21" s="25" t="str">
        <f aca="false">IF($A21="","",IF(SUMPRODUCT(('Daily Checklist'!$D$2:$D$2000=$A21)*(TEXT('Daily Checklist'!$B$2:$B$2000,"yyyy-mm-dd")=TEXT(($B$4+25),"yyyy-mm-dd")))=0,"-",IF(SUMPRODUCT(('Daily Checklist'!$D$2:$D$2000=$A21)*(TEXT('Daily Checklist'!$B$2:$B$2000,"yyyy-mm-dd")=TEXT(($B$4+25),"yyyy-mm-dd"))*('Daily Checklist'!$L$2:$L$2000="Y"))&gt;0,SUMPRODUCT(('Daily Checklist'!$D$2:$D$2000=$A21)*(TEXT('Daily Checklist'!$B$2:$B$2000,"yyyy-mm-dd")=TEXT(($B$4+25),"yyyy-mm-dd"))*('Daily Checklist'!$F$2:$F$2000="Done"))&amp;"/"&amp;SUMPRODUCT(('Daily Checklist'!$D$2:$D$2000=$A21)*(TEXT('Daily Checklist'!$B$2:$B$2000,"yyyy-mm-dd")=TEXT(($B$4+25),"yyyy-mm-dd")))&amp;" ESC",SUMPRODUCT(('Daily Checklist'!$D$2:$D$2000=$A21)*(TEXT('Daily Checklist'!$B$2:$B$2000,"yyyy-mm-dd")=TEXT(($B$4+25),"yyyy-mm-dd"))*('Daily Checklist'!$F$2:$F$2000="Done"))&amp;"/"&amp;SUMPRODUCT(('Daily Checklist'!$D$2:$D$2000=$A21)*(TEXT('Daily Checklist'!$B$2:$B$2000,"yyyy-mm-dd")=TEXT(($B$4+25),"yyyy-mm-dd"))))))</f>
        <v/>
      </c>
      <c r="AB21" s="25" t="str">
        <f aca="false">IF($A21="","",IF(SUMPRODUCT(('Daily Checklist'!$D$2:$D$2000=$A21)*(TEXT('Daily Checklist'!$B$2:$B$2000,"yyyy-mm-dd")=TEXT(($B$4+26),"yyyy-mm-dd")))=0,"-",IF(SUMPRODUCT(('Daily Checklist'!$D$2:$D$2000=$A21)*(TEXT('Daily Checklist'!$B$2:$B$2000,"yyyy-mm-dd")=TEXT(($B$4+26),"yyyy-mm-dd"))*('Daily Checklist'!$L$2:$L$2000="Y"))&gt;0,SUMPRODUCT(('Daily Checklist'!$D$2:$D$2000=$A21)*(TEXT('Daily Checklist'!$B$2:$B$2000,"yyyy-mm-dd")=TEXT(($B$4+26),"yyyy-mm-dd"))*('Daily Checklist'!$F$2:$F$2000="Done"))&amp;"/"&amp;SUMPRODUCT(('Daily Checklist'!$D$2:$D$2000=$A21)*(TEXT('Daily Checklist'!$B$2:$B$2000,"yyyy-mm-dd")=TEXT(($B$4+26),"yyyy-mm-dd")))&amp;" ESC",SUMPRODUCT(('Daily Checklist'!$D$2:$D$2000=$A21)*(TEXT('Daily Checklist'!$B$2:$B$2000,"yyyy-mm-dd")=TEXT(($B$4+26),"yyyy-mm-dd"))*('Daily Checklist'!$F$2:$F$2000="Done"))&amp;"/"&amp;SUMPRODUCT(('Daily Checklist'!$D$2:$D$2000=$A21)*(TEXT('Daily Checklist'!$B$2:$B$2000,"yyyy-mm-dd")=TEXT(($B$4+26),"yyyy-mm-dd"))))))</f>
        <v/>
      </c>
      <c r="AC21" s="25" t="str">
        <f aca="false">IF($A21="","",IF(SUMPRODUCT(('Daily Checklist'!$D$2:$D$2000=$A21)*(TEXT('Daily Checklist'!$B$2:$B$2000,"yyyy-mm-dd")=TEXT(($B$4+27),"yyyy-mm-dd")))=0,"-",IF(SUMPRODUCT(('Daily Checklist'!$D$2:$D$2000=$A21)*(TEXT('Daily Checklist'!$B$2:$B$2000,"yyyy-mm-dd")=TEXT(($B$4+27),"yyyy-mm-dd"))*('Daily Checklist'!$L$2:$L$2000="Y"))&gt;0,SUMPRODUCT(('Daily Checklist'!$D$2:$D$2000=$A21)*(TEXT('Daily Checklist'!$B$2:$B$2000,"yyyy-mm-dd")=TEXT(($B$4+27),"yyyy-mm-dd"))*('Daily Checklist'!$F$2:$F$2000="Done"))&amp;"/"&amp;SUMPRODUCT(('Daily Checklist'!$D$2:$D$2000=$A21)*(TEXT('Daily Checklist'!$B$2:$B$2000,"yyyy-mm-dd")=TEXT(($B$4+27),"yyyy-mm-dd")))&amp;" ESC",SUMPRODUCT(('Daily Checklist'!$D$2:$D$2000=$A21)*(TEXT('Daily Checklist'!$B$2:$B$2000,"yyyy-mm-dd")=TEXT(($B$4+27),"yyyy-mm-dd"))*('Daily Checklist'!$F$2:$F$2000="Done"))&amp;"/"&amp;SUMPRODUCT(('Daily Checklist'!$D$2:$D$2000=$A21)*(TEXT('Daily Checklist'!$B$2:$B$2000,"yyyy-mm-dd")=TEXT(($B$4+27),"yyyy-mm-dd"))))))</f>
        <v/>
      </c>
      <c r="AD21" s="25" t="str">
        <f aca="false">IF($A21="","",IF(SUMPRODUCT(('Daily Checklist'!$D$2:$D$2000=$A21)*(TEXT('Daily Checklist'!$B$2:$B$2000,"yyyy-mm-dd")=TEXT(($B$4+28),"yyyy-mm-dd")))=0,"-",IF(SUMPRODUCT(('Daily Checklist'!$D$2:$D$2000=$A21)*(TEXT('Daily Checklist'!$B$2:$B$2000,"yyyy-mm-dd")=TEXT(($B$4+28),"yyyy-mm-dd"))*('Daily Checklist'!$L$2:$L$2000="Y"))&gt;0,SUMPRODUCT(('Daily Checklist'!$D$2:$D$2000=$A21)*(TEXT('Daily Checklist'!$B$2:$B$2000,"yyyy-mm-dd")=TEXT(($B$4+28),"yyyy-mm-dd"))*('Daily Checklist'!$F$2:$F$2000="Done"))&amp;"/"&amp;SUMPRODUCT(('Daily Checklist'!$D$2:$D$2000=$A21)*(TEXT('Daily Checklist'!$B$2:$B$2000,"yyyy-mm-dd")=TEXT(($B$4+28),"yyyy-mm-dd")))&amp;" ESC",SUMPRODUCT(('Daily Checklist'!$D$2:$D$2000=$A21)*(TEXT('Daily Checklist'!$B$2:$B$2000,"yyyy-mm-dd")=TEXT(($B$4+28),"yyyy-mm-dd"))*('Daily Checklist'!$F$2:$F$2000="Done"))&amp;"/"&amp;SUMPRODUCT(('Daily Checklist'!$D$2:$D$2000=$A21)*(TEXT('Daily Checklist'!$B$2:$B$2000,"yyyy-mm-dd")=TEXT(($B$4+28),"yyyy-mm-dd"))))))</f>
        <v/>
      </c>
      <c r="AE21" s="25" t="str">
        <f aca="false">IF($A21="","",IF(SUMPRODUCT(('Daily Checklist'!$D$2:$D$2000=$A21)*(TEXT('Daily Checklist'!$B$2:$B$2000,"yyyy-mm-dd")=TEXT(($B$4+29),"yyyy-mm-dd")))=0,"-",IF(SUMPRODUCT(('Daily Checklist'!$D$2:$D$2000=$A21)*(TEXT('Daily Checklist'!$B$2:$B$2000,"yyyy-mm-dd")=TEXT(($B$4+29),"yyyy-mm-dd"))*('Daily Checklist'!$L$2:$L$2000="Y"))&gt;0,SUMPRODUCT(('Daily Checklist'!$D$2:$D$2000=$A21)*(TEXT('Daily Checklist'!$B$2:$B$2000,"yyyy-mm-dd")=TEXT(($B$4+29),"yyyy-mm-dd"))*('Daily Checklist'!$F$2:$F$2000="Done"))&amp;"/"&amp;SUMPRODUCT(('Daily Checklist'!$D$2:$D$2000=$A21)*(TEXT('Daily Checklist'!$B$2:$B$2000,"yyyy-mm-dd")=TEXT(($B$4+29),"yyyy-mm-dd")))&amp;" ESC",SUMPRODUCT(('Daily Checklist'!$D$2:$D$2000=$A21)*(TEXT('Daily Checklist'!$B$2:$B$2000,"yyyy-mm-dd")=TEXT(($B$4+29),"yyyy-mm-dd"))*('Daily Checklist'!$F$2:$F$2000="Done"))&amp;"/"&amp;SUMPRODUCT(('Daily Checklist'!$D$2:$D$2000=$A21)*(TEXT('Daily Checklist'!$B$2:$B$2000,"yyyy-mm-dd")=TEXT(($B$4+29),"yyyy-mm-dd"))))))</f>
        <v/>
      </c>
      <c r="AF21" s="25" t="str">
        <f aca="false">IF($A21="","",IF(SUMPRODUCT(('Daily Checklist'!$D$2:$D$2000=$A21)*(TEXT('Daily Checklist'!$B$2:$B$2000,"yyyy-mm-dd")=TEXT(($B$4+30),"yyyy-mm-dd")))=0,"-",IF(SUMPRODUCT(('Daily Checklist'!$D$2:$D$2000=$A21)*(TEXT('Daily Checklist'!$B$2:$B$2000,"yyyy-mm-dd")=TEXT(($B$4+30),"yyyy-mm-dd"))*('Daily Checklist'!$L$2:$L$2000="Y"))&gt;0,SUMPRODUCT(('Daily Checklist'!$D$2:$D$2000=$A21)*(TEXT('Daily Checklist'!$B$2:$B$2000,"yyyy-mm-dd")=TEXT(($B$4+30),"yyyy-mm-dd"))*('Daily Checklist'!$F$2:$F$2000="Done"))&amp;"/"&amp;SUMPRODUCT(('Daily Checklist'!$D$2:$D$2000=$A21)*(TEXT('Daily Checklist'!$B$2:$B$2000,"yyyy-mm-dd")=TEXT(($B$4+30),"yyyy-mm-dd")))&amp;" ESC",SUMPRODUCT(('Daily Checklist'!$D$2:$D$2000=$A21)*(TEXT('Daily Checklist'!$B$2:$B$2000,"yyyy-mm-dd")=TEXT(($B$4+30),"yyyy-mm-dd"))*('Daily Checklist'!$F$2:$F$2000="Done"))&amp;"/"&amp;SUMPRODUCT(('Daily Checklist'!$D$2:$D$2000=$A21)*(TEXT('Daily Checklist'!$B$2:$B$2000,"yyyy-mm-dd")=TEXT(($B$4+30),"yyyy-mm-dd"))))))</f>
        <v/>
      </c>
    </row>
    <row r="22" customFormat="false" ht="15" hidden="false" customHeight="true" outlineLevel="0" collapsed="false">
      <c r="A22" s="24" t="str">
        <f aca="false">IFERROR(IF(Employees!A17="","",Employees!A17),"")</f>
        <v/>
      </c>
      <c r="B22" s="25" t="str">
        <f aca="false">IF($A22="","",IF(SUMPRODUCT(('Daily Checklist'!$D$2:$D$2000=$A22)*(TEXT('Daily Checklist'!$B$2:$B$2000,"yyyy-mm-dd")=TEXT(($B$4+0),"yyyy-mm-dd")))=0,"-",IF(SUMPRODUCT(('Daily Checklist'!$D$2:$D$2000=$A22)*(TEXT('Daily Checklist'!$B$2:$B$2000,"yyyy-mm-dd")=TEXT(($B$4+0),"yyyy-mm-dd"))*('Daily Checklist'!$L$2:$L$2000="Y"))&gt;0,SUMPRODUCT(('Daily Checklist'!$D$2:$D$2000=$A22)*(TEXT('Daily Checklist'!$B$2:$B$2000,"yyyy-mm-dd")=TEXT(($B$4+0),"yyyy-mm-dd"))*('Daily Checklist'!$F$2:$F$2000="Done"))&amp;"/"&amp;SUMPRODUCT(('Daily Checklist'!$D$2:$D$2000=$A22)*(TEXT('Daily Checklist'!$B$2:$B$2000,"yyyy-mm-dd")=TEXT(($B$4+0),"yyyy-mm-dd")))&amp;" ESC",SUMPRODUCT(('Daily Checklist'!$D$2:$D$2000=$A22)*(TEXT('Daily Checklist'!$B$2:$B$2000,"yyyy-mm-dd")=TEXT(($B$4+0),"yyyy-mm-dd"))*('Daily Checklist'!$F$2:$F$2000="Done"))&amp;"/"&amp;SUMPRODUCT(('Daily Checklist'!$D$2:$D$2000=$A22)*(TEXT('Daily Checklist'!$B$2:$B$2000,"yyyy-mm-dd")=TEXT(($B$4+0),"yyyy-mm-dd"))))))</f>
        <v/>
      </c>
      <c r="C22" s="25" t="str">
        <f aca="false">IF($A22="","",IF(SUMPRODUCT(('Daily Checklist'!$D$2:$D$2000=$A22)*(TEXT('Daily Checklist'!$B$2:$B$2000,"yyyy-mm-dd")=TEXT(($B$4+1),"yyyy-mm-dd")))=0,"-",IF(SUMPRODUCT(('Daily Checklist'!$D$2:$D$2000=$A22)*(TEXT('Daily Checklist'!$B$2:$B$2000,"yyyy-mm-dd")=TEXT(($B$4+1),"yyyy-mm-dd"))*('Daily Checklist'!$L$2:$L$2000="Y"))&gt;0,SUMPRODUCT(('Daily Checklist'!$D$2:$D$2000=$A22)*(TEXT('Daily Checklist'!$B$2:$B$2000,"yyyy-mm-dd")=TEXT(($B$4+1),"yyyy-mm-dd"))*('Daily Checklist'!$F$2:$F$2000="Done"))&amp;"/"&amp;SUMPRODUCT(('Daily Checklist'!$D$2:$D$2000=$A22)*(TEXT('Daily Checklist'!$B$2:$B$2000,"yyyy-mm-dd")=TEXT(($B$4+1),"yyyy-mm-dd")))&amp;" ESC",SUMPRODUCT(('Daily Checklist'!$D$2:$D$2000=$A22)*(TEXT('Daily Checklist'!$B$2:$B$2000,"yyyy-mm-dd")=TEXT(($B$4+1),"yyyy-mm-dd"))*('Daily Checklist'!$F$2:$F$2000="Done"))&amp;"/"&amp;SUMPRODUCT(('Daily Checklist'!$D$2:$D$2000=$A22)*(TEXT('Daily Checklist'!$B$2:$B$2000,"yyyy-mm-dd")=TEXT(($B$4+1),"yyyy-mm-dd"))))))</f>
        <v/>
      </c>
      <c r="D22" s="25" t="str">
        <f aca="false">IF($A22="","",IF(SUMPRODUCT(('Daily Checklist'!$D$2:$D$2000=$A22)*(TEXT('Daily Checklist'!$B$2:$B$2000,"yyyy-mm-dd")=TEXT(($B$4+2),"yyyy-mm-dd")))=0,"-",IF(SUMPRODUCT(('Daily Checklist'!$D$2:$D$2000=$A22)*(TEXT('Daily Checklist'!$B$2:$B$2000,"yyyy-mm-dd")=TEXT(($B$4+2),"yyyy-mm-dd"))*('Daily Checklist'!$L$2:$L$2000="Y"))&gt;0,SUMPRODUCT(('Daily Checklist'!$D$2:$D$2000=$A22)*(TEXT('Daily Checklist'!$B$2:$B$2000,"yyyy-mm-dd")=TEXT(($B$4+2),"yyyy-mm-dd"))*('Daily Checklist'!$F$2:$F$2000="Done"))&amp;"/"&amp;SUMPRODUCT(('Daily Checklist'!$D$2:$D$2000=$A22)*(TEXT('Daily Checklist'!$B$2:$B$2000,"yyyy-mm-dd")=TEXT(($B$4+2),"yyyy-mm-dd")))&amp;" ESC",SUMPRODUCT(('Daily Checklist'!$D$2:$D$2000=$A22)*(TEXT('Daily Checklist'!$B$2:$B$2000,"yyyy-mm-dd")=TEXT(($B$4+2),"yyyy-mm-dd"))*('Daily Checklist'!$F$2:$F$2000="Done"))&amp;"/"&amp;SUMPRODUCT(('Daily Checklist'!$D$2:$D$2000=$A22)*(TEXT('Daily Checklist'!$B$2:$B$2000,"yyyy-mm-dd")=TEXT(($B$4+2),"yyyy-mm-dd"))))))</f>
        <v/>
      </c>
      <c r="E22" s="25" t="str">
        <f aca="false">IF($A22="","",IF(SUMPRODUCT(('Daily Checklist'!$D$2:$D$2000=$A22)*(TEXT('Daily Checklist'!$B$2:$B$2000,"yyyy-mm-dd")=TEXT(($B$4+3),"yyyy-mm-dd")))=0,"-",IF(SUMPRODUCT(('Daily Checklist'!$D$2:$D$2000=$A22)*(TEXT('Daily Checklist'!$B$2:$B$2000,"yyyy-mm-dd")=TEXT(($B$4+3),"yyyy-mm-dd"))*('Daily Checklist'!$L$2:$L$2000="Y"))&gt;0,SUMPRODUCT(('Daily Checklist'!$D$2:$D$2000=$A22)*(TEXT('Daily Checklist'!$B$2:$B$2000,"yyyy-mm-dd")=TEXT(($B$4+3),"yyyy-mm-dd"))*('Daily Checklist'!$F$2:$F$2000="Done"))&amp;"/"&amp;SUMPRODUCT(('Daily Checklist'!$D$2:$D$2000=$A22)*(TEXT('Daily Checklist'!$B$2:$B$2000,"yyyy-mm-dd")=TEXT(($B$4+3),"yyyy-mm-dd")))&amp;" ESC",SUMPRODUCT(('Daily Checklist'!$D$2:$D$2000=$A22)*(TEXT('Daily Checklist'!$B$2:$B$2000,"yyyy-mm-dd")=TEXT(($B$4+3),"yyyy-mm-dd"))*('Daily Checklist'!$F$2:$F$2000="Done"))&amp;"/"&amp;SUMPRODUCT(('Daily Checklist'!$D$2:$D$2000=$A22)*(TEXT('Daily Checklist'!$B$2:$B$2000,"yyyy-mm-dd")=TEXT(($B$4+3),"yyyy-mm-dd"))))))</f>
        <v/>
      </c>
      <c r="F22" s="25" t="str">
        <f aca="false">IF($A22="","",IF(SUMPRODUCT(('Daily Checklist'!$D$2:$D$2000=$A22)*(TEXT('Daily Checklist'!$B$2:$B$2000,"yyyy-mm-dd")=TEXT(($B$4+4),"yyyy-mm-dd")))=0,"-",IF(SUMPRODUCT(('Daily Checklist'!$D$2:$D$2000=$A22)*(TEXT('Daily Checklist'!$B$2:$B$2000,"yyyy-mm-dd")=TEXT(($B$4+4),"yyyy-mm-dd"))*('Daily Checklist'!$L$2:$L$2000="Y"))&gt;0,SUMPRODUCT(('Daily Checklist'!$D$2:$D$2000=$A22)*(TEXT('Daily Checklist'!$B$2:$B$2000,"yyyy-mm-dd")=TEXT(($B$4+4),"yyyy-mm-dd"))*('Daily Checklist'!$F$2:$F$2000="Done"))&amp;"/"&amp;SUMPRODUCT(('Daily Checklist'!$D$2:$D$2000=$A22)*(TEXT('Daily Checklist'!$B$2:$B$2000,"yyyy-mm-dd")=TEXT(($B$4+4),"yyyy-mm-dd")))&amp;" ESC",SUMPRODUCT(('Daily Checklist'!$D$2:$D$2000=$A22)*(TEXT('Daily Checklist'!$B$2:$B$2000,"yyyy-mm-dd")=TEXT(($B$4+4),"yyyy-mm-dd"))*('Daily Checklist'!$F$2:$F$2000="Done"))&amp;"/"&amp;SUMPRODUCT(('Daily Checklist'!$D$2:$D$2000=$A22)*(TEXT('Daily Checklist'!$B$2:$B$2000,"yyyy-mm-dd")=TEXT(($B$4+4),"yyyy-mm-dd"))))))</f>
        <v/>
      </c>
      <c r="G22" s="25" t="str">
        <f aca="false">IF($A22="","",IF(SUMPRODUCT(('Daily Checklist'!$D$2:$D$2000=$A22)*(TEXT('Daily Checklist'!$B$2:$B$2000,"yyyy-mm-dd")=TEXT(($B$4+5),"yyyy-mm-dd")))=0,"-",IF(SUMPRODUCT(('Daily Checklist'!$D$2:$D$2000=$A22)*(TEXT('Daily Checklist'!$B$2:$B$2000,"yyyy-mm-dd")=TEXT(($B$4+5),"yyyy-mm-dd"))*('Daily Checklist'!$L$2:$L$2000="Y"))&gt;0,SUMPRODUCT(('Daily Checklist'!$D$2:$D$2000=$A22)*(TEXT('Daily Checklist'!$B$2:$B$2000,"yyyy-mm-dd")=TEXT(($B$4+5),"yyyy-mm-dd"))*('Daily Checklist'!$F$2:$F$2000="Done"))&amp;"/"&amp;SUMPRODUCT(('Daily Checklist'!$D$2:$D$2000=$A22)*(TEXT('Daily Checklist'!$B$2:$B$2000,"yyyy-mm-dd")=TEXT(($B$4+5),"yyyy-mm-dd")))&amp;" ESC",SUMPRODUCT(('Daily Checklist'!$D$2:$D$2000=$A22)*(TEXT('Daily Checklist'!$B$2:$B$2000,"yyyy-mm-dd")=TEXT(($B$4+5),"yyyy-mm-dd"))*('Daily Checklist'!$F$2:$F$2000="Done"))&amp;"/"&amp;SUMPRODUCT(('Daily Checklist'!$D$2:$D$2000=$A22)*(TEXT('Daily Checklist'!$B$2:$B$2000,"yyyy-mm-dd")=TEXT(($B$4+5),"yyyy-mm-dd"))))))</f>
        <v/>
      </c>
      <c r="H22" s="25" t="str">
        <f aca="false">IF($A22="","",IF(SUMPRODUCT(('Daily Checklist'!$D$2:$D$2000=$A22)*(TEXT('Daily Checklist'!$B$2:$B$2000,"yyyy-mm-dd")=TEXT(($B$4+6),"yyyy-mm-dd")))=0,"-",IF(SUMPRODUCT(('Daily Checklist'!$D$2:$D$2000=$A22)*(TEXT('Daily Checklist'!$B$2:$B$2000,"yyyy-mm-dd")=TEXT(($B$4+6),"yyyy-mm-dd"))*('Daily Checklist'!$L$2:$L$2000="Y"))&gt;0,SUMPRODUCT(('Daily Checklist'!$D$2:$D$2000=$A22)*(TEXT('Daily Checklist'!$B$2:$B$2000,"yyyy-mm-dd")=TEXT(($B$4+6),"yyyy-mm-dd"))*('Daily Checklist'!$F$2:$F$2000="Done"))&amp;"/"&amp;SUMPRODUCT(('Daily Checklist'!$D$2:$D$2000=$A22)*(TEXT('Daily Checklist'!$B$2:$B$2000,"yyyy-mm-dd")=TEXT(($B$4+6),"yyyy-mm-dd")))&amp;" ESC",SUMPRODUCT(('Daily Checklist'!$D$2:$D$2000=$A22)*(TEXT('Daily Checklist'!$B$2:$B$2000,"yyyy-mm-dd")=TEXT(($B$4+6),"yyyy-mm-dd"))*('Daily Checklist'!$F$2:$F$2000="Done"))&amp;"/"&amp;SUMPRODUCT(('Daily Checklist'!$D$2:$D$2000=$A22)*(TEXT('Daily Checklist'!$B$2:$B$2000,"yyyy-mm-dd")=TEXT(($B$4+6),"yyyy-mm-dd"))))))</f>
        <v/>
      </c>
      <c r="I22" s="25" t="str">
        <f aca="false">IF($A22="","",IF(SUMPRODUCT(('Daily Checklist'!$D$2:$D$2000=$A22)*(TEXT('Daily Checklist'!$B$2:$B$2000,"yyyy-mm-dd")=TEXT(($B$4+7),"yyyy-mm-dd")))=0,"-",IF(SUMPRODUCT(('Daily Checklist'!$D$2:$D$2000=$A22)*(TEXT('Daily Checklist'!$B$2:$B$2000,"yyyy-mm-dd")=TEXT(($B$4+7),"yyyy-mm-dd"))*('Daily Checklist'!$L$2:$L$2000="Y"))&gt;0,SUMPRODUCT(('Daily Checklist'!$D$2:$D$2000=$A22)*(TEXT('Daily Checklist'!$B$2:$B$2000,"yyyy-mm-dd")=TEXT(($B$4+7),"yyyy-mm-dd"))*('Daily Checklist'!$F$2:$F$2000="Done"))&amp;"/"&amp;SUMPRODUCT(('Daily Checklist'!$D$2:$D$2000=$A22)*(TEXT('Daily Checklist'!$B$2:$B$2000,"yyyy-mm-dd")=TEXT(($B$4+7),"yyyy-mm-dd")))&amp;" ESC",SUMPRODUCT(('Daily Checklist'!$D$2:$D$2000=$A22)*(TEXT('Daily Checklist'!$B$2:$B$2000,"yyyy-mm-dd")=TEXT(($B$4+7),"yyyy-mm-dd"))*('Daily Checklist'!$F$2:$F$2000="Done"))&amp;"/"&amp;SUMPRODUCT(('Daily Checklist'!$D$2:$D$2000=$A22)*(TEXT('Daily Checklist'!$B$2:$B$2000,"yyyy-mm-dd")=TEXT(($B$4+7),"yyyy-mm-dd"))))))</f>
        <v/>
      </c>
      <c r="J22" s="25" t="str">
        <f aca="false">IF($A22="","",IF(SUMPRODUCT(('Daily Checklist'!$D$2:$D$2000=$A22)*(TEXT('Daily Checklist'!$B$2:$B$2000,"yyyy-mm-dd")=TEXT(($B$4+8),"yyyy-mm-dd")))=0,"-",IF(SUMPRODUCT(('Daily Checklist'!$D$2:$D$2000=$A22)*(TEXT('Daily Checklist'!$B$2:$B$2000,"yyyy-mm-dd")=TEXT(($B$4+8),"yyyy-mm-dd"))*('Daily Checklist'!$L$2:$L$2000="Y"))&gt;0,SUMPRODUCT(('Daily Checklist'!$D$2:$D$2000=$A22)*(TEXT('Daily Checklist'!$B$2:$B$2000,"yyyy-mm-dd")=TEXT(($B$4+8),"yyyy-mm-dd"))*('Daily Checklist'!$F$2:$F$2000="Done"))&amp;"/"&amp;SUMPRODUCT(('Daily Checklist'!$D$2:$D$2000=$A22)*(TEXT('Daily Checklist'!$B$2:$B$2000,"yyyy-mm-dd")=TEXT(($B$4+8),"yyyy-mm-dd")))&amp;" ESC",SUMPRODUCT(('Daily Checklist'!$D$2:$D$2000=$A22)*(TEXT('Daily Checklist'!$B$2:$B$2000,"yyyy-mm-dd")=TEXT(($B$4+8),"yyyy-mm-dd"))*('Daily Checklist'!$F$2:$F$2000="Done"))&amp;"/"&amp;SUMPRODUCT(('Daily Checklist'!$D$2:$D$2000=$A22)*(TEXT('Daily Checklist'!$B$2:$B$2000,"yyyy-mm-dd")=TEXT(($B$4+8),"yyyy-mm-dd"))))))</f>
        <v/>
      </c>
      <c r="K22" s="25" t="str">
        <f aca="false">IF($A22="","",IF(SUMPRODUCT(('Daily Checklist'!$D$2:$D$2000=$A22)*(TEXT('Daily Checklist'!$B$2:$B$2000,"yyyy-mm-dd")=TEXT(($B$4+9),"yyyy-mm-dd")))=0,"-",IF(SUMPRODUCT(('Daily Checklist'!$D$2:$D$2000=$A22)*(TEXT('Daily Checklist'!$B$2:$B$2000,"yyyy-mm-dd")=TEXT(($B$4+9),"yyyy-mm-dd"))*('Daily Checklist'!$L$2:$L$2000="Y"))&gt;0,SUMPRODUCT(('Daily Checklist'!$D$2:$D$2000=$A22)*(TEXT('Daily Checklist'!$B$2:$B$2000,"yyyy-mm-dd")=TEXT(($B$4+9),"yyyy-mm-dd"))*('Daily Checklist'!$F$2:$F$2000="Done"))&amp;"/"&amp;SUMPRODUCT(('Daily Checklist'!$D$2:$D$2000=$A22)*(TEXT('Daily Checklist'!$B$2:$B$2000,"yyyy-mm-dd")=TEXT(($B$4+9),"yyyy-mm-dd")))&amp;" ESC",SUMPRODUCT(('Daily Checklist'!$D$2:$D$2000=$A22)*(TEXT('Daily Checklist'!$B$2:$B$2000,"yyyy-mm-dd")=TEXT(($B$4+9),"yyyy-mm-dd"))*('Daily Checklist'!$F$2:$F$2000="Done"))&amp;"/"&amp;SUMPRODUCT(('Daily Checklist'!$D$2:$D$2000=$A22)*(TEXT('Daily Checklist'!$B$2:$B$2000,"yyyy-mm-dd")=TEXT(($B$4+9),"yyyy-mm-dd"))))))</f>
        <v/>
      </c>
      <c r="L22" s="25" t="str">
        <f aca="false">IF($A22="","",IF(SUMPRODUCT(('Daily Checklist'!$D$2:$D$2000=$A22)*(TEXT('Daily Checklist'!$B$2:$B$2000,"yyyy-mm-dd")=TEXT(($B$4+10),"yyyy-mm-dd")))=0,"-",IF(SUMPRODUCT(('Daily Checklist'!$D$2:$D$2000=$A22)*(TEXT('Daily Checklist'!$B$2:$B$2000,"yyyy-mm-dd")=TEXT(($B$4+10),"yyyy-mm-dd"))*('Daily Checklist'!$L$2:$L$2000="Y"))&gt;0,SUMPRODUCT(('Daily Checklist'!$D$2:$D$2000=$A22)*(TEXT('Daily Checklist'!$B$2:$B$2000,"yyyy-mm-dd")=TEXT(($B$4+10),"yyyy-mm-dd"))*('Daily Checklist'!$F$2:$F$2000="Done"))&amp;"/"&amp;SUMPRODUCT(('Daily Checklist'!$D$2:$D$2000=$A22)*(TEXT('Daily Checklist'!$B$2:$B$2000,"yyyy-mm-dd")=TEXT(($B$4+10),"yyyy-mm-dd")))&amp;" ESC",SUMPRODUCT(('Daily Checklist'!$D$2:$D$2000=$A22)*(TEXT('Daily Checklist'!$B$2:$B$2000,"yyyy-mm-dd")=TEXT(($B$4+10),"yyyy-mm-dd"))*('Daily Checklist'!$F$2:$F$2000="Done"))&amp;"/"&amp;SUMPRODUCT(('Daily Checklist'!$D$2:$D$2000=$A22)*(TEXT('Daily Checklist'!$B$2:$B$2000,"yyyy-mm-dd")=TEXT(($B$4+10),"yyyy-mm-dd"))))))</f>
        <v/>
      </c>
      <c r="M22" s="25" t="str">
        <f aca="false">IF($A22="","",IF(SUMPRODUCT(('Daily Checklist'!$D$2:$D$2000=$A22)*(TEXT('Daily Checklist'!$B$2:$B$2000,"yyyy-mm-dd")=TEXT(($B$4+11),"yyyy-mm-dd")))=0,"-",IF(SUMPRODUCT(('Daily Checklist'!$D$2:$D$2000=$A22)*(TEXT('Daily Checklist'!$B$2:$B$2000,"yyyy-mm-dd")=TEXT(($B$4+11),"yyyy-mm-dd"))*('Daily Checklist'!$L$2:$L$2000="Y"))&gt;0,SUMPRODUCT(('Daily Checklist'!$D$2:$D$2000=$A22)*(TEXT('Daily Checklist'!$B$2:$B$2000,"yyyy-mm-dd")=TEXT(($B$4+11),"yyyy-mm-dd"))*('Daily Checklist'!$F$2:$F$2000="Done"))&amp;"/"&amp;SUMPRODUCT(('Daily Checklist'!$D$2:$D$2000=$A22)*(TEXT('Daily Checklist'!$B$2:$B$2000,"yyyy-mm-dd")=TEXT(($B$4+11),"yyyy-mm-dd")))&amp;" ESC",SUMPRODUCT(('Daily Checklist'!$D$2:$D$2000=$A22)*(TEXT('Daily Checklist'!$B$2:$B$2000,"yyyy-mm-dd")=TEXT(($B$4+11),"yyyy-mm-dd"))*('Daily Checklist'!$F$2:$F$2000="Done"))&amp;"/"&amp;SUMPRODUCT(('Daily Checklist'!$D$2:$D$2000=$A22)*(TEXT('Daily Checklist'!$B$2:$B$2000,"yyyy-mm-dd")=TEXT(($B$4+11),"yyyy-mm-dd"))))))</f>
        <v/>
      </c>
      <c r="N22" s="25" t="str">
        <f aca="false">IF($A22="","",IF(SUMPRODUCT(('Daily Checklist'!$D$2:$D$2000=$A22)*(TEXT('Daily Checklist'!$B$2:$B$2000,"yyyy-mm-dd")=TEXT(($B$4+12),"yyyy-mm-dd")))=0,"-",IF(SUMPRODUCT(('Daily Checklist'!$D$2:$D$2000=$A22)*(TEXT('Daily Checklist'!$B$2:$B$2000,"yyyy-mm-dd")=TEXT(($B$4+12),"yyyy-mm-dd"))*('Daily Checklist'!$L$2:$L$2000="Y"))&gt;0,SUMPRODUCT(('Daily Checklist'!$D$2:$D$2000=$A22)*(TEXT('Daily Checklist'!$B$2:$B$2000,"yyyy-mm-dd")=TEXT(($B$4+12),"yyyy-mm-dd"))*('Daily Checklist'!$F$2:$F$2000="Done"))&amp;"/"&amp;SUMPRODUCT(('Daily Checklist'!$D$2:$D$2000=$A22)*(TEXT('Daily Checklist'!$B$2:$B$2000,"yyyy-mm-dd")=TEXT(($B$4+12),"yyyy-mm-dd")))&amp;" ESC",SUMPRODUCT(('Daily Checklist'!$D$2:$D$2000=$A22)*(TEXT('Daily Checklist'!$B$2:$B$2000,"yyyy-mm-dd")=TEXT(($B$4+12),"yyyy-mm-dd"))*('Daily Checklist'!$F$2:$F$2000="Done"))&amp;"/"&amp;SUMPRODUCT(('Daily Checklist'!$D$2:$D$2000=$A22)*(TEXT('Daily Checklist'!$B$2:$B$2000,"yyyy-mm-dd")=TEXT(($B$4+12),"yyyy-mm-dd"))))))</f>
        <v/>
      </c>
      <c r="O22" s="25" t="str">
        <f aca="false">IF($A22="","",IF(SUMPRODUCT(('Daily Checklist'!$D$2:$D$2000=$A22)*(TEXT('Daily Checklist'!$B$2:$B$2000,"yyyy-mm-dd")=TEXT(($B$4+13),"yyyy-mm-dd")))=0,"-",IF(SUMPRODUCT(('Daily Checklist'!$D$2:$D$2000=$A22)*(TEXT('Daily Checklist'!$B$2:$B$2000,"yyyy-mm-dd")=TEXT(($B$4+13),"yyyy-mm-dd"))*('Daily Checklist'!$L$2:$L$2000="Y"))&gt;0,SUMPRODUCT(('Daily Checklist'!$D$2:$D$2000=$A22)*(TEXT('Daily Checklist'!$B$2:$B$2000,"yyyy-mm-dd")=TEXT(($B$4+13),"yyyy-mm-dd"))*('Daily Checklist'!$F$2:$F$2000="Done"))&amp;"/"&amp;SUMPRODUCT(('Daily Checklist'!$D$2:$D$2000=$A22)*(TEXT('Daily Checklist'!$B$2:$B$2000,"yyyy-mm-dd")=TEXT(($B$4+13),"yyyy-mm-dd")))&amp;" ESC",SUMPRODUCT(('Daily Checklist'!$D$2:$D$2000=$A22)*(TEXT('Daily Checklist'!$B$2:$B$2000,"yyyy-mm-dd")=TEXT(($B$4+13),"yyyy-mm-dd"))*('Daily Checklist'!$F$2:$F$2000="Done"))&amp;"/"&amp;SUMPRODUCT(('Daily Checklist'!$D$2:$D$2000=$A22)*(TEXT('Daily Checklist'!$B$2:$B$2000,"yyyy-mm-dd")=TEXT(($B$4+13),"yyyy-mm-dd"))))))</f>
        <v/>
      </c>
      <c r="P22" s="25" t="str">
        <f aca="false">IF($A22="","",IF(SUMPRODUCT(('Daily Checklist'!$D$2:$D$2000=$A22)*(TEXT('Daily Checklist'!$B$2:$B$2000,"yyyy-mm-dd")=TEXT(($B$4+14),"yyyy-mm-dd")))=0,"-",IF(SUMPRODUCT(('Daily Checklist'!$D$2:$D$2000=$A22)*(TEXT('Daily Checklist'!$B$2:$B$2000,"yyyy-mm-dd")=TEXT(($B$4+14),"yyyy-mm-dd"))*('Daily Checklist'!$L$2:$L$2000="Y"))&gt;0,SUMPRODUCT(('Daily Checklist'!$D$2:$D$2000=$A22)*(TEXT('Daily Checklist'!$B$2:$B$2000,"yyyy-mm-dd")=TEXT(($B$4+14),"yyyy-mm-dd"))*('Daily Checklist'!$F$2:$F$2000="Done"))&amp;"/"&amp;SUMPRODUCT(('Daily Checklist'!$D$2:$D$2000=$A22)*(TEXT('Daily Checklist'!$B$2:$B$2000,"yyyy-mm-dd")=TEXT(($B$4+14),"yyyy-mm-dd")))&amp;" ESC",SUMPRODUCT(('Daily Checklist'!$D$2:$D$2000=$A22)*(TEXT('Daily Checklist'!$B$2:$B$2000,"yyyy-mm-dd")=TEXT(($B$4+14),"yyyy-mm-dd"))*('Daily Checklist'!$F$2:$F$2000="Done"))&amp;"/"&amp;SUMPRODUCT(('Daily Checklist'!$D$2:$D$2000=$A22)*(TEXT('Daily Checklist'!$B$2:$B$2000,"yyyy-mm-dd")=TEXT(($B$4+14),"yyyy-mm-dd"))))))</f>
        <v/>
      </c>
      <c r="Q22" s="25" t="str">
        <f aca="false">IF($A22="","",IF(SUMPRODUCT(('Daily Checklist'!$D$2:$D$2000=$A22)*(TEXT('Daily Checklist'!$B$2:$B$2000,"yyyy-mm-dd")=TEXT(($B$4+15),"yyyy-mm-dd")))=0,"-",IF(SUMPRODUCT(('Daily Checklist'!$D$2:$D$2000=$A22)*(TEXT('Daily Checklist'!$B$2:$B$2000,"yyyy-mm-dd")=TEXT(($B$4+15),"yyyy-mm-dd"))*('Daily Checklist'!$L$2:$L$2000="Y"))&gt;0,SUMPRODUCT(('Daily Checklist'!$D$2:$D$2000=$A22)*(TEXT('Daily Checklist'!$B$2:$B$2000,"yyyy-mm-dd")=TEXT(($B$4+15),"yyyy-mm-dd"))*('Daily Checklist'!$F$2:$F$2000="Done"))&amp;"/"&amp;SUMPRODUCT(('Daily Checklist'!$D$2:$D$2000=$A22)*(TEXT('Daily Checklist'!$B$2:$B$2000,"yyyy-mm-dd")=TEXT(($B$4+15),"yyyy-mm-dd")))&amp;" ESC",SUMPRODUCT(('Daily Checklist'!$D$2:$D$2000=$A22)*(TEXT('Daily Checklist'!$B$2:$B$2000,"yyyy-mm-dd")=TEXT(($B$4+15),"yyyy-mm-dd"))*('Daily Checklist'!$F$2:$F$2000="Done"))&amp;"/"&amp;SUMPRODUCT(('Daily Checklist'!$D$2:$D$2000=$A22)*(TEXT('Daily Checklist'!$B$2:$B$2000,"yyyy-mm-dd")=TEXT(($B$4+15),"yyyy-mm-dd"))))))</f>
        <v/>
      </c>
      <c r="R22" s="25" t="str">
        <f aca="false">IF($A22="","",IF(SUMPRODUCT(('Daily Checklist'!$D$2:$D$2000=$A22)*(TEXT('Daily Checklist'!$B$2:$B$2000,"yyyy-mm-dd")=TEXT(($B$4+16),"yyyy-mm-dd")))=0,"-",IF(SUMPRODUCT(('Daily Checklist'!$D$2:$D$2000=$A22)*(TEXT('Daily Checklist'!$B$2:$B$2000,"yyyy-mm-dd")=TEXT(($B$4+16),"yyyy-mm-dd"))*('Daily Checklist'!$L$2:$L$2000="Y"))&gt;0,SUMPRODUCT(('Daily Checklist'!$D$2:$D$2000=$A22)*(TEXT('Daily Checklist'!$B$2:$B$2000,"yyyy-mm-dd")=TEXT(($B$4+16),"yyyy-mm-dd"))*('Daily Checklist'!$F$2:$F$2000="Done"))&amp;"/"&amp;SUMPRODUCT(('Daily Checklist'!$D$2:$D$2000=$A22)*(TEXT('Daily Checklist'!$B$2:$B$2000,"yyyy-mm-dd")=TEXT(($B$4+16),"yyyy-mm-dd")))&amp;" ESC",SUMPRODUCT(('Daily Checklist'!$D$2:$D$2000=$A22)*(TEXT('Daily Checklist'!$B$2:$B$2000,"yyyy-mm-dd")=TEXT(($B$4+16),"yyyy-mm-dd"))*('Daily Checklist'!$F$2:$F$2000="Done"))&amp;"/"&amp;SUMPRODUCT(('Daily Checklist'!$D$2:$D$2000=$A22)*(TEXT('Daily Checklist'!$B$2:$B$2000,"yyyy-mm-dd")=TEXT(($B$4+16),"yyyy-mm-dd"))))))</f>
        <v/>
      </c>
      <c r="S22" s="25" t="str">
        <f aca="false">IF($A22="","",IF(SUMPRODUCT(('Daily Checklist'!$D$2:$D$2000=$A22)*(TEXT('Daily Checklist'!$B$2:$B$2000,"yyyy-mm-dd")=TEXT(($B$4+17),"yyyy-mm-dd")))=0,"-",IF(SUMPRODUCT(('Daily Checklist'!$D$2:$D$2000=$A22)*(TEXT('Daily Checklist'!$B$2:$B$2000,"yyyy-mm-dd")=TEXT(($B$4+17),"yyyy-mm-dd"))*('Daily Checklist'!$L$2:$L$2000="Y"))&gt;0,SUMPRODUCT(('Daily Checklist'!$D$2:$D$2000=$A22)*(TEXT('Daily Checklist'!$B$2:$B$2000,"yyyy-mm-dd")=TEXT(($B$4+17),"yyyy-mm-dd"))*('Daily Checklist'!$F$2:$F$2000="Done"))&amp;"/"&amp;SUMPRODUCT(('Daily Checklist'!$D$2:$D$2000=$A22)*(TEXT('Daily Checklist'!$B$2:$B$2000,"yyyy-mm-dd")=TEXT(($B$4+17),"yyyy-mm-dd")))&amp;" ESC",SUMPRODUCT(('Daily Checklist'!$D$2:$D$2000=$A22)*(TEXT('Daily Checklist'!$B$2:$B$2000,"yyyy-mm-dd")=TEXT(($B$4+17),"yyyy-mm-dd"))*('Daily Checklist'!$F$2:$F$2000="Done"))&amp;"/"&amp;SUMPRODUCT(('Daily Checklist'!$D$2:$D$2000=$A22)*(TEXT('Daily Checklist'!$B$2:$B$2000,"yyyy-mm-dd")=TEXT(($B$4+17),"yyyy-mm-dd"))))))</f>
        <v/>
      </c>
      <c r="T22" s="25" t="str">
        <f aca="false">IF($A22="","",IF(SUMPRODUCT(('Daily Checklist'!$D$2:$D$2000=$A22)*(TEXT('Daily Checklist'!$B$2:$B$2000,"yyyy-mm-dd")=TEXT(($B$4+18),"yyyy-mm-dd")))=0,"-",IF(SUMPRODUCT(('Daily Checklist'!$D$2:$D$2000=$A22)*(TEXT('Daily Checklist'!$B$2:$B$2000,"yyyy-mm-dd")=TEXT(($B$4+18),"yyyy-mm-dd"))*('Daily Checklist'!$L$2:$L$2000="Y"))&gt;0,SUMPRODUCT(('Daily Checklist'!$D$2:$D$2000=$A22)*(TEXT('Daily Checklist'!$B$2:$B$2000,"yyyy-mm-dd")=TEXT(($B$4+18),"yyyy-mm-dd"))*('Daily Checklist'!$F$2:$F$2000="Done"))&amp;"/"&amp;SUMPRODUCT(('Daily Checklist'!$D$2:$D$2000=$A22)*(TEXT('Daily Checklist'!$B$2:$B$2000,"yyyy-mm-dd")=TEXT(($B$4+18),"yyyy-mm-dd")))&amp;" ESC",SUMPRODUCT(('Daily Checklist'!$D$2:$D$2000=$A22)*(TEXT('Daily Checklist'!$B$2:$B$2000,"yyyy-mm-dd")=TEXT(($B$4+18),"yyyy-mm-dd"))*('Daily Checklist'!$F$2:$F$2000="Done"))&amp;"/"&amp;SUMPRODUCT(('Daily Checklist'!$D$2:$D$2000=$A22)*(TEXT('Daily Checklist'!$B$2:$B$2000,"yyyy-mm-dd")=TEXT(($B$4+18),"yyyy-mm-dd"))))))</f>
        <v/>
      </c>
      <c r="U22" s="25" t="str">
        <f aca="false">IF($A22="","",IF(SUMPRODUCT(('Daily Checklist'!$D$2:$D$2000=$A22)*(TEXT('Daily Checklist'!$B$2:$B$2000,"yyyy-mm-dd")=TEXT(($B$4+19),"yyyy-mm-dd")))=0,"-",IF(SUMPRODUCT(('Daily Checklist'!$D$2:$D$2000=$A22)*(TEXT('Daily Checklist'!$B$2:$B$2000,"yyyy-mm-dd")=TEXT(($B$4+19),"yyyy-mm-dd"))*('Daily Checklist'!$L$2:$L$2000="Y"))&gt;0,SUMPRODUCT(('Daily Checklist'!$D$2:$D$2000=$A22)*(TEXT('Daily Checklist'!$B$2:$B$2000,"yyyy-mm-dd")=TEXT(($B$4+19),"yyyy-mm-dd"))*('Daily Checklist'!$F$2:$F$2000="Done"))&amp;"/"&amp;SUMPRODUCT(('Daily Checklist'!$D$2:$D$2000=$A22)*(TEXT('Daily Checklist'!$B$2:$B$2000,"yyyy-mm-dd")=TEXT(($B$4+19),"yyyy-mm-dd")))&amp;" ESC",SUMPRODUCT(('Daily Checklist'!$D$2:$D$2000=$A22)*(TEXT('Daily Checklist'!$B$2:$B$2000,"yyyy-mm-dd")=TEXT(($B$4+19),"yyyy-mm-dd"))*('Daily Checklist'!$F$2:$F$2000="Done"))&amp;"/"&amp;SUMPRODUCT(('Daily Checklist'!$D$2:$D$2000=$A22)*(TEXT('Daily Checklist'!$B$2:$B$2000,"yyyy-mm-dd")=TEXT(($B$4+19),"yyyy-mm-dd"))))))</f>
        <v/>
      </c>
      <c r="V22" s="25" t="str">
        <f aca="false">IF($A22="","",IF(SUMPRODUCT(('Daily Checklist'!$D$2:$D$2000=$A22)*(TEXT('Daily Checklist'!$B$2:$B$2000,"yyyy-mm-dd")=TEXT(($B$4+20),"yyyy-mm-dd")))=0,"-",IF(SUMPRODUCT(('Daily Checklist'!$D$2:$D$2000=$A22)*(TEXT('Daily Checklist'!$B$2:$B$2000,"yyyy-mm-dd")=TEXT(($B$4+20),"yyyy-mm-dd"))*('Daily Checklist'!$L$2:$L$2000="Y"))&gt;0,SUMPRODUCT(('Daily Checklist'!$D$2:$D$2000=$A22)*(TEXT('Daily Checklist'!$B$2:$B$2000,"yyyy-mm-dd")=TEXT(($B$4+20),"yyyy-mm-dd"))*('Daily Checklist'!$F$2:$F$2000="Done"))&amp;"/"&amp;SUMPRODUCT(('Daily Checklist'!$D$2:$D$2000=$A22)*(TEXT('Daily Checklist'!$B$2:$B$2000,"yyyy-mm-dd")=TEXT(($B$4+20),"yyyy-mm-dd")))&amp;" ESC",SUMPRODUCT(('Daily Checklist'!$D$2:$D$2000=$A22)*(TEXT('Daily Checklist'!$B$2:$B$2000,"yyyy-mm-dd")=TEXT(($B$4+20),"yyyy-mm-dd"))*('Daily Checklist'!$F$2:$F$2000="Done"))&amp;"/"&amp;SUMPRODUCT(('Daily Checklist'!$D$2:$D$2000=$A22)*(TEXT('Daily Checklist'!$B$2:$B$2000,"yyyy-mm-dd")=TEXT(($B$4+20),"yyyy-mm-dd"))))))</f>
        <v/>
      </c>
      <c r="W22" s="25" t="str">
        <f aca="false">IF($A22="","",IF(SUMPRODUCT(('Daily Checklist'!$D$2:$D$2000=$A22)*(TEXT('Daily Checklist'!$B$2:$B$2000,"yyyy-mm-dd")=TEXT(($B$4+21),"yyyy-mm-dd")))=0,"-",IF(SUMPRODUCT(('Daily Checklist'!$D$2:$D$2000=$A22)*(TEXT('Daily Checklist'!$B$2:$B$2000,"yyyy-mm-dd")=TEXT(($B$4+21),"yyyy-mm-dd"))*('Daily Checklist'!$L$2:$L$2000="Y"))&gt;0,SUMPRODUCT(('Daily Checklist'!$D$2:$D$2000=$A22)*(TEXT('Daily Checklist'!$B$2:$B$2000,"yyyy-mm-dd")=TEXT(($B$4+21),"yyyy-mm-dd"))*('Daily Checklist'!$F$2:$F$2000="Done"))&amp;"/"&amp;SUMPRODUCT(('Daily Checklist'!$D$2:$D$2000=$A22)*(TEXT('Daily Checklist'!$B$2:$B$2000,"yyyy-mm-dd")=TEXT(($B$4+21),"yyyy-mm-dd")))&amp;" ESC",SUMPRODUCT(('Daily Checklist'!$D$2:$D$2000=$A22)*(TEXT('Daily Checklist'!$B$2:$B$2000,"yyyy-mm-dd")=TEXT(($B$4+21),"yyyy-mm-dd"))*('Daily Checklist'!$F$2:$F$2000="Done"))&amp;"/"&amp;SUMPRODUCT(('Daily Checklist'!$D$2:$D$2000=$A22)*(TEXT('Daily Checklist'!$B$2:$B$2000,"yyyy-mm-dd")=TEXT(($B$4+21),"yyyy-mm-dd"))))))</f>
        <v/>
      </c>
      <c r="X22" s="25" t="str">
        <f aca="false">IF($A22="","",IF(SUMPRODUCT(('Daily Checklist'!$D$2:$D$2000=$A22)*(TEXT('Daily Checklist'!$B$2:$B$2000,"yyyy-mm-dd")=TEXT(($B$4+22),"yyyy-mm-dd")))=0,"-",IF(SUMPRODUCT(('Daily Checklist'!$D$2:$D$2000=$A22)*(TEXT('Daily Checklist'!$B$2:$B$2000,"yyyy-mm-dd")=TEXT(($B$4+22),"yyyy-mm-dd"))*('Daily Checklist'!$L$2:$L$2000="Y"))&gt;0,SUMPRODUCT(('Daily Checklist'!$D$2:$D$2000=$A22)*(TEXT('Daily Checklist'!$B$2:$B$2000,"yyyy-mm-dd")=TEXT(($B$4+22),"yyyy-mm-dd"))*('Daily Checklist'!$F$2:$F$2000="Done"))&amp;"/"&amp;SUMPRODUCT(('Daily Checklist'!$D$2:$D$2000=$A22)*(TEXT('Daily Checklist'!$B$2:$B$2000,"yyyy-mm-dd")=TEXT(($B$4+22),"yyyy-mm-dd")))&amp;" ESC",SUMPRODUCT(('Daily Checklist'!$D$2:$D$2000=$A22)*(TEXT('Daily Checklist'!$B$2:$B$2000,"yyyy-mm-dd")=TEXT(($B$4+22),"yyyy-mm-dd"))*('Daily Checklist'!$F$2:$F$2000="Done"))&amp;"/"&amp;SUMPRODUCT(('Daily Checklist'!$D$2:$D$2000=$A22)*(TEXT('Daily Checklist'!$B$2:$B$2000,"yyyy-mm-dd")=TEXT(($B$4+22),"yyyy-mm-dd"))))))</f>
        <v/>
      </c>
      <c r="Y22" s="25" t="str">
        <f aca="false">IF($A22="","",IF(SUMPRODUCT(('Daily Checklist'!$D$2:$D$2000=$A22)*(TEXT('Daily Checklist'!$B$2:$B$2000,"yyyy-mm-dd")=TEXT(($B$4+23),"yyyy-mm-dd")))=0,"-",IF(SUMPRODUCT(('Daily Checklist'!$D$2:$D$2000=$A22)*(TEXT('Daily Checklist'!$B$2:$B$2000,"yyyy-mm-dd")=TEXT(($B$4+23),"yyyy-mm-dd"))*('Daily Checklist'!$L$2:$L$2000="Y"))&gt;0,SUMPRODUCT(('Daily Checklist'!$D$2:$D$2000=$A22)*(TEXT('Daily Checklist'!$B$2:$B$2000,"yyyy-mm-dd")=TEXT(($B$4+23),"yyyy-mm-dd"))*('Daily Checklist'!$F$2:$F$2000="Done"))&amp;"/"&amp;SUMPRODUCT(('Daily Checklist'!$D$2:$D$2000=$A22)*(TEXT('Daily Checklist'!$B$2:$B$2000,"yyyy-mm-dd")=TEXT(($B$4+23),"yyyy-mm-dd")))&amp;" ESC",SUMPRODUCT(('Daily Checklist'!$D$2:$D$2000=$A22)*(TEXT('Daily Checklist'!$B$2:$B$2000,"yyyy-mm-dd")=TEXT(($B$4+23),"yyyy-mm-dd"))*('Daily Checklist'!$F$2:$F$2000="Done"))&amp;"/"&amp;SUMPRODUCT(('Daily Checklist'!$D$2:$D$2000=$A22)*(TEXT('Daily Checklist'!$B$2:$B$2000,"yyyy-mm-dd")=TEXT(($B$4+23),"yyyy-mm-dd"))))))</f>
        <v/>
      </c>
      <c r="Z22" s="25" t="str">
        <f aca="false">IF($A22="","",IF(SUMPRODUCT(('Daily Checklist'!$D$2:$D$2000=$A22)*(TEXT('Daily Checklist'!$B$2:$B$2000,"yyyy-mm-dd")=TEXT(($B$4+24),"yyyy-mm-dd")))=0,"-",IF(SUMPRODUCT(('Daily Checklist'!$D$2:$D$2000=$A22)*(TEXT('Daily Checklist'!$B$2:$B$2000,"yyyy-mm-dd")=TEXT(($B$4+24),"yyyy-mm-dd"))*('Daily Checklist'!$L$2:$L$2000="Y"))&gt;0,SUMPRODUCT(('Daily Checklist'!$D$2:$D$2000=$A22)*(TEXT('Daily Checklist'!$B$2:$B$2000,"yyyy-mm-dd")=TEXT(($B$4+24),"yyyy-mm-dd"))*('Daily Checklist'!$F$2:$F$2000="Done"))&amp;"/"&amp;SUMPRODUCT(('Daily Checklist'!$D$2:$D$2000=$A22)*(TEXT('Daily Checklist'!$B$2:$B$2000,"yyyy-mm-dd")=TEXT(($B$4+24),"yyyy-mm-dd")))&amp;" ESC",SUMPRODUCT(('Daily Checklist'!$D$2:$D$2000=$A22)*(TEXT('Daily Checklist'!$B$2:$B$2000,"yyyy-mm-dd")=TEXT(($B$4+24),"yyyy-mm-dd"))*('Daily Checklist'!$F$2:$F$2000="Done"))&amp;"/"&amp;SUMPRODUCT(('Daily Checklist'!$D$2:$D$2000=$A22)*(TEXT('Daily Checklist'!$B$2:$B$2000,"yyyy-mm-dd")=TEXT(($B$4+24),"yyyy-mm-dd"))))))</f>
        <v/>
      </c>
      <c r="AA22" s="25" t="str">
        <f aca="false">IF($A22="","",IF(SUMPRODUCT(('Daily Checklist'!$D$2:$D$2000=$A22)*(TEXT('Daily Checklist'!$B$2:$B$2000,"yyyy-mm-dd")=TEXT(($B$4+25),"yyyy-mm-dd")))=0,"-",IF(SUMPRODUCT(('Daily Checklist'!$D$2:$D$2000=$A22)*(TEXT('Daily Checklist'!$B$2:$B$2000,"yyyy-mm-dd")=TEXT(($B$4+25),"yyyy-mm-dd"))*('Daily Checklist'!$L$2:$L$2000="Y"))&gt;0,SUMPRODUCT(('Daily Checklist'!$D$2:$D$2000=$A22)*(TEXT('Daily Checklist'!$B$2:$B$2000,"yyyy-mm-dd")=TEXT(($B$4+25),"yyyy-mm-dd"))*('Daily Checklist'!$F$2:$F$2000="Done"))&amp;"/"&amp;SUMPRODUCT(('Daily Checklist'!$D$2:$D$2000=$A22)*(TEXT('Daily Checklist'!$B$2:$B$2000,"yyyy-mm-dd")=TEXT(($B$4+25),"yyyy-mm-dd")))&amp;" ESC",SUMPRODUCT(('Daily Checklist'!$D$2:$D$2000=$A22)*(TEXT('Daily Checklist'!$B$2:$B$2000,"yyyy-mm-dd")=TEXT(($B$4+25),"yyyy-mm-dd"))*('Daily Checklist'!$F$2:$F$2000="Done"))&amp;"/"&amp;SUMPRODUCT(('Daily Checklist'!$D$2:$D$2000=$A22)*(TEXT('Daily Checklist'!$B$2:$B$2000,"yyyy-mm-dd")=TEXT(($B$4+25),"yyyy-mm-dd"))))))</f>
        <v/>
      </c>
      <c r="AB22" s="25" t="str">
        <f aca="false">IF($A22="","",IF(SUMPRODUCT(('Daily Checklist'!$D$2:$D$2000=$A22)*(TEXT('Daily Checklist'!$B$2:$B$2000,"yyyy-mm-dd")=TEXT(($B$4+26),"yyyy-mm-dd")))=0,"-",IF(SUMPRODUCT(('Daily Checklist'!$D$2:$D$2000=$A22)*(TEXT('Daily Checklist'!$B$2:$B$2000,"yyyy-mm-dd")=TEXT(($B$4+26),"yyyy-mm-dd"))*('Daily Checklist'!$L$2:$L$2000="Y"))&gt;0,SUMPRODUCT(('Daily Checklist'!$D$2:$D$2000=$A22)*(TEXT('Daily Checklist'!$B$2:$B$2000,"yyyy-mm-dd")=TEXT(($B$4+26),"yyyy-mm-dd"))*('Daily Checklist'!$F$2:$F$2000="Done"))&amp;"/"&amp;SUMPRODUCT(('Daily Checklist'!$D$2:$D$2000=$A22)*(TEXT('Daily Checklist'!$B$2:$B$2000,"yyyy-mm-dd")=TEXT(($B$4+26),"yyyy-mm-dd")))&amp;" ESC",SUMPRODUCT(('Daily Checklist'!$D$2:$D$2000=$A22)*(TEXT('Daily Checklist'!$B$2:$B$2000,"yyyy-mm-dd")=TEXT(($B$4+26),"yyyy-mm-dd"))*('Daily Checklist'!$F$2:$F$2000="Done"))&amp;"/"&amp;SUMPRODUCT(('Daily Checklist'!$D$2:$D$2000=$A22)*(TEXT('Daily Checklist'!$B$2:$B$2000,"yyyy-mm-dd")=TEXT(($B$4+26),"yyyy-mm-dd"))))))</f>
        <v/>
      </c>
      <c r="AC22" s="25" t="str">
        <f aca="false">IF($A22="","",IF(SUMPRODUCT(('Daily Checklist'!$D$2:$D$2000=$A22)*(TEXT('Daily Checklist'!$B$2:$B$2000,"yyyy-mm-dd")=TEXT(($B$4+27),"yyyy-mm-dd")))=0,"-",IF(SUMPRODUCT(('Daily Checklist'!$D$2:$D$2000=$A22)*(TEXT('Daily Checklist'!$B$2:$B$2000,"yyyy-mm-dd")=TEXT(($B$4+27),"yyyy-mm-dd"))*('Daily Checklist'!$L$2:$L$2000="Y"))&gt;0,SUMPRODUCT(('Daily Checklist'!$D$2:$D$2000=$A22)*(TEXT('Daily Checklist'!$B$2:$B$2000,"yyyy-mm-dd")=TEXT(($B$4+27),"yyyy-mm-dd"))*('Daily Checklist'!$F$2:$F$2000="Done"))&amp;"/"&amp;SUMPRODUCT(('Daily Checklist'!$D$2:$D$2000=$A22)*(TEXT('Daily Checklist'!$B$2:$B$2000,"yyyy-mm-dd")=TEXT(($B$4+27),"yyyy-mm-dd")))&amp;" ESC",SUMPRODUCT(('Daily Checklist'!$D$2:$D$2000=$A22)*(TEXT('Daily Checklist'!$B$2:$B$2000,"yyyy-mm-dd")=TEXT(($B$4+27),"yyyy-mm-dd"))*('Daily Checklist'!$F$2:$F$2000="Done"))&amp;"/"&amp;SUMPRODUCT(('Daily Checklist'!$D$2:$D$2000=$A22)*(TEXT('Daily Checklist'!$B$2:$B$2000,"yyyy-mm-dd")=TEXT(($B$4+27),"yyyy-mm-dd"))))))</f>
        <v/>
      </c>
      <c r="AD22" s="25" t="str">
        <f aca="false">IF($A22="","",IF(SUMPRODUCT(('Daily Checklist'!$D$2:$D$2000=$A22)*(TEXT('Daily Checklist'!$B$2:$B$2000,"yyyy-mm-dd")=TEXT(($B$4+28),"yyyy-mm-dd")))=0,"-",IF(SUMPRODUCT(('Daily Checklist'!$D$2:$D$2000=$A22)*(TEXT('Daily Checklist'!$B$2:$B$2000,"yyyy-mm-dd")=TEXT(($B$4+28),"yyyy-mm-dd"))*('Daily Checklist'!$L$2:$L$2000="Y"))&gt;0,SUMPRODUCT(('Daily Checklist'!$D$2:$D$2000=$A22)*(TEXT('Daily Checklist'!$B$2:$B$2000,"yyyy-mm-dd")=TEXT(($B$4+28),"yyyy-mm-dd"))*('Daily Checklist'!$F$2:$F$2000="Done"))&amp;"/"&amp;SUMPRODUCT(('Daily Checklist'!$D$2:$D$2000=$A22)*(TEXT('Daily Checklist'!$B$2:$B$2000,"yyyy-mm-dd")=TEXT(($B$4+28),"yyyy-mm-dd")))&amp;" ESC",SUMPRODUCT(('Daily Checklist'!$D$2:$D$2000=$A22)*(TEXT('Daily Checklist'!$B$2:$B$2000,"yyyy-mm-dd")=TEXT(($B$4+28),"yyyy-mm-dd"))*('Daily Checklist'!$F$2:$F$2000="Done"))&amp;"/"&amp;SUMPRODUCT(('Daily Checklist'!$D$2:$D$2000=$A22)*(TEXT('Daily Checklist'!$B$2:$B$2000,"yyyy-mm-dd")=TEXT(($B$4+28),"yyyy-mm-dd"))))))</f>
        <v/>
      </c>
      <c r="AE22" s="25" t="str">
        <f aca="false">IF($A22="","",IF(SUMPRODUCT(('Daily Checklist'!$D$2:$D$2000=$A22)*(TEXT('Daily Checklist'!$B$2:$B$2000,"yyyy-mm-dd")=TEXT(($B$4+29),"yyyy-mm-dd")))=0,"-",IF(SUMPRODUCT(('Daily Checklist'!$D$2:$D$2000=$A22)*(TEXT('Daily Checklist'!$B$2:$B$2000,"yyyy-mm-dd")=TEXT(($B$4+29),"yyyy-mm-dd"))*('Daily Checklist'!$L$2:$L$2000="Y"))&gt;0,SUMPRODUCT(('Daily Checklist'!$D$2:$D$2000=$A22)*(TEXT('Daily Checklist'!$B$2:$B$2000,"yyyy-mm-dd")=TEXT(($B$4+29),"yyyy-mm-dd"))*('Daily Checklist'!$F$2:$F$2000="Done"))&amp;"/"&amp;SUMPRODUCT(('Daily Checklist'!$D$2:$D$2000=$A22)*(TEXT('Daily Checklist'!$B$2:$B$2000,"yyyy-mm-dd")=TEXT(($B$4+29),"yyyy-mm-dd")))&amp;" ESC",SUMPRODUCT(('Daily Checklist'!$D$2:$D$2000=$A22)*(TEXT('Daily Checklist'!$B$2:$B$2000,"yyyy-mm-dd")=TEXT(($B$4+29),"yyyy-mm-dd"))*('Daily Checklist'!$F$2:$F$2000="Done"))&amp;"/"&amp;SUMPRODUCT(('Daily Checklist'!$D$2:$D$2000=$A22)*(TEXT('Daily Checklist'!$B$2:$B$2000,"yyyy-mm-dd")=TEXT(($B$4+29),"yyyy-mm-dd"))))))</f>
        <v/>
      </c>
      <c r="AF22" s="25" t="str">
        <f aca="false">IF($A22="","",IF(SUMPRODUCT(('Daily Checklist'!$D$2:$D$2000=$A22)*(TEXT('Daily Checklist'!$B$2:$B$2000,"yyyy-mm-dd")=TEXT(($B$4+30),"yyyy-mm-dd")))=0,"-",IF(SUMPRODUCT(('Daily Checklist'!$D$2:$D$2000=$A22)*(TEXT('Daily Checklist'!$B$2:$B$2000,"yyyy-mm-dd")=TEXT(($B$4+30),"yyyy-mm-dd"))*('Daily Checklist'!$L$2:$L$2000="Y"))&gt;0,SUMPRODUCT(('Daily Checklist'!$D$2:$D$2000=$A22)*(TEXT('Daily Checklist'!$B$2:$B$2000,"yyyy-mm-dd")=TEXT(($B$4+30),"yyyy-mm-dd"))*('Daily Checklist'!$F$2:$F$2000="Done"))&amp;"/"&amp;SUMPRODUCT(('Daily Checklist'!$D$2:$D$2000=$A22)*(TEXT('Daily Checklist'!$B$2:$B$2000,"yyyy-mm-dd")=TEXT(($B$4+30),"yyyy-mm-dd")))&amp;" ESC",SUMPRODUCT(('Daily Checklist'!$D$2:$D$2000=$A22)*(TEXT('Daily Checklist'!$B$2:$B$2000,"yyyy-mm-dd")=TEXT(($B$4+30),"yyyy-mm-dd"))*('Daily Checklist'!$F$2:$F$2000="Done"))&amp;"/"&amp;SUMPRODUCT(('Daily Checklist'!$D$2:$D$2000=$A22)*(TEXT('Daily Checklist'!$B$2:$B$2000,"yyyy-mm-dd")=TEXT(($B$4+30),"yyyy-mm-dd"))))))</f>
        <v/>
      </c>
    </row>
    <row r="23" customFormat="false" ht="15" hidden="false" customHeight="true" outlineLevel="0" collapsed="false">
      <c r="A23" s="24" t="str">
        <f aca="false">IFERROR(IF(Employees!A18="","",Employees!A18),"")</f>
        <v/>
      </c>
      <c r="B23" s="25" t="str">
        <f aca="false">IF($A23="","",IF(SUMPRODUCT(('Daily Checklist'!$D$2:$D$2000=$A23)*(TEXT('Daily Checklist'!$B$2:$B$2000,"yyyy-mm-dd")=TEXT(($B$4+0),"yyyy-mm-dd")))=0,"-",IF(SUMPRODUCT(('Daily Checklist'!$D$2:$D$2000=$A23)*(TEXT('Daily Checklist'!$B$2:$B$2000,"yyyy-mm-dd")=TEXT(($B$4+0),"yyyy-mm-dd"))*('Daily Checklist'!$L$2:$L$2000="Y"))&gt;0,SUMPRODUCT(('Daily Checklist'!$D$2:$D$2000=$A23)*(TEXT('Daily Checklist'!$B$2:$B$2000,"yyyy-mm-dd")=TEXT(($B$4+0),"yyyy-mm-dd"))*('Daily Checklist'!$F$2:$F$2000="Done"))&amp;"/"&amp;SUMPRODUCT(('Daily Checklist'!$D$2:$D$2000=$A23)*(TEXT('Daily Checklist'!$B$2:$B$2000,"yyyy-mm-dd")=TEXT(($B$4+0),"yyyy-mm-dd")))&amp;" ESC",SUMPRODUCT(('Daily Checklist'!$D$2:$D$2000=$A23)*(TEXT('Daily Checklist'!$B$2:$B$2000,"yyyy-mm-dd")=TEXT(($B$4+0),"yyyy-mm-dd"))*('Daily Checklist'!$F$2:$F$2000="Done"))&amp;"/"&amp;SUMPRODUCT(('Daily Checklist'!$D$2:$D$2000=$A23)*(TEXT('Daily Checklist'!$B$2:$B$2000,"yyyy-mm-dd")=TEXT(($B$4+0),"yyyy-mm-dd"))))))</f>
        <v/>
      </c>
      <c r="C23" s="25" t="str">
        <f aca="false">IF($A23="","",IF(SUMPRODUCT(('Daily Checklist'!$D$2:$D$2000=$A23)*(TEXT('Daily Checklist'!$B$2:$B$2000,"yyyy-mm-dd")=TEXT(($B$4+1),"yyyy-mm-dd")))=0,"-",IF(SUMPRODUCT(('Daily Checklist'!$D$2:$D$2000=$A23)*(TEXT('Daily Checklist'!$B$2:$B$2000,"yyyy-mm-dd")=TEXT(($B$4+1),"yyyy-mm-dd"))*('Daily Checklist'!$L$2:$L$2000="Y"))&gt;0,SUMPRODUCT(('Daily Checklist'!$D$2:$D$2000=$A23)*(TEXT('Daily Checklist'!$B$2:$B$2000,"yyyy-mm-dd")=TEXT(($B$4+1),"yyyy-mm-dd"))*('Daily Checklist'!$F$2:$F$2000="Done"))&amp;"/"&amp;SUMPRODUCT(('Daily Checklist'!$D$2:$D$2000=$A23)*(TEXT('Daily Checklist'!$B$2:$B$2000,"yyyy-mm-dd")=TEXT(($B$4+1),"yyyy-mm-dd")))&amp;" ESC",SUMPRODUCT(('Daily Checklist'!$D$2:$D$2000=$A23)*(TEXT('Daily Checklist'!$B$2:$B$2000,"yyyy-mm-dd")=TEXT(($B$4+1),"yyyy-mm-dd"))*('Daily Checklist'!$F$2:$F$2000="Done"))&amp;"/"&amp;SUMPRODUCT(('Daily Checklist'!$D$2:$D$2000=$A23)*(TEXT('Daily Checklist'!$B$2:$B$2000,"yyyy-mm-dd")=TEXT(($B$4+1),"yyyy-mm-dd"))))))</f>
        <v/>
      </c>
      <c r="D23" s="25" t="str">
        <f aca="false">IF($A23="","",IF(SUMPRODUCT(('Daily Checklist'!$D$2:$D$2000=$A23)*(TEXT('Daily Checklist'!$B$2:$B$2000,"yyyy-mm-dd")=TEXT(($B$4+2),"yyyy-mm-dd")))=0,"-",IF(SUMPRODUCT(('Daily Checklist'!$D$2:$D$2000=$A23)*(TEXT('Daily Checklist'!$B$2:$B$2000,"yyyy-mm-dd")=TEXT(($B$4+2),"yyyy-mm-dd"))*('Daily Checklist'!$L$2:$L$2000="Y"))&gt;0,SUMPRODUCT(('Daily Checklist'!$D$2:$D$2000=$A23)*(TEXT('Daily Checklist'!$B$2:$B$2000,"yyyy-mm-dd")=TEXT(($B$4+2),"yyyy-mm-dd"))*('Daily Checklist'!$F$2:$F$2000="Done"))&amp;"/"&amp;SUMPRODUCT(('Daily Checklist'!$D$2:$D$2000=$A23)*(TEXT('Daily Checklist'!$B$2:$B$2000,"yyyy-mm-dd")=TEXT(($B$4+2),"yyyy-mm-dd")))&amp;" ESC",SUMPRODUCT(('Daily Checklist'!$D$2:$D$2000=$A23)*(TEXT('Daily Checklist'!$B$2:$B$2000,"yyyy-mm-dd")=TEXT(($B$4+2),"yyyy-mm-dd"))*('Daily Checklist'!$F$2:$F$2000="Done"))&amp;"/"&amp;SUMPRODUCT(('Daily Checklist'!$D$2:$D$2000=$A23)*(TEXT('Daily Checklist'!$B$2:$B$2000,"yyyy-mm-dd")=TEXT(($B$4+2),"yyyy-mm-dd"))))))</f>
        <v/>
      </c>
      <c r="E23" s="25" t="str">
        <f aca="false">IF($A23="","",IF(SUMPRODUCT(('Daily Checklist'!$D$2:$D$2000=$A23)*(TEXT('Daily Checklist'!$B$2:$B$2000,"yyyy-mm-dd")=TEXT(($B$4+3),"yyyy-mm-dd")))=0,"-",IF(SUMPRODUCT(('Daily Checklist'!$D$2:$D$2000=$A23)*(TEXT('Daily Checklist'!$B$2:$B$2000,"yyyy-mm-dd")=TEXT(($B$4+3),"yyyy-mm-dd"))*('Daily Checklist'!$L$2:$L$2000="Y"))&gt;0,SUMPRODUCT(('Daily Checklist'!$D$2:$D$2000=$A23)*(TEXT('Daily Checklist'!$B$2:$B$2000,"yyyy-mm-dd")=TEXT(($B$4+3),"yyyy-mm-dd"))*('Daily Checklist'!$F$2:$F$2000="Done"))&amp;"/"&amp;SUMPRODUCT(('Daily Checklist'!$D$2:$D$2000=$A23)*(TEXT('Daily Checklist'!$B$2:$B$2000,"yyyy-mm-dd")=TEXT(($B$4+3),"yyyy-mm-dd")))&amp;" ESC",SUMPRODUCT(('Daily Checklist'!$D$2:$D$2000=$A23)*(TEXT('Daily Checklist'!$B$2:$B$2000,"yyyy-mm-dd")=TEXT(($B$4+3),"yyyy-mm-dd"))*('Daily Checklist'!$F$2:$F$2000="Done"))&amp;"/"&amp;SUMPRODUCT(('Daily Checklist'!$D$2:$D$2000=$A23)*(TEXT('Daily Checklist'!$B$2:$B$2000,"yyyy-mm-dd")=TEXT(($B$4+3),"yyyy-mm-dd"))))))</f>
        <v/>
      </c>
      <c r="F23" s="25" t="str">
        <f aca="false">IF($A23="","",IF(SUMPRODUCT(('Daily Checklist'!$D$2:$D$2000=$A23)*(TEXT('Daily Checklist'!$B$2:$B$2000,"yyyy-mm-dd")=TEXT(($B$4+4),"yyyy-mm-dd")))=0,"-",IF(SUMPRODUCT(('Daily Checklist'!$D$2:$D$2000=$A23)*(TEXT('Daily Checklist'!$B$2:$B$2000,"yyyy-mm-dd")=TEXT(($B$4+4),"yyyy-mm-dd"))*('Daily Checklist'!$L$2:$L$2000="Y"))&gt;0,SUMPRODUCT(('Daily Checklist'!$D$2:$D$2000=$A23)*(TEXT('Daily Checklist'!$B$2:$B$2000,"yyyy-mm-dd")=TEXT(($B$4+4),"yyyy-mm-dd"))*('Daily Checklist'!$F$2:$F$2000="Done"))&amp;"/"&amp;SUMPRODUCT(('Daily Checklist'!$D$2:$D$2000=$A23)*(TEXT('Daily Checklist'!$B$2:$B$2000,"yyyy-mm-dd")=TEXT(($B$4+4),"yyyy-mm-dd")))&amp;" ESC",SUMPRODUCT(('Daily Checklist'!$D$2:$D$2000=$A23)*(TEXT('Daily Checklist'!$B$2:$B$2000,"yyyy-mm-dd")=TEXT(($B$4+4),"yyyy-mm-dd"))*('Daily Checklist'!$F$2:$F$2000="Done"))&amp;"/"&amp;SUMPRODUCT(('Daily Checklist'!$D$2:$D$2000=$A23)*(TEXT('Daily Checklist'!$B$2:$B$2000,"yyyy-mm-dd")=TEXT(($B$4+4),"yyyy-mm-dd"))))))</f>
        <v/>
      </c>
      <c r="G23" s="25" t="str">
        <f aca="false">IF($A23="","",IF(SUMPRODUCT(('Daily Checklist'!$D$2:$D$2000=$A23)*(TEXT('Daily Checklist'!$B$2:$B$2000,"yyyy-mm-dd")=TEXT(($B$4+5),"yyyy-mm-dd")))=0,"-",IF(SUMPRODUCT(('Daily Checklist'!$D$2:$D$2000=$A23)*(TEXT('Daily Checklist'!$B$2:$B$2000,"yyyy-mm-dd")=TEXT(($B$4+5),"yyyy-mm-dd"))*('Daily Checklist'!$L$2:$L$2000="Y"))&gt;0,SUMPRODUCT(('Daily Checklist'!$D$2:$D$2000=$A23)*(TEXT('Daily Checklist'!$B$2:$B$2000,"yyyy-mm-dd")=TEXT(($B$4+5),"yyyy-mm-dd"))*('Daily Checklist'!$F$2:$F$2000="Done"))&amp;"/"&amp;SUMPRODUCT(('Daily Checklist'!$D$2:$D$2000=$A23)*(TEXT('Daily Checklist'!$B$2:$B$2000,"yyyy-mm-dd")=TEXT(($B$4+5),"yyyy-mm-dd")))&amp;" ESC",SUMPRODUCT(('Daily Checklist'!$D$2:$D$2000=$A23)*(TEXT('Daily Checklist'!$B$2:$B$2000,"yyyy-mm-dd")=TEXT(($B$4+5),"yyyy-mm-dd"))*('Daily Checklist'!$F$2:$F$2000="Done"))&amp;"/"&amp;SUMPRODUCT(('Daily Checklist'!$D$2:$D$2000=$A23)*(TEXT('Daily Checklist'!$B$2:$B$2000,"yyyy-mm-dd")=TEXT(($B$4+5),"yyyy-mm-dd"))))))</f>
        <v/>
      </c>
      <c r="H23" s="25" t="str">
        <f aca="false">IF($A23="","",IF(SUMPRODUCT(('Daily Checklist'!$D$2:$D$2000=$A23)*(TEXT('Daily Checklist'!$B$2:$B$2000,"yyyy-mm-dd")=TEXT(($B$4+6),"yyyy-mm-dd")))=0,"-",IF(SUMPRODUCT(('Daily Checklist'!$D$2:$D$2000=$A23)*(TEXT('Daily Checklist'!$B$2:$B$2000,"yyyy-mm-dd")=TEXT(($B$4+6),"yyyy-mm-dd"))*('Daily Checklist'!$L$2:$L$2000="Y"))&gt;0,SUMPRODUCT(('Daily Checklist'!$D$2:$D$2000=$A23)*(TEXT('Daily Checklist'!$B$2:$B$2000,"yyyy-mm-dd")=TEXT(($B$4+6),"yyyy-mm-dd"))*('Daily Checklist'!$F$2:$F$2000="Done"))&amp;"/"&amp;SUMPRODUCT(('Daily Checklist'!$D$2:$D$2000=$A23)*(TEXT('Daily Checklist'!$B$2:$B$2000,"yyyy-mm-dd")=TEXT(($B$4+6),"yyyy-mm-dd")))&amp;" ESC",SUMPRODUCT(('Daily Checklist'!$D$2:$D$2000=$A23)*(TEXT('Daily Checklist'!$B$2:$B$2000,"yyyy-mm-dd")=TEXT(($B$4+6),"yyyy-mm-dd"))*('Daily Checklist'!$F$2:$F$2000="Done"))&amp;"/"&amp;SUMPRODUCT(('Daily Checklist'!$D$2:$D$2000=$A23)*(TEXT('Daily Checklist'!$B$2:$B$2000,"yyyy-mm-dd")=TEXT(($B$4+6),"yyyy-mm-dd"))))))</f>
        <v/>
      </c>
      <c r="I23" s="25" t="str">
        <f aca="false">IF($A23="","",IF(SUMPRODUCT(('Daily Checklist'!$D$2:$D$2000=$A23)*(TEXT('Daily Checklist'!$B$2:$B$2000,"yyyy-mm-dd")=TEXT(($B$4+7),"yyyy-mm-dd")))=0,"-",IF(SUMPRODUCT(('Daily Checklist'!$D$2:$D$2000=$A23)*(TEXT('Daily Checklist'!$B$2:$B$2000,"yyyy-mm-dd")=TEXT(($B$4+7),"yyyy-mm-dd"))*('Daily Checklist'!$L$2:$L$2000="Y"))&gt;0,SUMPRODUCT(('Daily Checklist'!$D$2:$D$2000=$A23)*(TEXT('Daily Checklist'!$B$2:$B$2000,"yyyy-mm-dd")=TEXT(($B$4+7),"yyyy-mm-dd"))*('Daily Checklist'!$F$2:$F$2000="Done"))&amp;"/"&amp;SUMPRODUCT(('Daily Checklist'!$D$2:$D$2000=$A23)*(TEXT('Daily Checklist'!$B$2:$B$2000,"yyyy-mm-dd")=TEXT(($B$4+7),"yyyy-mm-dd")))&amp;" ESC",SUMPRODUCT(('Daily Checklist'!$D$2:$D$2000=$A23)*(TEXT('Daily Checklist'!$B$2:$B$2000,"yyyy-mm-dd")=TEXT(($B$4+7),"yyyy-mm-dd"))*('Daily Checklist'!$F$2:$F$2000="Done"))&amp;"/"&amp;SUMPRODUCT(('Daily Checklist'!$D$2:$D$2000=$A23)*(TEXT('Daily Checklist'!$B$2:$B$2000,"yyyy-mm-dd")=TEXT(($B$4+7),"yyyy-mm-dd"))))))</f>
        <v/>
      </c>
      <c r="J23" s="25" t="str">
        <f aca="false">IF($A23="","",IF(SUMPRODUCT(('Daily Checklist'!$D$2:$D$2000=$A23)*(TEXT('Daily Checklist'!$B$2:$B$2000,"yyyy-mm-dd")=TEXT(($B$4+8),"yyyy-mm-dd")))=0,"-",IF(SUMPRODUCT(('Daily Checklist'!$D$2:$D$2000=$A23)*(TEXT('Daily Checklist'!$B$2:$B$2000,"yyyy-mm-dd")=TEXT(($B$4+8),"yyyy-mm-dd"))*('Daily Checklist'!$L$2:$L$2000="Y"))&gt;0,SUMPRODUCT(('Daily Checklist'!$D$2:$D$2000=$A23)*(TEXT('Daily Checklist'!$B$2:$B$2000,"yyyy-mm-dd")=TEXT(($B$4+8),"yyyy-mm-dd"))*('Daily Checklist'!$F$2:$F$2000="Done"))&amp;"/"&amp;SUMPRODUCT(('Daily Checklist'!$D$2:$D$2000=$A23)*(TEXT('Daily Checklist'!$B$2:$B$2000,"yyyy-mm-dd")=TEXT(($B$4+8),"yyyy-mm-dd")))&amp;" ESC",SUMPRODUCT(('Daily Checklist'!$D$2:$D$2000=$A23)*(TEXT('Daily Checklist'!$B$2:$B$2000,"yyyy-mm-dd")=TEXT(($B$4+8),"yyyy-mm-dd"))*('Daily Checklist'!$F$2:$F$2000="Done"))&amp;"/"&amp;SUMPRODUCT(('Daily Checklist'!$D$2:$D$2000=$A23)*(TEXT('Daily Checklist'!$B$2:$B$2000,"yyyy-mm-dd")=TEXT(($B$4+8),"yyyy-mm-dd"))))))</f>
        <v/>
      </c>
      <c r="K23" s="25" t="str">
        <f aca="false">IF($A23="","",IF(SUMPRODUCT(('Daily Checklist'!$D$2:$D$2000=$A23)*(TEXT('Daily Checklist'!$B$2:$B$2000,"yyyy-mm-dd")=TEXT(($B$4+9),"yyyy-mm-dd")))=0,"-",IF(SUMPRODUCT(('Daily Checklist'!$D$2:$D$2000=$A23)*(TEXT('Daily Checklist'!$B$2:$B$2000,"yyyy-mm-dd")=TEXT(($B$4+9),"yyyy-mm-dd"))*('Daily Checklist'!$L$2:$L$2000="Y"))&gt;0,SUMPRODUCT(('Daily Checklist'!$D$2:$D$2000=$A23)*(TEXT('Daily Checklist'!$B$2:$B$2000,"yyyy-mm-dd")=TEXT(($B$4+9),"yyyy-mm-dd"))*('Daily Checklist'!$F$2:$F$2000="Done"))&amp;"/"&amp;SUMPRODUCT(('Daily Checklist'!$D$2:$D$2000=$A23)*(TEXT('Daily Checklist'!$B$2:$B$2000,"yyyy-mm-dd")=TEXT(($B$4+9),"yyyy-mm-dd")))&amp;" ESC",SUMPRODUCT(('Daily Checklist'!$D$2:$D$2000=$A23)*(TEXT('Daily Checklist'!$B$2:$B$2000,"yyyy-mm-dd")=TEXT(($B$4+9),"yyyy-mm-dd"))*('Daily Checklist'!$F$2:$F$2000="Done"))&amp;"/"&amp;SUMPRODUCT(('Daily Checklist'!$D$2:$D$2000=$A23)*(TEXT('Daily Checklist'!$B$2:$B$2000,"yyyy-mm-dd")=TEXT(($B$4+9),"yyyy-mm-dd"))))))</f>
        <v/>
      </c>
      <c r="L23" s="25" t="str">
        <f aca="false">IF($A23="","",IF(SUMPRODUCT(('Daily Checklist'!$D$2:$D$2000=$A23)*(TEXT('Daily Checklist'!$B$2:$B$2000,"yyyy-mm-dd")=TEXT(($B$4+10),"yyyy-mm-dd")))=0,"-",IF(SUMPRODUCT(('Daily Checklist'!$D$2:$D$2000=$A23)*(TEXT('Daily Checklist'!$B$2:$B$2000,"yyyy-mm-dd")=TEXT(($B$4+10),"yyyy-mm-dd"))*('Daily Checklist'!$L$2:$L$2000="Y"))&gt;0,SUMPRODUCT(('Daily Checklist'!$D$2:$D$2000=$A23)*(TEXT('Daily Checklist'!$B$2:$B$2000,"yyyy-mm-dd")=TEXT(($B$4+10),"yyyy-mm-dd"))*('Daily Checklist'!$F$2:$F$2000="Done"))&amp;"/"&amp;SUMPRODUCT(('Daily Checklist'!$D$2:$D$2000=$A23)*(TEXT('Daily Checklist'!$B$2:$B$2000,"yyyy-mm-dd")=TEXT(($B$4+10),"yyyy-mm-dd")))&amp;" ESC",SUMPRODUCT(('Daily Checklist'!$D$2:$D$2000=$A23)*(TEXT('Daily Checklist'!$B$2:$B$2000,"yyyy-mm-dd")=TEXT(($B$4+10),"yyyy-mm-dd"))*('Daily Checklist'!$F$2:$F$2000="Done"))&amp;"/"&amp;SUMPRODUCT(('Daily Checklist'!$D$2:$D$2000=$A23)*(TEXT('Daily Checklist'!$B$2:$B$2000,"yyyy-mm-dd")=TEXT(($B$4+10),"yyyy-mm-dd"))))))</f>
        <v/>
      </c>
      <c r="M23" s="25" t="str">
        <f aca="false">IF($A23="","",IF(SUMPRODUCT(('Daily Checklist'!$D$2:$D$2000=$A23)*(TEXT('Daily Checklist'!$B$2:$B$2000,"yyyy-mm-dd")=TEXT(($B$4+11),"yyyy-mm-dd")))=0,"-",IF(SUMPRODUCT(('Daily Checklist'!$D$2:$D$2000=$A23)*(TEXT('Daily Checklist'!$B$2:$B$2000,"yyyy-mm-dd")=TEXT(($B$4+11),"yyyy-mm-dd"))*('Daily Checklist'!$L$2:$L$2000="Y"))&gt;0,SUMPRODUCT(('Daily Checklist'!$D$2:$D$2000=$A23)*(TEXT('Daily Checklist'!$B$2:$B$2000,"yyyy-mm-dd")=TEXT(($B$4+11),"yyyy-mm-dd"))*('Daily Checklist'!$F$2:$F$2000="Done"))&amp;"/"&amp;SUMPRODUCT(('Daily Checklist'!$D$2:$D$2000=$A23)*(TEXT('Daily Checklist'!$B$2:$B$2000,"yyyy-mm-dd")=TEXT(($B$4+11),"yyyy-mm-dd")))&amp;" ESC",SUMPRODUCT(('Daily Checklist'!$D$2:$D$2000=$A23)*(TEXT('Daily Checklist'!$B$2:$B$2000,"yyyy-mm-dd")=TEXT(($B$4+11),"yyyy-mm-dd"))*('Daily Checklist'!$F$2:$F$2000="Done"))&amp;"/"&amp;SUMPRODUCT(('Daily Checklist'!$D$2:$D$2000=$A23)*(TEXT('Daily Checklist'!$B$2:$B$2000,"yyyy-mm-dd")=TEXT(($B$4+11),"yyyy-mm-dd"))))))</f>
        <v/>
      </c>
      <c r="N23" s="25" t="str">
        <f aca="false">IF($A23="","",IF(SUMPRODUCT(('Daily Checklist'!$D$2:$D$2000=$A23)*(TEXT('Daily Checklist'!$B$2:$B$2000,"yyyy-mm-dd")=TEXT(($B$4+12),"yyyy-mm-dd")))=0,"-",IF(SUMPRODUCT(('Daily Checklist'!$D$2:$D$2000=$A23)*(TEXT('Daily Checklist'!$B$2:$B$2000,"yyyy-mm-dd")=TEXT(($B$4+12),"yyyy-mm-dd"))*('Daily Checklist'!$L$2:$L$2000="Y"))&gt;0,SUMPRODUCT(('Daily Checklist'!$D$2:$D$2000=$A23)*(TEXT('Daily Checklist'!$B$2:$B$2000,"yyyy-mm-dd")=TEXT(($B$4+12),"yyyy-mm-dd"))*('Daily Checklist'!$F$2:$F$2000="Done"))&amp;"/"&amp;SUMPRODUCT(('Daily Checklist'!$D$2:$D$2000=$A23)*(TEXT('Daily Checklist'!$B$2:$B$2000,"yyyy-mm-dd")=TEXT(($B$4+12),"yyyy-mm-dd")))&amp;" ESC",SUMPRODUCT(('Daily Checklist'!$D$2:$D$2000=$A23)*(TEXT('Daily Checklist'!$B$2:$B$2000,"yyyy-mm-dd")=TEXT(($B$4+12),"yyyy-mm-dd"))*('Daily Checklist'!$F$2:$F$2000="Done"))&amp;"/"&amp;SUMPRODUCT(('Daily Checklist'!$D$2:$D$2000=$A23)*(TEXT('Daily Checklist'!$B$2:$B$2000,"yyyy-mm-dd")=TEXT(($B$4+12),"yyyy-mm-dd"))))))</f>
        <v/>
      </c>
      <c r="O23" s="25" t="str">
        <f aca="false">IF($A23="","",IF(SUMPRODUCT(('Daily Checklist'!$D$2:$D$2000=$A23)*(TEXT('Daily Checklist'!$B$2:$B$2000,"yyyy-mm-dd")=TEXT(($B$4+13),"yyyy-mm-dd")))=0,"-",IF(SUMPRODUCT(('Daily Checklist'!$D$2:$D$2000=$A23)*(TEXT('Daily Checklist'!$B$2:$B$2000,"yyyy-mm-dd")=TEXT(($B$4+13),"yyyy-mm-dd"))*('Daily Checklist'!$L$2:$L$2000="Y"))&gt;0,SUMPRODUCT(('Daily Checklist'!$D$2:$D$2000=$A23)*(TEXT('Daily Checklist'!$B$2:$B$2000,"yyyy-mm-dd")=TEXT(($B$4+13),"yyyy-mm-dd"))*('Daily Checklist'!$F$2:$F$2000="Done"))&amp;"/"&amp;SUMPRODUCT(('Daily Checklist'!$D$2:$D$2000=$A23)*(TEXT('Daily Checklist'!$B$2:$B$2000,"yyyy-mm-dd")=TEXT(($B$4+13),"yyyy-mm-dd")))&amp;" ESC",SUMPRODUCT(('Daily Checklist'!$D$2:$D$2000=$A23)*(TEXT('Daily Checklist'!$B$2:$B$2000,"yyyy-mm-dd")=TEXT(($B$4+13),"yyyy-mm-dd"))*('Daily Checklist'!$F$2:$F$2000="Done"))&amp;"/"&amp;SUMPRODUCT(('Daily Checklist'!$D$2:$D$2000=$A23)*(TEXT('Daily Checklist'!$B$2:$B$2000,"yyyy-mm-dd")=TEXT(($B$4+13),"yyyy-mm-dd"))))))</f>
        <v/>
      </c>
      <c r="P23" s="25" t="str">
        <f aca="false">IF($A23="","",IF(SUMPRODUCT(('Daily Checklist'!$D$2:$D$2000=$A23)*(TEXT('Daily Checklist'!$B$2:$B$2000,"yyyy-mm-dd")=TEXT(($B$4+14),"yyyy-mm-dd")))=0,"-",IF(SUMPRODUCT(('Daily Checklist'!$D$2:$D$2000=$A23)*(TEXT('Daily Checklist'!$B$2:$B$2000,"yyyy-mm-dd")=TEXT(($B$4+14),"yyyy-mm-dd"))*('Daily Checklist'!$L$2:$L$2000="Y"))&gt;0,SUMPRODUCT(('Daily Checklist'!$D$2:$D$2000=$A23)*(TEXT('Daily Checklist'!$B$2:$B$2000,"yyyy-mm-dd")=TEXT(($B$4+14),"yyyy-mm-dd"))*('Daily Checklist'!$F$2:$F$2000="Done"))&amp;"/"&amp;SUMPRODUCT(('Daily Checklist'!$D$2:$D$2000=$A23)*(TEXT('Daily Checklist'!$B$2:$B$2000,"yyyy-mm-dd")=TEXT(($B$4+14),"yyyy-mm-dd")))&amp;" ESC",SUMPRODUCT(('Daily Checklist'!$D$2:$D$2000=$A23)*(TEXT('Daily Checklist'!$B$2:$B$2000,"yyyy-mm-dd")=TEXT(($B$4+14),"yyyy-mm-dd"))*('Daily Checklist'!$F$2:$F$2000="Done"))&amp;"/"&amp;SUMPRODUCT(('Daily Checklist'!$D$2:$D$2000=$A23)*(TEXT('Daily Checklist'!$B$2:$B$2000,"yyyy-mm-dd")=TEXT(($B$4+14),"yyyy-mm-dd"))))))</f>
        <v/>
      </c>
      <c r="Q23" s="25" t="str">
        <f aca="false">IF($A23="","",IF(SUMPRODUCT(('Daily Checklist'!$D$2:$D$2000=$A23)*(TEXT('Daily Checklist'!$B$2:$B$2000,"yyyy-mm-dd")=TEXT(($B$4+15),"yyyy-mm-dd")))=0,"-",IF(SUMPRODUCT(('Daily Checklist'!$D$2:$D$2000=$A23)*(TEXT('Daily Checklist'!$B$2:$B$2000,"yyyy-mm-dd")=TEXT(($B$4+15),"yyyy-mm-dd"))*('Daily Checklist'!$L$2:$L$2000="Y"))&gt;0,SUMPRODUCT(('Daily Checklist'!$D$2:$D$2000=$A23)*(TEXT('Daily Checklist'!$B$2:$B$2000,"yyyy-mm-dd")=TEXT(($B$4+15),"yyyy-mm-dd"))*('Daily Checklist'!$F$2:$F$2000="Done"))&amp;"/"&amp;SUMPRODUCT(('Daily Checklist'!$D$2:$D$2000=$A23)*(TEXT('Daily Checklist'!$B$2:$B$2000,"yyyy-mm-dd")=TEXT(($B$4+15),"yyyy-mm-dd")))&amp;" ESC",SUMPRODUCT(('Daily Checklist'!$D$2:$D$2000=$A23)*(TEXT('Daily Checklist'!$B$2:$B$2000,"yyyy-mm-dd")=TEXT(($B$4+15),"yyyy-mm-dd"))*('Daily Checklist'!$F$2:$F$2000="Done"))&amp;"/"&amp;SUMPRODUCT(('Daily Checklist'!$D$2:$D$2000=$A23)*(TEXT('Daily Checklist'!$B$2:$B$2000,"yyyy-mm-dd")=TEXT(($B$4+15),"yyyy-mm-dd"))))))</f>
        <v/>
      </c>
      <c r="R23" s="25" t="str">
        <f aca="false">IF($A23="","",IF(SUMPRODUCT(('Daily Checklist'!$D$2:$D$2000=$A23)*(TEXT('Daily Checklist'!$B$2:$B$2000,"yyyy-mm-dd")=TEXT(($B$4+16),"yyyy-mm-dd")))=0,"-",IF(SUMPRODUCT(('Daily Checklist'!$D$2:$D$2000=$A23)*(TEXT('Daily Checklist'!$B$2:$B$2000,"yyyy-mm-dd")=TEXT(($B$4+16),"yyyy-mm-dd"))*('Daily Checklist'!$L$2:$L$2000="Y"))&gt;0,SUMPRODUCT(('Daily Checklist'!$D$2:$D$2000=$A23)*(TEXT('Daily Checklist'!$B$2:$B$2000,"yyyy-mm-dd")=TEXT(($B$4+16),"yyyy-mm-dd"))*('Daily Checklist'!$F$2:$F$2000="Done"))&amp;"/"&amp;SUMPRODUCT(('Daily Checklist'!$D$2:$D$2000=$A23)*(TEXT('Daily Checklist'!$B$2:$B$2000,"yyyy-mm-dd")=TEXT(($B$4+16),"yyyy-mm-dd")))&amp;" ESC",SUMPRODUCT(('Daily Checklist'!$D$2:$D$2000=$A23)*(TEXT('Daily Checklist'!$B$2:$B$2000,"yyyy-mm-dd")=TEXT(($B$4+16),"yyyy-mm-dd"))*('Daily Checklist'!$F$2:$F$2000="Done"))&amp;"/"&amp;SUMPRODUCT(('Daily Checklist'!$D$2:$D$2000=$A23)*(TEXT('Daily Checklist'!$B$2:$B$2000,"yyyy-mm-dd")=TEXT(($B$4+16),"yyyy-mm-dd"))))))</f>
        <v/>
      </c>
      <c r="S23" s="25" t="str">
        <f aca="false">IF($A23="","",IF(SUMPRODUCT(('Daily Checklist'!$D$2:$D$2000=$A23)*(TEXT('Daily Checklist'!$B$2:$B$2000,"yyyy-mm-dd")=TEXT(($B$4+17),"yyyy-mm-dd")))=0,"-",IF(SUMPRODUCT(('Daily Checklist'!$D$2:$D$2000=$A23)*(TEXT('Daily Checklist'!$B$2:$B$2000,"yyyy-mm-dd")=TEXT(($B$4+17),"yyyy-mm-dd"))*('Daily Checklist'!$L$2:$L$2000="Y"))&gt;0,SUMPRODUCT(('Daily Checklist'!$D$2:$D$2000=$A23)*(TEXT('Daily Checklist'!$B$2:$B$2000,"yyyy-mm-dd")=TEXT(($B$4+17),"yyyy-mm-dd"))*('Daily Checklist'!$F$2:$F$2000="Done"))&amp;"/"&amp;SUMPRODUCT(('Daily Checklist'!$D$2:$D$2000=$A23)*(TEXT('Daily Checklist'!$B$2:$B$2000,"yyyy-mm-dd")=TEXT(($B$4+17),"yyyy-mm-dd")))&amp;" ESC",SUMPRODUCT(('Daily Checklist'!$D$2:$D$2000=$A23)*(TEXT('Daily Checklist'!$B$2:$B$2000,"yyyy-mm-dd")=TEXT(($B$4+17),"yyyy-mm-dd"))*('Daily Checklist'!$F$2:$F$2000="Done"))&amp;"/"&amp;SUMPRODUCT(('Daily Checklist'!$D$2:$D$2000=$A23)*(TEXT('Daily Checklist'!$B$2:$B$2000,"yyyy-mm-dd")=TEXT(($B$4+17),"yyyy-mm-dd"))))))</f>
        <v/>
      </c>
      <c r="T23" s="25" t="str">
        <f aca="false">IF($A23="","",IF(SUMPRODUCT(('Daily Checklist'!$D$2:$D$2000=$A23)*(TEXT('Daily Checklist'!$B$2:$B$2000,"yyyy-mm-dd")=TEXT(($B$4+18),"yyyy-mm-dd")))=0,"-",IF(SUMPRODUCT(('Daily Checklist'!$D$2:$D$2000=$A23)*(TEXT('Daily Checklist'!$B$2:$B$2000,"yyyy-mm-dd")=TEXT(($B$4+18),"yyyy-mm-dd"))*('Daily Checklist'!$L$2:$L$2000="Y"))&gt;0,SUMPRODUCT(('Daily Checklist'!$D$2:$D$2000=$A23)*(TEXT('Daily Checklist'!$B$2:$B$2000,"yyyy-mm-dd")=TEXT(($B$4+18),"yyyy-mm-dd"))*('Daily Checklist'!$F$2:$F$2000="Done"))&amp;"/"&amp;SUMPRODUCT(('Daily Checklist'!$D$2:$D$2000=$A23)*(TEXT('Daily Checklist'!$B$2:$B$2000,"yyyy-mm-dd")=TEXT(($B$4+18),"yyyy-mm-dd")))&amp;" ESC",SUMPRODUCT(('Daily Checklist'!$D$2:$D$2000=$A23)*(TEXT('Daily Checklist'!$B$2:$B$2000,"yyyy-mm-dd")=TEXT(($B$4+18),"yyyy-mm-dd"))*('Daily Checklist'!$F$2:$F$2000="Done"))&amp;"/"&amp;SUMPRODUCT(('Daily Checklist'!$D$2:$D$2000=$A23)*(TEXT('Daily Checklist'!$B$2:$B$2000,"yyyy-mm-dd")=TEXT(($B$4+18),"yyyy-mm-dd"))))))</f>
        <v/>
      </c>
      <c r="U23" s="25" t="str">
        <f aca="false">IF($A23="","",IF(SUMPRODUCT(('Daily Checklist'!$D$2:$D$2000=$A23)*(TEXT('Daily Checklist'!$B$2:$B$2000,"yyyy-mm-dd")=TEXT(($B$4+19),"yyyy-mm-dd")))=0,"-",IF(SUMPRODUCT(('Daily Checklist'!$D$2:$D$2000=$A23)*(TEXT('Daily Checklist'!$B$2:$B$2000,"yyyy-mm-dd")=TEXT(($B$4+19),"yyyy-mm-dd"))*('Daily Checklist'!$L$2:$L$2000="Y"))&gt;0,SUMPRODUCT(('Daily Checklist'!$D$2:$D$2000=$A23)*(TEXT('Daily Checklist'!$B$2:$B$2000,"yyyy-mm-dd")=TEXT(($B$4+19),"yyyy-mm-dd"))*('Daily Checklist'!$F$2:$F$2000="Done"))&amp;"/"&amp;SUMPRODUCT(('Daily Checklist'!$D$2:$D$2000=$A23)*(TEXT('Daily Checklist'!$B$2:$B$2000,"yyyy-mm-dd")=TEXT(($B$4+19),"yyyy-mm-dd")))&amp;" ESC",SUMPRODUCT(('Daily Checklist'!$D$2:$D$2000=$A23)*(TEXT('Daily Checklist'!$B$2:$B$2000,"yyyy-mm-dd")=TEXT(($B$4+19),"yyyy-mm-dd"))*('Daily Checklist'!$F$2:$F$2000="Done"))&amp;"/"&amp;SUMPRODUCT(('Daily Checklist'!$D$2:$D$2000=$A23)*(TEXT('Daily Checklist'!$B$2:$B$2000,"yyyy-mm-dd")=TEXT(($B$4+19),"yyyy-mm-dd"))))))</f>
        <v/>
      </c>
      <c r="V23" s="25" t="str">
        <f aca="false">IF($A23="","",IF(SUMPRODUCT(('Daily Checklist'!$D$2:$D$2000=$A23)*(TEXT('Daily Checklist'!$B$2:$B$2000,"yyyy-mm-dd")=TEXT(($B$4+20),"yyyy-mm-dd")))=0,"-",IF(SUMPRODUCT(('Daily Checklist'!$D$2:$D$2000=$A23)*(TEXT('Daily Checklist'!$B$2:$B$2000,"yyyy-mm-dd")=TEXT(($B$4+20),"yyyy-mm-dd"))*('Daily Checklist'!$L$2:$L$2000="Y"))&gt;0,SUMPRODUCT(('Daily Checklist'!$D$2:$D$2000=$A23)*(TEXT('Daily Checklist'!$B$2:$B$2000,"yyyy-mm-dd")=TEXT(($B$4+20),"yyyy-mm-dd"))*('Daily Checklist'!$F$2:$F$2000="Done"))&amp;"/"&amp;SUMPRODUCT(('Daily Checklist'!$D$2:$D$2000=$A23)*(TEXT('Daily Checklist'!$B$2:$B$2000,"yyyy-mm-dd")=TEXT(($B$4+20),"yyyy-mm-dd")))&amp;" ESC",SUMPRODUCT(('Daily Checklist'!$D$2:$D$2000=$A23)*(TEXT('Daily Checklist'!$B$2:$B$2000,"yyyy-mm-dd")=TEXT(($B$4+20),"yyyy-mm-dd"))*('Daily Checklist'!$F$2:$F$2000="Done"))&amp;"/"&amp;SUMPRODUCT(('Daily Checklist'!$D$2:$D$2000=$A23)*(TEXT('Daily Checklist'!$B$2:$B$2000,"yyyy-mm-dd")=TEXT(($B$4+20),"yyyy-mm-dd"))))))</f>
        <v/>
      </c>
      <c r="W23" s="25" t="str">
        <f aca="false">IF($A23="","",IF(SUMPRODUCT(('Daily Checklist'!$D$2:$D$2000=$A23)*(TEXT('Daily Checklist'!$B$2:$B$2000,"yyyy-mm-dd")=TEXT(($B$4+21),"yyyy-mm-dd")))=0,"-",IF(SUMPRODUCT(('Daily Checklist'!$D$2:$D$2000=$A23)*(TEXT('Daily Checklist'!$B$2:$B$2000,"yyyy-mm-dd")=TEXT(($B$4+21),"yyyy-mm-dd"))*('Daily Checklist'!$L$2:$L$2000="Y"))&gt;0,SUMPRODUCT(('Daily Checklist'!$D$2:$D$2000=$A23)*(TEXT('Daily Checklist'!$B$2:$B$2000,"yyyy-mm-dd")=TEXT(($B$4+21),"yyyy-mm-dd"))*('Daily Checklist'!$F$2:$F$2000="Done"))&amp;"/"&amp;SUMPRODUCT(('Daily Checklist'!$D$2:$D$2000=$A23)*(TEXT('Daily Checklist'!$B$2:$B$2000,"yyyy-mm-dd")=TEXT(($B$4+21),"yyyy-mm-dd")))&amp;" ESC",SUMPRODUCT(('Daily Checklist'!$D$2:$D$2000=$A23)*(TEXT('Daily Checklist'!$B$2:$B$2000,"yyyy-mm-dd")=TEXT(($B$4+21),"yyyy-mm-dd"))*('Daily Checklist'!$F$2:$F$2000="Done"))&amp;"/"&amp;SUMPRODUCT(('Daily Checklist'!$D$2:$D$2000=$A23)*(TEXT('Daily Checklist'!$B$2:$B$2000,"yyyy-mm-dd")=TEXT(($B$4+21),"yyyy-mm-dd"))))))</f>
        <v/>
      </c>
      <c r="X23" s="25" t="str">
        <f aca="false">IF($A23="","",IF(SUMPRODUCT(('Daily Checklist'!$D$2:$D$2000=$A23)*(TEXT('Daily Checklist'!$B$2:$B$2000,"yyyy-mm-dd")=TEXT(($B$4+22),"yyyy-mm-dd")))=0,"-",IF(SUMPRODUCT(('Daily Checklist'!$D$2:$D$2000=$A23)*(TEXT('Daily Checklist'!$B$2:$B$2000,"yyyy-mm-dd")=TEXT(($B$4+22),"yyyy-mm-dd"))*('Daily Checklist'!$L$2:$L$2000="Y"))&gt;0,SUMPRODUCT(('Daily Checklist'!$D$2:$D$2000=$A23)*(TEXT('Daily Checklist'!$B$2:$B$2000,"yyyy-mm-dd")=TEXT(($B$4+22),"yyyy-mm-dd"))*('Daily Checklist'!$F$2:$F$2000="Done"))&amp;"/"&amp;SUMPRODUCT(('Daily Checklist'!$D$2:$D$2000=$A23)*(TEXT('Daily Checklist'!$B$2:$B$2000,"yyyy-mm-dd")=TEXT(($B$4+22),"yyyy-mm-dd")))&amp;" ESC",SUMPRODUCT(('Daily Checklist'!$D$2:$D$2000=$A23)*(TEXT('Daily Checklist'!$B$2:$B$2000,"yyyy-mm-dd")=TEXT(($B$4+22),"yyyy-mm-dd"))*('Daily Checklist'!$F$2:$F$2000="Done"))&amp;"/"&amp;SUMPRODUCT(('Daily Checklist'!$D$2:$D$2000=$A23)*(TEXT('Daily Checklist'!$B$2:$B$2000,"yyyy-mm-dd")=TEXT(($B$4+22),"yyyy-mm-dd"))))))</f>
        <v/>
      </c>
      <c r="Y23" s="25" t="str">
        <f aca="false">IF($A23="","",IF(SUMPRODUCT(('Daily Checklist'!$D$2:$D$2000=$A23)*(TEXT('Daily Checklist'!$B$2:$B$2000,"yyyy-mm-dd")=TEXT(($B$4+23),"yyyy-mm-dd")))=0,"-",IF(SUMPRODUCT(('Daily Checklist'!$D$2:$D$2000=$A23)*(TEXT('Daily Checklist'!$B$2:$B$2000,"yyyy-mm-dd")=TEXT(($B$4+23),"yyyy-mm-dd"))*('Daily Checklist'!$L$2:$L$2000="Y"))&gt;0,SUMPRODUCT(('Daily Checklist'!$D$2:$D$2000=$A23)*(TEXT('Daily Checklist'!$B$2:$B$2000,"yyyy-mm-dd")=TEXT(($B$4+23),"yyyy-mm-dd"))*('Daily Checklist'!$F$2:$F$2000="Done"))&amp;"/"&amp;SUMPRODUCT(('Daily Checklist'!$D$2:$D$2000=$A23)*(TEXT('Daily Checklist'!$B$2:$B$2000,"yyyy-mm-dd")=TEXT(($B$4+23),"yyyy-mm-dd")))&amp;" ESC",SUMPRODUCT(('Daily Checklist'!$D$2:$D$2000=$A23)*(TEXT('Daily Checklist'!$B$2:$B$2000,"yyyy-mm-dd")=TEXT(($B$4+23),"yyyy-mm-dd"))*('Daily Checklist'!$F$2:$F$2000="Done"))&amp;"/"&amp;SUMPRODUCT(('Daily Checklist'!$D$2:$D$2000=$A23)*(TEXT('Daily Checklist'!$B$2:$B$2000,"yyyy-mm-dd")=TEXT(($B$4+23),"yyyy-mm-dd"))))))</f>
        <v/>
      </c>
      <c r="Z23" s="25" t="str">
        <f aca="false">IF($A23="","",IF(SUMPRODUCT(('Daily Checklist'!$D$2:$D$2000=$A23)*(TEXT('Daily Checklist'!$B$2:$B$2000,"yyyy-mm-dd")=TEXT(($B$4+24),"yyyy-mm-dd")))=0,"-",IF(SUMPRODUCT(('Daily Checklist'!$D$2:$D$2000=$A23)*(TEXT('Daily Checklist'!$B$2:$B$2000,"yyyy-mm-dd")=TEXT(($B$4+24),"yyyy-mm-dd"))*('Daily Checklist'!$L$2:$L$2000="Y"))&gt;0,SUMPRODUCT(('Daily Checklist'!$D$2:$D$2000=$A23)*(TEXT('Daily Checklist'!$B$2:$B$2000,"yyyy-mm-dd")=TEXT(($B$4+24),"yyyy-mm-dd"))*('Daily Checklist'!$F$2:$F$2000="Done"))&amp;"/"&amp;SUMPRODUCT(('Daily Checklist'!$D$2:$D$2000=$A23)*(TEXT('Daily Checklist'!$B$2:$B$2000,"yyyy-mm-dd")=TEXT(($B$4+24),"yyyy-mm-dd")))&amp;" ESC",SUMPRODUCT(('Daily Checklist'!$D$2:$D$2000=$A23)*(TEXT('Daily Checklist'!$B$2:$B$2000,"yyyy-mm-dd")=TEXT(($B$4+24),"yyyy-mm-dd"))*('Daily Checklist'!$F$2:$F$2000="Done"))&amp;"/"&amp;SUMPRODUCT(('Daily Checklist'!$D$2:$D$2000=$A23)*(TEXT('Daily Checklist'!$B$2:$B$2000,"yyyy-mm-dd")=TEXT(($B$4+24),"yyyy-mm-dd"))))))</f>
        <v/>
      </c>
      <c r="AA23" s="25" t="str">
        <f aca="false">IF($A23="","",IF(SUMPRODUCT(('Daily Checklist'!$D$2:$D$2000=$A23)*(TEXT('Daily Checklist'!$B$2:$B$2000,"yyyy-mm-dd")=TEXT(($B$4+25),"yyyy-mm-dd")))=0,"-",IF(SUMPRODUCT(('Daily Checklist'!$D$2:$D$2000=$A23)*(TEXT('Daily Checklist'!$B$2:$B$2000,"yyyy-mm-dd")=TEXT(($B$4+25),"yyyy-mm-dd"))*('Daily Checklist'!$L$2:$L$2000="Y"))&gt;0,SUMPRODUCT(('Daily Checklist'!$D$2:$D$2000=$A23)*(TEXT('Daily Checklist'!$B$2:$B$2000,"yyyy-mm-dd")=TEXT(($B$4+25),"yyyy-mm-dd"))*('Daily Checklist'!$F$2:$F$2000="Done"))&amp;"/"&amp;SUMPRODUCT(('Daily Checklist'!$D$2:$D$2000=$A23)*(TEXT('Daily Checklist'!$B$2:$B$2000,"yyyy-mm-dd")=TEXT(($B$4+25),"yyyy-mm-dd")))&amp;" ESC",SUMPRODUCT(('Daily Checklist'!$D$2:$D$2000=$A23)*(TEXT('Daily Checklist'!$B$2:$B$2000,"yyyy-mm-dd")=TEXT(($B$4+25),"yyyy-mm-dd"))*('Daily Checklist'!$F$2:$F$2000="Done"))&amp;"/"&amp;SUMPRODUCT(('Daily Checklist'!$D$2:$D$2000=$A23)*(TEXT('Daily Checklist'!$B$2:$B$2000,"yyyy-mm-dd")=TEXT(($B$4+25),"yyyy-mm-dd"))))))</f>
        <v/>
      </c>
      <c r="AB23" s="25" t="str">
        <f aca="false">IF($A23="","",IF(SUMPRODUCT(('Daily Checklist'!$D$2:$D$2000=$A23)*(TEXT('Daily Checklist'!$B$2:$B$2000,"yyyy-mm-dd")=TEXT(($B$4+26),"yyyy-mm-dd")))=0,"-",IF(SUMPRODUCT(('Daily Checklist'!$D$2:$D$2000=$A23)*(TEXT('Daily Checklist'!$B$2:$B$2000,"yyyy-mm-dd")=TEXT(($B$4+26),"yyyy-mm-dd"))*('Daily Checklist'!$L$2:$L$2000="Y"))&gt;0,SUMPRODUCT(('Daily Checklist'!$D$2:$D$2000=$A23)*(TEXT('Daily Checklist'!$B$2:$B$2000,"yyyy-mm-dd")=TEXT(($B$4+26),"yyyy-mm-dd"))*('Daily Checklist'!$F$2:$F$2000="Done"))&amp;"/"&amp;SUMPRODUCT(('Daily Checklist'!$D$2:$D$2000=$A23)*(TEXT('Daily Checklist'!$B$2:$B$2000,"yyyy-mm-dd")=TEXT(($B$4+26),"yyyy-mm-dd")))&amp;" ESC",SUMPRODUCT(('Daily Checklist'!$D$2:$D$2000=$A23)*(TEXT('Daily Checklist'!$B$2:$B$2000,"yyyy-mm-dd")=TEXT(($B$4+26),"yyyy-mm-dd"))*('Daily Checklist'!$F$2:$F$2000="Done"))&amp;"/"&amp;SUMPRODUCT(('Daily Checklist'!$D$2:$D$2000=$A23)*(TEXT('Daily Checklist'!$B$2:$B$2000,"yyyy-mm-dd")=TEXT(($B$4+26),"yyyy-mm-dd"))))))</f>
        <v/>
      </c>
      <c r="AC23" s="25" t="str">
        <f aca="false">IF($A23="","",IF(SUMPRODUCT(('Daily Checklist'!$D$2:$D$2000=$A23)*(TEXT('Daily Checklist'!$B$2:$B$2000,"yyyy-mm-dd")=TEXT(($B$4+27),"yyyy-mm-dd")))=0,"-",IF(SUMPRODUCT(('Daily Checklist'!$D$2:$D$2000=$A23)*(TEXT('Daily Checklist'!$B$2:$B$2000,"yyyy-mm-dd")=TEXT(($B$4+27),"yyyy-mm-dd"))*('Daily Checklist'!$L$2:$L$2000="Y"))&gt;0,SUMPRODUCT(('Daily Checklist'!$D$2:$D$2000=$A23)*(TEXT('Daily Checklist'!$B$2:$B$2000,"yyyy-mm-dd")=TEXT(($B$4+27),"yyyy-mm-dd"))*('Daily Checklist'!$F$2:$F$2000="Done"))&amp;"/"&amp;SUMPRODUCT(('Daily Checklist'!$D$2:$D$2000=$A23)*(TEXT('Daily Checklist'!$B$2:$B$2000,"yyyy-mm-dd")=TEXT(($B$4+27),"yyyy-mm-dd")))&amp;" ESC",SUMPRODUCT(('Daily Checklist'!$D$2:$D$2000=$A23)*(TEXT('Daily Checklist'!$B$2:$B$2000,"yyyy-mm-dd")=TEXT(($B$4+27),"yyyy-mm-dd"))*('Daily Checklist'!$F$2:$F$2000="Done"))&amp;"/"&amp;SUMPRODUCT(('Daily Checklist'!$D$2:$D$2000=$A23)*(TEXT('Daily Checklist'!$B$2:$B$2000,"yyyy-mm-dd")=TEXT(($B$4+27),"yyyy-mm-dd"))))))</f>
        <v/>
      </c>
      <c r="AD23" s="25" t="str">
        <f aca="false">IF($A23="","",IF(SUMPRODUCT(('Daily Checklist'!$D$2:$D$2000=$A23)*(TEXT('Daily Checklist'!$B$2:$B$2000,"yyyy-mm-dd")=TEXT(($B$4+28),"yyyy-mm-dd")))=0,"-",IF(SUMPRODUCT(('Daily Checklist'!$D$2:$D$2000=$A23)*(TEXT('Daily Checklist'!$B$2:$B$2000,"yyyy-mm-dd")=TEXT(($B$4+28),"yyyy-mm-dd"))*('Daily Checklist'!$L$2:$L$2000="Y"))&gt;0,SUMPRODUCT(('Daily Checklist'!$D$2:$D$2000=$A23)*(TEXT('Daily Checklist'!$B$2:$B$2000,"yyyy-mm-dd")=TEXT(($B$4+28),"yyyy-mm-dd"))*('Daily Checklist'!$F$2:$F$2000="Done"))&amp;"/"&amp;SUMPRODUCT(('Daily Checklist'!$D$2:$D$2000=$A23)*(TEXT('Daily Checklist'!$B$2:$B$2000,"yyyy-mm-dd")=TEXT(($B$4+28),"yyyy-mm-dd")))&amp;" ESC",SUMPRODUCT(('Daily Checklist'!$D$2:$D$2000=$A23)*(TEXT('Daily Checklist'!$B$2:$B$2000,"yyyy-mm-dd")=TEXT(($B$4+28),"yyyy-mm-dd"))*('Daily Checklist'!$F$2:$F$2000="Done"))&amp;"/"&amp;SUMPRODUCT(('Daily Checklist'!$D$2:$D$2000=$A23)*(TEXT('Daily Checklist'!$B$2:$B$2000,"yyyy-mm-dd")=TEXT(($B$4+28),"yyyy-mm-dd"))))))</f>
        <v/>
      </c>
      <c r="AE23" s="25" t="str">
        <f aca="false">IF($A23="","",IF(SUMPRODUCT(('Daily Checklist'!$D$2:$D$2000=$A23)*(TEXT('Daily Checklist'!$B$2:$B$2000,"yyyy-mm-dd")=TEXT(($B$4+29),"yyyy-mm-dd")))=0,"-",IF(SUMPRODUCT(('Daily Checklist'!$D$2:$D$2000=$A23)*(TEXT('Daily Checklist'!$B$2:$B$2000,"yyyy-mm-dd")=TEXT(($B$4+29),"yyyy-mm-dd"))*('Daily Checklist'!$L$2:$L$2000="Y"))&gt;0,SUMPRODUCT(('Daily Checklist'!$D$2:$D$2000=$A23)*(TEXT('Daily Checklist'!$B$2:$B$2000,"yyyy-mm-dd")=TEXT(($B$4+29),"yyyy-mm-dd"))*('Daily Checklist'!$F$2:$F$2000="Done"))&amp;"/"&amp;SUMPRODUCT(('Daily Checklist'!$D$2:$D$2000=$A23)*(TEXT('Daily Checklist'!$B$2:$B$2000,"yyyy-mm-dd")=TEXT(($B$4+29),"yyyy-mm-dd")))&amp;" ESC",SUMPRODUCT(('Daily Checklist'!$D$2:$D$2000=$A23)*(TEXT('Daily Checklist'!$B$2:$B$2000,"yyyy-mm-dd")=TEXT(($B$4+29),"yyyy-mm-dd"))*('Daily Checklist'!$F$2:$F$2000="Done"))&amp;"/"&amp;SUMPRODUCT(('Daily Checklist'!$D$2:$D$2000=$A23)*(TEXT('Daily Checklist'!$B$2:$B$2000,"yyyy-mm-dd")=TEXT(($B$4+29),"yyyy-mm-dd"))))))</f>
        <v/>
      </c>
      <c r="AF23" s="25" t="str">
        <f aca="false">IF($A23="","",IF(SUMPRODUCT(('Daily Checklist'!$D$2:$D$2000=$A23)*(TEXT('Daily Checklist'!$B$2:$B$2000,"yyyy-mm-dd")=TEXT(($B$4+30),"yyyy-mm-dd")))=0,"-",IF(SUMPRODUCT(('Daily Checklist'!$D$2:$D$2000=$A23)*(TEXT('Daily Checklist'!$B$2:$B$2000,"yyyy-mm-dd")=TEXT(($B$4+30),"yyyy-mm-dd"))*('Daily Checklist'!$L$2:$L$2000="Y"))&gt;0,SUMPRODUCT(('Daily Checklist'!$D$2:$D$2000=$A23)*(TEXT('Daily Checklist'!$B$2:$B$2000,"yyyy-mm-dd")=TEXT(($B$4+30),"yyyy-mm-dd"))*('Daily Checklist'!$F$2:$F$2000="Done"))&amp;"/"&amp;SUMPRODUCT(('Daily Checklist'!$D$2:$D$2000=$A23)*(TEXT('Daily Checklist'!$B$2:$B$2000,"yyyy-mm-dd")=TEXT(($B$4+30),"yyyy-mm-dd")))&amp;" ESC",SUMPRODUCT(('Daily Checklist'!$D$2:$D$2000=$A23)*(TEXT('Daily Checklist'!$B$2:$B$2000,"yyyy-mm-dd")=TEXT(($B$4+30),"yyyy-mm-dd"))*('Daily Checklist'!$F$2:$F$2000="Done"))&amp;"/"&amp;SUMPRODUCT(('Daily Checklist'!$D$2:$D$2000=$A23)*(TEXT('Daily Checklist'!$B$2:$B$2000,"yyyy-mm-dd")=TEXT(($B$4+30),"yyyy-mm-dd"))))))</f>
        <v/>
      </c>
    </row>
    <row r="24" customFormat="false" ht="15" hidden="false" customHeight="true" outlineLevel="0" collapsed="false">
      <c r="A24" s="24" t="str">
        <f aca="false">IFERROR(IF(Employees!A19="","",Employees!A19),"")</f>
        <v/>
      </c>
      <c r="B24" s="25" t="str">
        <f aca="false">IF($A24="","",IF(SUMPRODUCT(('Daily Checklist'!$D$2:$D$2000=$A24)*(TEXT('Daily Checklist'!$B$2:$B$2000,"yyyy-mm-dd")=TEXT(($B$4+0),"yyyy-mm-dd")))=0,"-",IF(SUMPRODUCT(('Daily Checklist'!$D$2:$D$2000=$A24)*(TEXT('Daily Checklist'!$B$2:$B$2000,"yyyy-mm-dd")=TEXT(($B$4+0),"yyyy-mm-dd"))*('Daily Checklist'!$L$2:$L$2000="Y"))&gt;0,SUMPRODUCT(('Daily Checklist'!$D$2:$D$2000=$A24)*(TEXT('Daily Checklist'!$B$2:$B$2000,"yyyy-mm-dd")=TEXT(($B$4+0),"yyyy-mm-dd"))*('Daily Checklist'!$F$2:$F$2000="Done"))&amp;"/"&amp;SUMPRODUCT(('Daily Checklist'!$D$2:$D$2000=$A24)*(TEXT('Daily Checklist'!$B$2:$B$2000,"yyyy-mm-dd")=TEXT(($B$4+0),"yyyy-mm-dd")))&amp;" ESC",SUMPRODUCT(('Daily Checklist'!$D$2:$D$2000=$A24)*(TEXT('Daily Checklist'!$B$2:$B$2000,"yyyy-mm-dd")=TEXT(($B$4+0),"yyyy-mm-dd"))*('Daily Checklist'!$F$2:$F$2000="Done"))&amp;"/"&amp;SUMPRODUCT(('Daily Checklist'!$D$2:$D$2000=$A24)*(TEXT('Daily Checklist'!$B$2:$B$2000,"yyyy-mm-dd")=TEXT(($B$4+0),"yyyy-mm-dd"))))))</f>
        <v/>
      </c>
      <c r="C24" s="25" t="str">
        <f aca="false">IF($A24="","",IF(SUMPRODUCT(('Daily Checklist'!$D$2:$D$2000=$A24)*(TEXT('Daily Checklist'!$B$2:$B$2000,"yyyy-mm-dd")=TEXT(($B$4+1),"yyyy-mm-dd")))=0,"-",IF(SUMPRODUCT(('Daily Checklist'!$D$2:$D$2000=$A24)*(TEXT('Daily Checklist'!$B$2:$B$2000,"yyyy-mm-dd")=TEXT(($B$4+1),"yyyy-mm-dd"))*('Daily Checklist'!$L$2:$L$2000="Y"))&gt;0,SUMPRODUCT(('Daily Checklist'!$D$2:$D$2000=$A24)*(TEXT('Daily Checklist'!$B$2:$B$2000,"yyyy-mm-dd")=TEXT(($B$4+1),"yyyy-mm-dd"))*('Daily Checklist'!$F$2:$F$2000="Done"))&amp;"/"&amp;SUMPRODUCT(('Daily Checklist'!$D$2:$D$2000=$A24)*(TEXT('Daily Checklist'!$B$2:$B$2000,"yyyy-mm-dd")=TEXT(($B$4+1),"yyyy-mm-dd")))&amp;" ESC",SUMPRODUCT(('Daily Checklist'!$D$2:$D$2000=$A24)*(TEXT('Daily Checklist'!$B$2:$B$2000,"yyyy-mm-dd")=TEXT(($B$4+1),"yyyy-mm-dd"))*('Daily Checklist'!$F$2:$F$2000="Done"))&amp;"/"&amp;SUMPRODUCT(('Daily Checklist'!$D$2:$D$2000=$A24)*(TEXT('Daily Checklist'!$B$2:$B$2000,"yyyy-mm-dd")=TEXT(($B$4+1),"yyyy-mm-dd"))))))</f>
        <v/>
      </c>
      <c r="D24" s="25" t="str">
        <f aca="false">IF($A24="","",IF(SUMPRODUCT(('Daily Checklist'!$D$2:$D$2000=$A24)*(TEXT('Daily Checklist'!$B$2:$B$2000,"yyyy-mm-dd")=TEXT(($B$4+2),"yyyy-mm-dd")))=0,"-",IF(SUMPRODUCT(('Daily Checklist'!$D$2:$D$2000=$A24)*(TEXT('Daily Checklist'!$B$2:$B$2000,"yyyy-mm-dd")=TEXT(($B$4+2),"yyyy-mm-dd"))*('Daily Checklist'!$L$2:$L$2000="Y"))&gt;0,SUMPRODUCT(('Daily Checklist'!$D$2:$D$2000=$A24)*(TEXT('Daily Checklist'!$B$2:$B$2000,"yyyy-mm-dd")=TEXT(($B$4+2),"yyyy-mm-dd"))*('Daily Checklist'!$F$2:$F$2000="Done"))&amp;"/"&amp;SUMPRODUCT(('Daily Checklist'!$D$2:$D$2000=$A24)*(TEXT('Daily Checklist'!$B$2:$B$2000,"yyyy-mm-dd")=TEXT(($B$4+2),"yyyy-mm-dd")))&amp;" ESC",SUMPRODUCT(('Daily Checklist'!$D$2:$D$2000=$A24)*(TEXT('Daily Checklist'!$B$2:$B$2000,"yyyy-mm-dd")=TEXT(($B$4+2),"yyyy-mm-dd"))*('Daily Checklist'!$F$2:$F$2000="Done"))&amp;"/"&amp;SUMPRODUCT(('Daily Checklist'!$D$2:$D$2000=$A24)*(TEXT('Daily Checklist'!$B$2:$B$2000,"yyyy-mm-dd")=TEXT(($B$4+2),"yyyy-mm-dd"))))))</f>
        <v/>
      </c>
      <c r="E24" s="25" t="str">
        <f aca="false">IF($A24="","",IF(SUMPRODUCT(('Daily Checklist'!$D$2:$D$2000=$A24)*(TEXT('Daily Checklist'!$B$2:$B$2000,"yyyy-mm-dd")=TEXT(($B$4+3),"yyyy-mm-dd")))=0,"-",IF(SUMPRODUCT(('Daily Checklist'!$D$2:$D$2000=$A24)*(TEXT('Daily Checklist'!$B$2:$B$2000,"yyyy-mm-dd")=TEXT(($B$4+3),"yyyy-mm-dd"))*('Daily Checklist'!$L$2:$L$2000="Y"))&gt;0,SUMPRODUCT(('Daily Checklist'!$D$2:$D$2000=$A24)*(TEXT('Daily Checklist'!$B$2:$B$2000,"yyyy-mm-dd")=TEXT(($B$4+3),"yyyy-mm-dd"))*('Daily Checklist'!$F$2:$F$2000="Done"))&amp;"/"&amp;SUMPRODUCT(('Daily Checklist'!$D$2:$D$2000=$A24)*(TEXT('Daily Checklist'!$B$2:$B$2000,"yyyy-mm-dd")=TEXT(($B$4+3),"yyyy-mm-dd")))&amp;" ESC",SUMPRODUCT(('Daily Checklist'!$D$2:$D$2000=$A24)*(TEXT('Daily Checklist'!$B$2:$B$2000,"yyyy-mm-dd")=TEXT(($B$4+3),"yyyy-mm-dd"))*('Daily Checklist'!$F$2:$F$2000="Done"))&amp;"/"&amp;SUMPRODUCT(('Daily Checklist'!$D$2:$D$2000=$A24)*(TEXT('Daily Checklist'!$B$2:$B$2000,"yyyy-mm-dd")=TEXT(($B$4+3),"yyyy-mm-dd"))))))</f>
        <v/>
      </c>
      <c r="F24" s="25" t="str">
        <f aca="false">IF($A24="","",IF(SUMPRODUCT(('Daily Checklist'!$D$2:$D$2000=$A24)*(TEXT('Daily Checklist'!$B$2:$B$2000,"yyyy-mm-dd")=TEXT(($B$4+4),"yyyy-mm-dd")))=0,"-",IF(SUMPRODUCT(('Daily Checklist'!$D$2:$D$2000=$A24)*(TEXT('Daily Checklist'!$B$2:$B$2000,"yyyy-mm-dd")=TEXT(($B$4+4),"yyyy-mm-dd"))*('Daily Checklist'!$L$2:$L$2000="Y"))&gt;0,SUMPRODUCT(('Daily Checklist'!$D$2:$D$2000=$A24)*(TEXT('Daily Checklist'!$B$2:$B$2000,"yyyy-mm-dd")=TEXT(($B$4+4),"yyyy-mm-dd"))*('Daily Checklist'!$F$2:$F$2000="Done"))&amp;"/"&amp;SUMPRODUCT(('Daily Checklist'!$D$2:$D$2000=$A24)*(TEXT('Daily Checklist'!$B$2:$B$2000,"yyyy-mm-dd")=TEXT(($B$4+4),"yyyy-mm-dd")))&amp;" ESC",SUMPRODUCT(('Daily Checklist'!$D$2:$D$2000=$A24)*(TEXT('Daily Checklist'!$B$2:$B$2000,"yyyy-mm-dd")=TEXT(($B$4+4),"yyyy-mm-dd"))*('Daily Checklist'!$F$2:$F$2000="Done"))&amp;"/"&amp;SUMPRODUCT(('Daily Checklist'!$D$2:$D$2000=$A24)*(TEXT('Daily Checklist'!$B$2:$B$2000,"yyyy-mm-dd")=TEXT(($B$4+4),"yyyy-mm-dd"))))))</f>
        <v/>
      </c>
      <c r="G24" s="25" t="str">
        <f aca="false">IF($A24="","",IF(SUMPRODUCT(('Daily Checklist'!$D$2:$D$2000=$A24)*(TEXT('Daily Checklist'!$B$2:$B$2000,"yyyy-mm-dd")=TEXT(($B$4+5),"yyyy-mm-dd")))=0,"-",IF(SUMPRODUCT(('Daily Checklist'!$D$2:$D$2000=$A24)*(TEXT('Daily Checklist'!$B$2:$B$2000,"yyyy-mm-dd")=TEXT(($B$4+5),"yyyy-mm-dd"))*('Daily Checklist'!$L$2:$L$2000="Y"))&gt;0,SUMPRODUCT(('Daily Checklist'!$D$2:$D$2000=$A24)*(TEXT('Daily Checklist'!$B$2:$B$2000,"yyyy-mm-dd")=TEXT(($B$4+5),"yyyy-mm-dd"))*('Daily Checklist'!$F$2:$F$2000="Done"))&amp;"/"&amp;SUMPRODUCT(('Daily Checklist'!$D$2:$D$2000=$A24)*(TEXT('Daily Checklist'!$B$2:$B$2000,"yyyy-mm-dd")=TEXT(($B$4+5),"yyyy-mm-dd")))&amp;" ESC",SUMPRODUCT(('Daily Checklist'!$D$2:$D$2000=$A24)*(TEXT('Daily Checklist'!$B$2:$B$2000,"yyyy-mm-dd")=TEXT(($B$4+5),"yyyy-mm-dd"))*('Daily Checklist'!$F$2:$F$2000="Done"))&amp;"/"&amp;SUMPRODUCT(('Daily Checklist'!$D$2:$D$2000=$A24)*(TEXT('Daily Checklist'!$B$2:$B$2000,"yyyy-mm-dd")=TEXT(($B$4+5),"yyyy-mm-dd"))))))</f>
        <v/>
      </c>
      <c r="H24" s="25" t="str">
        <f aca="false">IF($A24="","",IF(SUMPRODUCT(('Daily Checklist'!$D$2:$D$2000=$A24)*(TEXT('Daily Checklist'!$B$2:$B$2000,"yyyy-mm-dd")=TEXT(($B$4+6),"yyyy-mm-dd")))=0,"-",IF(SUMPRODUCT(('Daily Checklist'!$D$2:$D$2000=$A24)*(TEXT('Daily Checklist'!$B$2:$B$2000,"yyyy-mm-dd")=TEXT(($B$4+6),"yyyy-mm-dd"))*('Daily Checklist'!$L$2:$L$2000="Y"))&gt;0,SUMPRODUCT(('Daily Checklist'!$D$2:$D$2000=$A24)*(TEXT('Daily Checklist'!$B$2:$B$2000,"yyyy-mm-dd")=TEXT(($B$4+6),"yyyy-mm-dd"))*('Daily Checklist'!$F$2:$F$2000="Done"))&amp;"/"&amp;SUMPRODUCT(('Daily Checklist'!$D$2:$D$2000=$A24)*(TEXT('Daily Checklist'!$B$2:$B$2000,"yyyy-mm-dd")=TEXT(($B$4+6),"yyyy-mm-dd")))&amp;" ESC",SUMPRODUCT(('Daily Checklist'!$D$2:$D$2000=$A24)*(TEXT('Daily Checklist'!$B$2:$B$2000,"yyyy-mm-dd")=TEXT(($B$4+6),"yyyy-mm-dd"))*('Daily Checklist'!$F$2:$F$2000="Done"))&amp;"/"&amp;SUMPRODUCT(('Daily Checklist'!$D$2:$D$2000=$A24)*(TEXT('Daily Checklist'!$B$2:$B$2000,"yyyy-mm-dd")=TEXT(($B$4+6),"yyyy-mm-dd"))))))</f>
        <v/>
      </c>
      <c r="I24" s="25" t="str">
        <f aca="false">IF($A24="","",IF(SUMPRODUCT(('Daily Checklist'!$D$2:$D$2000=$A24)*(TEXT('Daily Checklist'!$B$2:$B$2000,"yyyy-mm-dd")=TEXT(($B$4+7),"yyyy-mm-dd")))=0,"-",IF(SUMPRODUCT(('Daily Checklist'!$D$2:$D$2000=$A24)*(TEXT('Daily Checklist'!$B$2:$B$2000,"yyyy-mm-dd")=TEXT(($B$4+7),"yyyy-mm-dd"))*('Daily Checklist'!$L$2:$L$2000="Y"))&gt;0,SUMPRODUCT(('Daily Checklist'!$D$2:$D$2000=$A24)*(TEXT('Daily Checklist'!$B$2:$B$2000,"yyyy-mm-dd")=TEXT(($B$4+7),"yyyy-mm-dd"))*('Daily Checklist'!$F$2:$F$2000="Done"))&amp;"/"&amp;SUMPRODUCT(('Daily Checklist'!$D$2:$D$2000=$A24)*(TEXT('Daily Checklist'!$B$2:$B$2000,"yyyy-mm-dd")=TEXT(($B$4+7),"yyyy-mm-dd")))&amp;" ESC",SUMPRODUCT(('Daily Checklist'!$D$2:$D$2000=$A24)*(TEXT('Daily Checklist'!$B$2:$B$2000,"yyyy-mm-dd")=TEXT(($B$4+7),"yyyy-mm-dd"))*('Daily Checklist'!$F$2:$F$2000="Done"))&amp;"/"&amp;SUMPRODUCT(('Daily Checklist'!$D$2:$D$2000=$A24)*(TEXT('Daily Checklist'!$B$2:$B$2000,"yyyy-mm-dd")=TEXT(($B$4+7),"yyyy-mm-dd"))))))</f>
        <v/>
      </c>
      <c r="J24" s="25" t="str">
        <f aca="false">IF($A24="","",IF(SUMPRODUCT(('Daily Checklist'!$D$2:$D$2000=$A24)*(TEXT('Daily Checklist'!$B$2:$B$2000,"yyyy-mm-dd")=TEXT(($B$4+8),"yyyy-mm-dd")))=0,"-",IF(SUMPRODUCT(('Daily Checklist'!$D$2:$D$2000=$A24)*(TEXT('Daily Checklist'!$B$2:$B$2000,"yyyy-mm-dd")=TEXT(($B$4+8),"yyyy-mm-dd"))*('Daily Checklist'!$L$2:$L$2000="Y"))&gt;0,SUMPRODUCT(('Daily Checklist'!$D$2:$D$2000=$A24)*(TEXT('Daily Checklist'!$B$2:$B$2000,"yyyy-mm-dd")=TEXT(($B$4+8),"yyyy-mm-dd"))*('Daily Checklist'!$F$2:$F$2000="Done"))&amp;"/"&amp;SUMPRODUCT(('Daily Checklist'!$D$2:$D$2000=$A24)*(TEXT('Daily Checklist'!$B$2:$B$2000,"yyyy-mm-dd")=TEXT(($B$4+8),"yyyy-mm-dd")))&amp;" ESC",SUMPRODUCT(('Daily Checklist'!$D$2:$D$2000=$A24)*(TEXT('Daily Checklist'!$B$2:$B$2000,"yyyy-mm-dd")=TEXT(($B$4+8),"yyyy-mm-dd"))*('Daily Checklist'!$F$2:$F$2000="Done"))&amp;"/"&amp;SUMPRODUCT(('Daily Checklist'!$D$2:$D$2000=$A24)*(TEXT('Daily Checklist'!$B$2:$B$2000,"yyyy-mm-dd")=TEXT(($B$4+8),"yyyy-mm-dd"))))))</f>
        <v/>
      </c>
      <c r="K24" s="25" t="str">
        <f aca="false">IF($A24="","",IF(SUMPRODUCT(('Daily Checklist'!$D$2:$D$2000=$A24)*(TEXT('Daily Checklist'!$B$2:$B$2000,"yyyy-mm-dd")=TEXT(($B$4+9),"yyyy-mm-dd")))=0,"-",IF(SUMPRODUCT(('Daily Checklist'!$D$2:$D$2000=$A24)*(TEXT('Daily Checklist'!$B$2:$B$2000,"yyyy-mm-dd")=TEXT(($B$4+9),"yyyy-mm-dd"))*('Daily Checklist'!$L$2:$L$2000="Y"))&gt;0,SUMPRODUCT(('Daily Checklist'!$D$2:$D$2000=$A24)*(TEXT('Daily Checklist'!$B$2:$B$2000,"yyyy-mm-dd")=TEXT(($B$4+9),"yyyy-mm-dd"))*('Daily Checklist'!$F$2:$F$2000="Done"))&amp;"/"&amp;SUMPRODUCT(('Daily Checklist'!$D$2:$D$2000=$A24)*(TEXT('Daily Checklist'!$B$2:$B$2000,"yyyy-mm-dd")=TEXT(($B$4+9),"yyyy-mm-dd")))&amp;" ESC",SUMPRODUCT(('Daily Checklist'!$D$2:$D$2000=$A24)*(TEXT('Daily Checklist'!$B$2:$B$2000,"yyyy-mm-dd")=TEXT(($B$4+9),"yyyy-mm-dd"))*('Daily Checklist'!$F$2:$F$2000="Done"))&amp;"/"&amp;SUMPRODUCT(('Daily Checklist'!$D$2:$D$2000=$A24)*(TEXT('Daily Checklist'!$B$2:$B$2000,"yyyy-mm-dd")=TEXT(($B$4+9),"yyyy-mm-dd"))))))</f>
        <v/>
      </c>
      <c r="L24" s="25" t="str">
        <f aca="false">IF($A24="","",IF(SUMPRODUCT(('Daily Checklist'!$D$2:$D$2000=$A24)*(TEXT('Daily Checklist'!$B$2:$B$2000,"yyyy-mm-dd")=TEXT(($B$4+10),"yyyy-mm-dd")))=0,"-",IF(SUMPRODUCT(('Daily Checklist'!$D$2:$D$2000=$A24)*(TEXT('Daily Checklist'!$B$2:$B$2000,"yyyy-mm-dd")=TEXT(($B$4+10),"yyyy-mm-dd"))*('Daily Checklist'!$L$2:$L$2000="Y"))&gt;0,SUMPRODUCT(('Daily Checklist'!$D$2:$D$2000=$A24)*(TEXT('Daily Checklist'!$B$2:$B$2000,"yyyy-mm-dd")=TEXT(($B$4+10),"yyyy-mm-dd"))*('Daily Checklist'!$F$2:$F$2000="Done"))&amp;"/"&amp;SUMPRODUCT(('Daily Checklist'!$D$2:$D$2000=$A24)*(TEXT('Daily Checklist'!$B$2:$B$2000,"yyyy-mm-dd")=TEXT(($B$4+10),"yyyy-mm-dd")))&amp;" ESC",SUMPRODUCT(('Daily Checklist'!$D$2:$D$2000=$A24)*(TEXT('Daily Checklist'!$B$2:$B$2000,"yyyy-mm-dd")=TEXT(($B$4+10),"yyyy-mm-dd"))*('Daily Checklist'!$F$2:$F$2000="Done"))&amp;"/"&amp;SUMPRODUCT(('Daily Checklist'!$D$2:$D$2000=$A24)*(TEXT('Daily Checklist'!$B$2:$B$2000,"yyyy-mm-dd")=TEXT(($B$4+10),"yyyy-mm-dd"))))))</f>
        <v/>
      </c>
      <c r="M24" s="25" t="str">
        <f aca="false">IF($A24="","",IF(SUMPRODUCT(('Daily Checklist'!$D$2:$D$2000=$A24)*(TEXT('Daily Checklist'!$B$2:$B$2000,"yyyy-mm-dd")=TEXT(($B$4+11),"yyyy-mm-dd")))=0,"-",IF(SUMPRODUCT(('Daily Checklist'!$D$2:$D$2000=$A24)*(TEXT('Daily Checklist'!$B$2:$B$2000,"yyyy-mm-dd")=TEXT(($B$4+11),"yyyy-mm-dd"))*('Daily Checklist'!$L$2:$L$2000="Y"))&gt;0,SUMPRODUCT(('Daily Checklist'!$D$2:$D$2000=$A24)*(TEXT('Daily Checklist'!$B$2:$B$2000,"yyyy-mm-dd")=TEXT(($B$4+11),"yyyy-mm-dd"))*('Daily Checklist'!$F$2:$F$2000="Done"))&amp;"/"&amp;SUMPRODUCT(('Daily Checklist'!$D$2:$D$2000=$A24)*(TEXT('Daily Checklist'!$B$2:$B$2000,"yyyy-mm-dd")=TEXT(($B$4+11),"yyyy-mm-dd")))&amp;" ESC",SUMPRODUCT(('Daily Checklist'!$D$2:$D$2000=$A24)*(TEXT('Daily Checklist'!$B$2:$B$2000,"yyyy-mm-dd")=TEXT(($B$4+11),"yyyy-mm-dd"))*('Daily Checklist'!$F$2:$F$2000="Done"))&amp;"/"&amp;SUMPRODUCT(('Daily Checklist'!$D$2:$D$2000=$A24)*(TEXT('Daily Checklist'!$B$2:$B$2000,"yyyy-mm-dd")=TEXT(($B$4+11),"yyyy-mm-dd"))))))</f>
        <v/>
      </c>
      <c r="N24" s="25" t="str">
        <f aca="false">IF($A24="","",IF(SUMPRODUCT(('Daily Checklist'!$D$2:$D$2000=$A24)*(TEXT('Daily Checklist'!$B$2:$B$2000,"yyyy-mm-dd")=TEXT(($B$4+12),"yyyy-mm-dd")))=0,"-",IF(SUMPRODUCT(('Daily Checklist'!$D$2:$D$2000=$A24)*(TEXT('Daily Checklist'!$B$2:$B$2000,"yyyy-mm-dd")=TEXT(($B$4+12),"yyyy-mm-dd"))*('Daily Checklist'!$L$2:$L$2000="Y"))&gt;0,SUMPRODUCT(('Daily Checklist'!$D$2:$D$2000=$A24)*(TEXT('Daily Checklist'!$B$2:$B$2000,"yyyy-mm-dd")=TEXT(($B$4+12),"yyyy-mm-dd"))*('Daily Checklist'!$F$2:$F$2000="Done"))&amp;"/"&amp;SUMPRODUCT(('Daily Checklist'!$D$2:$D$2000=$A24)*(TEXT('Daily Checklist'!$B$2:$B$2000,"yyyy-mm-dd")=TEXT(($B$4+12),"yyyy-mm-dd")))&amp;" ESC",SUMPRODUCT(('Daily Checklist'!$D$2:$D$2000=$A24)*(TEXT('Daily Checklist'!$B$2:$B$2000,"yyyy-mm-dd")=TEXT(($B$4+12),"yyyy-mm-dd"))*('Daily Checklist'!$F$2:$F$2000="Done"))&amp;"/"&amp;SUMPRODUCT(('Daily Checklist'!$D$2:$D$2000=$A24)*(TEXT('Daily Checklist'!$B$2:$B$2000,"yyyy-mm-dd")=TEXT(($B$4+12),"yyyy-mm-dd"))))))</f>
        <v/>
      </c>
      <c r="O24" s="25" t="str">
        <f aca="false">IF($A24="","",IF(SUMPRODUCT(('Daily Checklist'!$D$2:$D$2000=$A24)*(TEXT('Daily Checklist'!$B$2:$B$2000,"yyyy-mm-dd")=TEXT(($B$4+13),"yyyy-mm-dd")))=0,"-",IF(SUMPRODUCT(('Daily Checklist'!$D$2:$D$2000=$A24)*(TEXT('Daily Checklist'!$B$2:$B$2000,"yyyy-mm-dd")=TEXT(($B$4+13),"yyyy-mm-dd"))*('Daily Checklist'!$L$2:$L$2000="Y"))&gt;0,SUMPRODUCT(('Daily Checklist'!$D$2:$D$2000=$A24)*(TEXT('Daily Checklist'!$B$2:$B$2000,"yyyy-mm-dd")=TEXT(($B$4+13),"yyyy-mm-dd"))*('Daily Checklist'!$F$2:$F$2000="Done"))&amp;"/"&amp;SUMPRODUCT(('Daily Checklist'!$D$2:$D$2000=$A24)*(TEXT('Daily Checklist'!$B$2:$B$2000,"yyyy-mm-dd")=TEXT(($B$4+13),"yyyy-mm-dd")))&amp;" ESC",SUMPRODUCT(('Daily Checklist'!$D$2:$D$2000=$A24)*(TEXT('Daily Checklist'!$B$2:$B$2000,"yyyy-mm-dd")=TEXT(($B$4+13),"yyyy-mm-dd"))*('Daily Checklist'!$F$2:$F$2000="Done"))&amp;"/"&amp;SUMPRODUCT(('Daily Checklist'!$D$2:$D$2000=$A24)*(TEXT('Daily Checklist'!$B$2:$B$2000,"yyyy-mm-dd")=TEXT(($B$4+13),"yyyy-mm-dd"))))))</f>
        <v/>
      </c>
      <c r="P24" s="25" t="str">
        <f aca="false">IF($A24="","",IF(SUMPRODUCT(('Daily Checklist'!$D$2:$D$2000=$A24)*(TEXT('Daily Checklist'!$B$2:$B$2000,"yyyy-mm-dd")=TEXT(($B$4+14),"yyyy-mm-dd")))=0,"-",IF(SUMPRODUCT(('Daily Checklist'!$D$2:$D$2000=$A24)*(TEXT('Daily Checklist'!$B$2:$B$2000,"yyyy-mm-dd")=TEXT(($B$4+14),"yyyy-mm-dd"))*('Daily Checklist'!$L$2:$L$2000="Y"))&gt;0,SUMPRODUCT(('Daily Checklist'!$D$2:$D$2000=$A24)*(TEXT('Daily Checklist'!$B$2:$B$2000,"yyyy-mm-dd")=TEXT(($B$4+14),"yyyy-mm-dd"))*('Daily Checklist'!$F$2:$F$2000="Done"))&amp;"/"&amp;SUMPRODUCT(('Daily Checklist'!$D$2:$D$2000=$A24)*(TEXT('Daily Checklist'!$B$2:$B$2000,"yyyy-mm-dd")=TEXT(($B$4+14),"yyyy-mm-dd")))&amp;" ESC",SUMPRODUCT(('Daily Checklist'!$D$2:$D$2000=$A24)*(TEXT('Daily Checklist'!$B$2:$B$2000,"yyyy-mm-dd")=TEXT(($B$4+14),"yyyy-mm-dd"))*('Daily Checklist'!$F$2:$F$2000="Done"))&amp;"/"&amp;SUMPRODUCT(('Daily Checklist'!$D$2:$D$2000=$A24)*(TEXT('Daily Checklist'!$B$2:$B$2000,"yyyy-mm-dd")=TEXT(($B$4+14),"yyyy-mm-dd"))))))</f>
        <v/>
      </c>
      <c r="Q24" s="25" t="str">
        <f aca="false">IF($A24="","",IF(SUMPRODUCT(('Daily Checklist'!$D$2:$D$2000=$A24)*(TEXT('Daily Checklist'!$B$2:$B$2000,"yyyy-mm-dd")=TEXT(($B$4+15),"yyyy-mm-dd")))=0,"-",IF(SUMPRODUCT(('Daily Checklist'!$D$2:$D$2000=$A24)*(TEXT('Daily Checklist'!$B$2:$B$2000,"yyyy-mm-dd")=TEXT(($B$4+15),"yyyy-mm-dd"))*('Daily Checklist'!$L$2:$L$2000="Y"))&gt;0,SUMPRODUCT(('Daily Checklist'!$D$2:$D$2000=$A24)*(TEXT('Daily Checklist'!$B$2:$B$2000,"yyyy-mm-dd")=TEXT(($B$4+15),"yyyy-mm-dd"))*('Daily Checklist'!$F$2:$F$2000="Done"))&amp;"/"&amp;SUMPRODUCT(('Daily Checklist'!$D$2:$D$2000=$A24)*(TEXT('Daily Checklist'!$B$2:$B$2000,"yyyy-mm-dd")=TEXT(($B$4+15),"yyyy-mm-dd")))&amp;" ESC",SUMPRODUCT(('Daily Checklist'!$D$2:$D$2000=$A24)*(TEXT('Daily Checklist'!$B$2:$B$2000,"yyyy-mm-dd")=TEXT(($B$4+15),"yyyy-mm-dd"))*('Daily Checklist'!$F$2:$F$2000="Done"))&amp;"/"&amp;SUMPRODUCT(('Daily Checklist'!$D$2:$D$2000=$A24)*(TEXT('Daily Checklist'!$B$2:$B$2000,"yyyy-mm-dd")=TEXT(($B$4+15),"yyyy-mm-dd"))))))</f>
        <v/>
      </c>
      <c r="R24" s="25" t="str">
        <f aca="false">IF($A24="","",IF(SUMPRODUCT(('Daily Checklist'!$D$2:$D$2000=$A24)*(TEXT('Daily Checklist'!$B$2:$B$2000,"yyyy-mm-dd")=TEXT(($B$4+16),"yyyy-mm-dd")))=0,"-",IF(SUMPRODUCT(('Daily Checklist'!$D$2:$D$2000=$A24)*(TEXT('Daily Checklist'!$B$2:$B$2000,"yyyy-mm-dd")=TEXT(($B$4+16),"yyyy-mm-dd"))*('Daily Checklist'!$L$2:$L$2000="Y"))&gt;0,SUMPRODUCT(('Daily Checklist'!$D$2:$D$2000=$A24)*(TEXT('Daily Checklist'!$B$2:$B$2000,"yyyy-mm-dd")=TEXT(($B$4+16),"yyyy-mm-dd"))*('Daily Checklist'!$F$2:$F$2000="Done"))&amp;"/"&amp;SUMPRODUCT(('Daily Checklist'!$D$2:$D$2000=$A24)*(TEXT('Daily Checklist'!$B$2:$B$2000,"yyyy-mm-dd")=TEXT(($B$4+16),"yyyy-mm-dd")))&amp;" ESC",SUMPRODUCT(('Daily Checklist'!$D$2:$D$2000=$A24)*(TEXT('Daily Checklist'!$B$2:$B$2000,"yyyy-mm-dd")=TEXT(($B$4+16),"yyyy-mm-dd"))*('Daily Checklist'!$F$2:$F$2000="Done"))&amp;"/"&amp;SUMPRODUCT(('Daily Checklist'!$D$2:$D$2000=$A24)*(TEXT('Daily Checklist'!$B$2:$B$2000,"yyyy-mm-dd")=TEXT(($B$4+16),"yyyy-mm-dd"))))))</f>
        <v/>
      </c>
      <c r="S24" s="25" t="str">
        <f aca="false">IF($A24="","",IF(SUMPRODUCT(('Daily Checklist'!$D$2:$D$2000=$A24)*(TEXT('Daily Checklist'!$B$2:$B$2000,"yyyy-mm-dd")=TEXT(($B$4+17),"yyyy-mm-dd")))=0,"-",IF(SUMPRODUCT(('Daily Checklist'!$D$2:$D$2000=$A24)*(TEXT('Daily Checklist'!$B$2:$B$2000,"yyyy-mm-dd")=TEXT(($B$4+17),"yyyy-mm-dd"))*('Daily Checklist'!$L$2:$L$2000="Y"))&gt;0,SUMPRODUCT(('Daily Checklist'!$D$2:$D$2000=$A24)*(TEXT('Daily Checklist'!$B$2:$B$2000,"yyyy-mm-dd")=TEXT(($B$4+17),"yyyy-mm-dd"))*('Daily Checklist'!$F$2:$F$2000="Done"))&amp;"/"&amp;SUMPRODUCT(('Daily Checklist'!$D$2:$D$2000=$A24)*(TEXT('Daily Checklist'!$B$2:$B$2000,"yyyy-mm-dd")=TEXT(($B$4+17),"yyyy-mm-dd")))&amp;" ESC",SUMPRODUCT(('Daily Checklist'!$D$2:$D$2000=$A24)*(TEXT('Daily Checklist'!$B$2:$B$2000,"yyyy-mm-dd")=TEXT(($B$4+17),"yyyy-mm-dd"))*('Daily Checklist'!$F$2:$F$2000="Done"))&amp;"/"&amp;SUMPRODUCT(('Daily Checklist'!$D$2:$D$2000=$A24)*(TEXT('Daily Checklist'!$B$2:$B$2000,"yyyy-mm-dd")=TEXT(($B$4+17),"yyyy-mm-dd"))))))</f>
        <v/>
      </c>
      <c r="T24" s="25" t="str">
        <f aca="false">IF($A24="","",IF(SUMPRODUCT(('Daily Checklist'!$D$2:$D$2000=$A24)*(TEXT('Daily Checklist'!$B$2:$B$2000,"yyyy-mm-dd")=TEXT(($B$4+18),"yyyy-mm-dd")))=0,"-",IF(SUMPRODUCT(('Daily Checklist'!$D$2:$D$2000=$A24)*(TEXT('Daily Checklist'!$B$2:$B$2000,"yyyy-mm-dd")=TEXT(($B$4+18),"yyyy-mm-dd"))*('Daily Checklist'!$L$2:$L$2000="Y"))&gt;0,SUMPRODUCT(('Daily Checklist'!$D$2:$D$2000=$A24)*(TEXT('Daily Checklist'!$B$2:$B$2000,"yyyy-mm-dd")=TEXT(($B$4+18),"yyyy-mm-dd"))*('Daily Checklist'!$F$2:$F$2000="Done"))&amp;"/"&amp;SUMPRODUCT(('Daily Checklist'!$D$2:$D$2000=$A24)*(TEXT('Daily Checklist'!$B$2:$B$2000,"yyyy-mm-dd")=TEXT(($B$4+18),"yyyy-mm-dd")))&amp;" ESC",SUMPRODUCT(('Daily Checklist'!$D$2:$D$2000=$A24)*(TEXT('Daily Checklist'!$B$2:$B$2000,"yyyy-mm-dd")=TEXT(($B$4+18),"yyyy-mm-dd"))*('Daily Checklist'!$F$2:$F$2000="Done"))&amp;"/"&amp;SUMPRODUCT(('Daily Checklist'!$D$2:$D$2000=$A24)*(TEXT('Daily Checklist'!$B$2:$B$2000,"yyyy-mm-dd")=TEXT(($B$4+18),"yyyy-mm-dd"))))))</f>
        <v/>
      </c>
      <c r="U24" s="25" t="str">
        <f aca="false">IF($A24="","",IF(SUMPRODUCT(('Daily Checklist'!$D$2:$D$2000=$A24)*(TEXT('Daily Checklist'!$B$2:$B$2000,"yyyy-mm-dd")=TEXT(($B$4+19),"yyyy-mm-dd")))=0,"-",IF(SUMPRODUCT(('Daily Checklist'!$D$2:$D$2000=$A24)*(TEXT('Daily Checklist'!$B$2:$B$2000,"yyyy-mm-dd")=TEXT(($B$4+19),"yyyy-mm-dd"))*('Daily Checklist'!$L$2:$L$2000="Y"))&gt;0,SUMPRODUCT(('Daily Checklist'!$D$2:$D$2000=$A24)*(TEXT('Daily Checklist'!$B$2:$B$2000,"yyyy-mm-dd")=TEXT(($B$4+19),"yyyy-mm-dd"))*('Daily Checklist'!$F$2:$F$2000="Done"))&amp;"/"&amp;SUMPRODUCT(('Daily Checklist'!$D$2:$D$2000=$A24)*(TEXT('Daily Checklist'!$B$2:$B$2000,"yyyy-mm-dd")=TEXT(($B$4+19),"yyyy-mm-dd")))&amp;" ESC",SUMPRODUCT(('Daily Checklist'!$D$2:$D$2000=$A24)*(TEXT('Daily Checklist'!$B$2:$B$2000,"yyyy-mm-dd")=TEXT(($B$4+19),"yyyy-mm-dd"))*('Daily Checklist'!$F$2:$F$2000="Done"))&amp;"/"&amp;SUMPRODUCT(('Daily Checklist'!$D$2:$D$2000=$A24)*(TEXT('Daily Checklist'!$B$2:$B$2000,"yyyy-mm-dd")=TEXT(($B$4+19),"yyyy-mm-dd"))))))</f>
        <v/>
      </c>
      <c r="V24" s="25" t="str">
        <f aca="false">IF($A24="","",IF(SUMPRODUCT(('Daily Checklist'!$D$2:$D$2000=$A24)*(TEXT('Daily Checklist'!$B$2:$B$2000,"yyyy-mm-dd")=TEXT(($B$4+20),"yyyy-mm-dd")))=0,"-",IF(SUMPRODUCT(('Daily Checklist'!$D$2:$D$2000=$A24)*(TEXT('Daily Checklist'!$B$2:$B$2000,"yyyy-mm-dd")=TEXT(($B$4+20),"yyyy-mm-dd"))*('Daily Checklist'!$L$2:$L$2000="Y"))&gt;0,SUMPRODUCT(('Daily Checklist'!$D$2:$D$2000=$A24)*(TEXT('Daily Checklist'!$B$2:$B$2000,"yyyy-mm-dd")=TEXT(($B$4+20),"yyyy-mm-dd"))*('Daily Checklist'!$F$2:$F$2000="Done"))&amp;"/"&amp;SUMPRODUCT(('Daily Checklist'!$D$2:$D$2000=$A24)*(TEXT('Daily Checklist'!$B$2:$B$2000,"yyyy-mm-dd")=TEXT(($B$4+20),"yyyy-mm-dd")))&amp;" ESC",SUMPRODUCT(('Daily Checklist'!$D$2:$D$2000=$A24)*(TEXT('Daily Checklist'!$B$2:$B$2000,"yyyy-mm-dd")=TEXT(($B$4+20),"yyyy-mm-dd"))*('Daily Checklist'!$F$2:$F$2000="Done"))&amp;"/"&amp;SUMPRODUCT(('Daily Checklist'!$D$2:$D$2000=$A24)*(TEXT('Daily Checklist'!$B$2:$B$2000,"yyyy-mm-dd")=TEXT(($B$4+20),"yyyy-mm-dd"))))))</f>
        <v/>
      </c>
      <c r="W24" s="25" t="str">
        <f aca="false">IF($A24="","",IF(SUMPRODUCT(('Daily Checklist'!$D$2:$D$2000=$A24)*(TEXT('Daily Checklist'!$B$2:$B$2000,"yyyy-mm-dd")=TEXT(($B$4+21),"yyyy-mm-dd")))=0,"-",IF(SUMPRODUCT(('Daily Checklist'!$D$2:$D$2000=$A24)*(TEXT('Daily Checklist'!$B$2:$B$2000,"yyyy-mm-dd")=TEXT(($B$4+21),"yyyy-mm-dd"))*('Daily Checklist'!$L$2:$L$2000="Y"))&gt;0,SUMPRODUCT(('Daily Checklist'!$D$2:$D$2000=$A24)*(TEXT('Daily Checklist'!$B$2:$B$2000,"yyyy-mm-dd")=TEXT(($B$4+21),"yyyy-mm-dd"))*('Daily Checklist'!$F$2:$F$2000="Done"))&amp;"/"&amp;SUMPRODUCT(('Daily Checklist'!$D$2:$D$2000=$A24)*(TEXT('Daily Checklist'!$B$2:$B$2000,"yyyy-mm-dd")=TEXT(($B$4+21),"yyyy-mm-dd")))&amp;" ESC",SUMPRODUCT(('Daily Checklist'!$D$2:$D$2000=$A24)*(TEXT('Daily Checklist'!$B$2:$B$2000,"yyyy-mm-dd")=TEXT(($B$4+21),"yyyy-mm-dd"))*('Daily Checklist'!$F$2:$F$2000="Done"))&amp;"/"&amp;SUMPRODUCT(('Daily Checklist'!$D$2:$D$2000=$A24)*(TEXT('Daily Checklist'!$B$2:$B$2000,"yyyy-mm-dd")=TEXT(($B$4+21),"yyyy-mm-dd"))))))</f>
        <v/>
      </c>
      <c r="X24" s="25" t="str">
        <f aca="false">IF($A24="","",IF(SUMPRODUCT(('Daily Checklist'!$D$2:$D$2000=$A24)*(TEXT('Daily Checklist'!$B$2:$B$2000,"yyyy-mm-dd")=TEXT(($B$4+22),"yyyy-mm-dd")))=0,"-",IF(SUMPRODUCT(('Daily Checklist'!$D$2:$D$2000=$A24)*(TEXT('Daily Checklist'!$B$2:$B$2000,"yyyy-mm-dd")=TEXT(($B$4+22),"yyyy-mm-dd"))*('Daily Checklist'!$L$2:$L$2000="Y"))&gt;0,SUMPRODUCT(('Daily Checklist'!$D$2:$D$2000=$A24)*(TEXT('Daily Checklist'!$B$2:$B$2000,"yyyy-mm-dd")=TEXT(($B$4+22),"yyyy-mm-dd"))*('Daily Checklist'!$F$2:$F$2000="Done"))&amp;"/"&amp;SUMPRODUCT(('Daily Checklist'!$D$2:$D$2000=$A24)*(TEXT('Daily Checklist'!$B$2:$B$2000,"yyyy-mm-dd")=TEXT(($B$4+22),"yyyy-mm-dd")))&amp;" ESC",SUMPRODUCT(('Daily Checklist'!$D$2:$D$2000=$A24)*(TEXT('Daily Checklist'!$B$2:$B$2000,"yyyy-mm-dd")=TEXT(($B$4+22),"yyyy-mm-dd"))*('Daily Checklist'!$F$2:$F$2000="Done"))&amp;"/"&amp;SUMPRODUCT(('Daily Checklist'!$D$2:$D$2000=$A24)*(TEXT('Daily Checklist'!$B$2:$B$2000,"yyyy-mm-dd")=TEXT(($B$4+22),"yyyy-mm-dd"))))))</f>
        <v/>
      </c>
      <c r="Y24" s="25" t="str">
        <f aca="false">IF($A24="","",IF(SUMPRODUCT(('Daily Checklist'!$D$2:$D$2000=$A24)*(TEXT('Daily Checklist'!$B$2:$B$2000,"yyyy-mm-dd")=TEXT(($B$4+23),"yyyy-mm-dd")))=0,"-",IF(SUMPRODUCT(('Daily Checklist'!$D$2:$D$2000=$A24)*(TEXT('Daily Checklist'!$B$2:$B$2000,"yyyy-mm-dd")=TEXT(($B$4+23),"yyyy-mm-dd"))*('Daily Checklist'!$L$2:$L$2000="Y"))&gt;0,SUMPRODUCT(('Daily Checklist'!$D$2:$D$2000=$A24)*(TEXT('Daily Checklist'!$B$2:$B$2000,"yyyy-mm-dd")=TEXT(($B$4+23),"yyyy-mm-dd"))*('Daily Checklist'!$F$2:$F$2000="Done"))&amp;"/"&amp;SUMPRODUCT(('Daily Checklist'!$D$2:$D$2000=$A24)*(TEXT('Daily Checklist'!$B$2:$B$2000,"yyyy-mm-dd")=TEXT(($B$4+23),"yyyy-mm-dd")))&amp;" ESC",SUMPRODUCT(('Daily Checklist'!$D$2:$D$2000=$A24)*(TEXT('Daily Checklist'!$B$2:$B$2000,"yyyy-mm-dd")=TEXT(($B$4+23),"yyyy-mm-dd"))*('Daily Checklist'!$F$2:$F$2000="Done"))&amp;"/"&amp;SUMPRODUCT(('Daily Checklist'!$D$2:$D$2000=$A24)*(TEXT('Daily Checklist'!$B$2:$B$2000,"yyyy-mm-dd")=TEXT(($B$4+23),"yyyy-mm-dd"))))))</f>
        <v/>
      </c>
      <c r="Z24" s="25" t="str">
        <f aca="false">IF($A24="","",IF(SUMPRODUCT(('Daily Checklist'!$D$2:$D$2000=$A24)*(TEXT('Daily Checklist'!$B$2:$B$2000,"yyyy-mm-dd")=TEXT(($B$4+24),"yyyy-mm-dd")))=0,"-",IF(SUMPRODUCT(('Daily Checklist'!$D$2:$D$2000=$A24)*(TEXT('Daily Checklist'!$B$2:$B$2000,"yyyy-mm-dd")=TEXT(($B$4+24),"yyyy-mm-dd"))*('Daily Checklist'!$L$2:$L$2000="Y"))&gt;0,SUMPRODUCT(('Daily Checklist'!$D$2:$D$2000=$A24)*(TEXT('Daily Checklist'!$B$2:$B$2000,"yyyy-mm-dd")=TEXT(($B$4+24),"yyyy-mm-dd"))*('Daily Checklist'!$F$2:$F$2000="Done"))&amp;"/"&amp;SUMPRODUCT(('Daily Checklist'!$D$2:$D$2000=$A24)*(TEXT('Daily Checklist'!$B$2:$B$2000,"yyyy-mm-dd")=TEXT(($B$4+24),"yyyy-mm-dd")))&amp;" ESC",SUMPRODUCT(('Daily Checklist'!$D$2:$D$2000=$A24)*(TEXT('Daily Checklist'!$B$2:$B$2000,"yyyy-mm-dd")=TEXT(($B$4+24),"yyyy-mm-dd"))*('Daily Checklist'!$F$2:$F$2000="Done"))&amp;"/"&amp;SUMPRODUCT(('Daily Checklist'!$D$2:$D$2000=$A24)*(TEXT('Daily Checklist'!$B$2:$B$2000,"yyyy-mm-dd")=TEXT(($B$4+24),"yyyy-mm-dd"))))))</f>
        <v/>
      </c>
      <c r="AA24" s="25" t="str">
        <f aca="false">IF($A24="","",IF(SUMPRODUCT(('Daily Checklist'!$D$2:$D$2000=$A24)*(TEXT('Daily Checklist'!$B$2:$B$2000,"yyyy-mm-dd")=TEXT(($B$4+25),"yyyy-mm-dd")))=0,"-",IF(SUMPRODUCT(('Daily Checklist'!$D$2:$D$2000=$A24)*(TEXT('Daily Checklist'!$B$2:$B$2000,"yyyy-mm-dd")=TEXT(($B$4+25),"yyyy-mm-dd"))*('Daily Checklist'!$L$2:$L$2000="Y"))&gt;0,SUMPRODUCT(('Daily Checklist'!$D$2:$D$2000=$A24)*(TEXT('Daily Checklist'!$B$2:$B$2000,"yyyy-mm-dd")=TEXT(($B$4+25),"yyyy-mm-dd"))*('Daily Checklist'!$F$2:$F$2000="Done"))&amp;"/"&amp;SUMPRODUCT(('Daily Checklist'!$D$2:$D$2000=$A24)*(TEXT('Daily Checklist'!$B$2:$B$2000,"yyyy-mm-dd")=TEXT(($B$4+25),"yyyy-mm-dd")))&amp;" ESC",SUMPRODUCT(('Daily Checklist'!$D$2:$D$2000=$A24)*(TEXT('Daily Checklist'!$B$2:$B$2000,"yyyy-mm-dd")=TEXT(($B$4+25),"yyyy-mm-dd"))*('Daily Checklist'!$F$2:$F$2000="Done"))&amp;"/"&amp;SUMPRODUCT(('Daily Checklist'!$D$2:$D$2000=$A24)*(TEXT('Daily Checklist'!$B$2:$B$2000,"yyyy-mm-dd")=TEXT(($B$4+25),"yyyy-mm-dd"))))))</f>
        <v/>
      </c>
      <c r="AB24" s="25" t="str">
        <f aca="false">IF($A24="","",IF(SUMPRODUCT(('Daily Checklist'!$D$2:$D$2000=$A24)*(TEXT('Daily Checklist'!$B$2:$B$2000,"yyyy-mm-dd")=TEXT(($B$4+26),"yyyy-mm-dd")))=0,"-",IF(SUMPRODUCT(('Daily Checklist'!$D$2:$D$2000=$A24)*(TEXT('Daily Checklist'!$B$2:$B$2000,"yyyy-mm-dd")=TEXT(($B$4+26),"yyyy-mm-dd"))*('Daily Checklist'!$L$2:$L$2000="Y"))&gt;0,SUMPRODUCT(('Daily Checklist'!$D$2:$D$2000=$A24)*(TEXT('Daily Checklist'!$B$2:$B$2000,"yyyy-mm-dd")=TEXT(($B$4+26),"yyyy-mm-dd"))*('Daily Checklist'!$F$2:$F$2000="Done"))&amp;"/"&amp;SUMPRODUCT(('Daily Checklist'!$D$2:$D$2000=$A24)*(TEXT('Daily Checklist'!$B$2:$B$2000,"yyyy-mm-dd")=TEXT(($B$4+26),"yyyy-mm-dd")))&amp;" ESC",SUMPRODUCT(('Daily Checklist'!$D$2:$D$2000=$A24)*(TEXT('Daily Checklist'!$B$2:$B$2000,"yyyy-mm-dd")=TEXT(($B$4+26),"yyyy-mm-dd"))*('Daily Checklist'!$F$2:$F$2000="Done"))&amp;"/"&amp;SUMPRODUCT(('Daily Checklist'!$D$2:$D$2000=$A24)*(TEXT('Daily Checklist'!$B$2:$B$2000,"yyyy-mm-dd")=TEXT(($B$4+26),"yyyy-mm-dd"))))))</f>
        <v/>
      </c>
      <c r="AC24" s="25" t="str">
        <f aca="false">IF($A24="","",IF(SUMPRODUCT(('Daily Checklist'!$D$2:$D$2000=$A24)*(TEXT('Daily Checklist'!$B$2:$B$2000,"yyyy-mm-dd")=TEXT(($B$4+27),"yyyy-mm-dd")))=0,"-",IF(SUMPRODUCT(('Daily Checklist'!$D$2:$D$2000=$A24)*(TEXT('Daily Checklist'!$B$2:$B$2000,"yyyy-mm-dd")=TEXT(($B$4+27),"yyyy-mm-dd"))*('Daily Checklist'!$L$2:$L$2000="Y"))&gt;0,SUMPRODUCT(('Daily Checklist'!$D$2:$D$2000=$A24)*(TEXT('Daily Checklist'!$B$2:$B$2000,"yyyy-mm-dd")=TEXT(($B$4+27),"yyyy-mm-dd"))*('Daily Checklist'!$F$2:$F$2000="Done"))&amp;"/"&amp;SUMPRODUCT(('Daily Checklist'!$D$2:$D$2000=$A24)*(TEXT('Daily Checklist'!$B$2:$B$2000,"yyyy-mm-dd")=TEXT(($B$4+27),"yyyy-mm-dd")))&amp;" ESC",SUMPRODUCT(('Daily Checklist'!$D$2:$D$2000=$A24)*(TEXT('Daily Checklist'!$B$2:$B$2000,"yyyy-mm-dd")=TEXT(($B$4+27),"yyyy-mm-dd"))*('Daily Checklist'!$F$2:$F$2000="Done"))&amp;"/"&amp;SUMPRODUCT(('Daily Checklist'!$D$2:$D$2000=$A24)*(TEXT('Daily Checklist'!$B$2:$B$2000,"yyyy-mm-dd")=TEXT(($B$4+27),"yyyy-mm-dd"))))))</f>
        <v/>
      </c>
      <c r="AD24" s="25" t="str">
        <f aca="false">IF($A24="","",IF(SUMPRODUCT(('Daily Checklist'!$D$2:$D$2000=$A24)*(TEXT('Daily Checklist'!$B$2:$B$2000,"yyyy-mm-dd")=TEXT(($B$4+28),"yyyy-mm-dd")))=0,"-",IF(SUMPRODUCT(('Daily Checklist'!$D$2:$D$2000=$A24)*(TEXT('Daily Checklist'!$B$2:$B$2000,"yyyy-mm-dd")=TEXT(($B$4+28),"yyyy-mm-dd"))*('Daily Checklist'!$L$2:$L$2000="Y"))&gt;0,SUMPRODUCT(('Daily Checklist'!$D$2:$D$2000=$A24)*(TEXT('Daily Checklist'!$B$2:$B$2000,"yyyy-mm-dd")=TEXT(($B$4+28),"yyyy-mm-dd"))*('Daily Checklist'!$F$2:$F$2000="Done"))&amp;"/"&amp;SUMPRODUCT(('Daily Checklist'!$D$2:$D$2000=$A24)*(TEXT('Daily Checklist'!$B$2:$B$2000,"yyyy-mm-dd")=TEXT(($B$4+28),"yyyy-mm-dd")))&amp;" ESC",SUMPRODUCT(('Daily Checklist'!$D$2:$D$2000=$A24)*(TEXT('Daily Checklist'!$B$2:$B$2000,"yyyy-mm-dd")=TEXT(($B$4+28),"yyyy-mm-dd"))*('Daily Checklist'!$F$2:$F$2000="Done"))&amp;"/"&amp;SUMPRODUCT(('Daily Checklist'!$D$2:$D$2000=$A24)*(TEXT('Daily Checklist'!$B$2:$B$2000,"yyyy-mm-dd")=TEXT(($B$4+28),"yyyy-mm-dd"))))))</f>
        <v/>
      </c>
      <c r="AE24" s="25" t="str">
        <f aca="false">IF($A24="","",IF(SUMPRODUCT(('Daily Checklist'!$D$2:$D$2000=$A24)*(TEXT('Daily Checklist'!$B$2:$B$2000,"yyyy-mm-dd")=TEXT(($B$4+29),"yyyy-mm-dd")))=0,"-",IF(SUMPRODUCT(('Daily Checklist'!$D$2:$D$2000=$A24)*(TEXT('Daily Checklist'!$B$2:$B$2000,"yyyy-mm-dd")=TEXT(($B$4+29),"yyyy-mm-dd"))*('Daily Checklist'!$L$2:$L$2000="Y"))&gt;0,SUMPRODUCT(('Daily Checklist'!$D$2:$D$2000=$A24)*(TEXT('Daily Checklist'!$B$2:$B$2000,"yyyy-mm-dd")=TEXT(($B$4+29),"yyyy-mm-dd"))*('Daily Checklist'!$F$2:$F$2000="Done"))&amp;"/"&amp;SUMPRODUCT(('Daily Checklist'!$D$2:$D$2000=$A24)*(TEXT('Daily Checklist'!$B$2:$B$2000,"yyyy-mm-dd")=TEXT(($B$4+29),"yyyy-mm-dd")))&amp;" ESC",SUMPRODUCT(('Daily Checklist'!$D$2:$D$2000=$A24)*(TEXT('Daily Checklist'!$B$2:$B$2000,"yyyy-mm-dd")=TEXT(($B$4+29),"yyyy-mm-dd"))*('Daily Checklist'!$F$2:$F$2000="Done"))&amp;"/"&amp;SUMPRODUCT(('Daily Checklist'!$D$2:$D$2000=$A24)*(TEXT('Daily Checklist'!$B$2:$B$2000,"yyyy-mm-dd")=TEXT(($B$4+29),"yyyy-mm-dd"))))))</f>
        <v/>
      </c>
      <c r="AF24" s="25" t="str">
        <f aca="false">IF($A24="","",IF(SUMPRODUCT(('Daily Checklist'!$D$2:$D$2000=$A24)*(TEXT('Daily Checklist'!$B$2:$B$2000,"yyyy-mm-dd")=TEXT(($B$4+30),"yyyy-mm-dd")))=0,"-",IF(SUMPRODUCT(('Daily Checklist'!$D$2:$D$2000=$A24)*(TEXT('Daily Checklist'!$B$2:$B$2000,"yyyy-mm-dd")=TEXT(($B$4+30),"yyyy-mm-dd"))*('Daily Checklist'!$L$2:$L$2000="Y"))&gt;0,SUMPRODUCT(('Daily Checklist'!$D$2:$D$2000=$A24)*(TEXT('Daily Checklist'!$B$2:$B$2000,"yyyy-mm-dd")=TEXT(($B$4+30),"yyyy-mm-dd"))*('Daily Checklist'!$F$2:$F$2000="Done"))&amp;"/"&amp;SUMPRODUCT(('Daily Checklist'!$D$2:$D$2000=$A24)*(TEXT('Daily Checklist'!$B$2:$B$2000,"yyyy-mm-dd")=TEXT(($B$4+30),"yyyy-mm-dd")))&amp;" ESC",SUMPRODUCT(('Daily Checklist'!$D$2:$D$2000=$A24)*(TEXT('Daily Checklist'!$B$2:$B$2000,"yyyy-mm-dd")=TEXT(($B$4+30),"yyyy-mm-dd"))*('Daily Checklist'!$F$2:$F$2000="Done"))&amp;"/"&amp;SUMPRODUCT(('Daily Checklist'!$D$2:$D$2000=$A24)*(TEXT('Daily Checklist'!$B$2:$B$2000,"yyyy-mm-dd")=TEXT(($B$4+30),"yyyy-mm-dd"))))))</f>
        <v/>
      </c>
    </row>
    <row r="25" customFormat="false" ht="15" hidden="false" customHeight="true" outlineLevel="0" collapsed="false">
      <c r="A25" s="24" t="str">
        <f aca="false">IFERROR(IF(Employees!A20="","",Employees!A20),"")</f>
        <v/>
      </c>
      <c r="B25" s="25" t="str">
        <f aca="false">IF($A25="","",IF(SUMPRODUCT(('Daily Checklist'!$D$2:$D$2000=$A25)*(TEXT('Daily Checklist'!$B$2:$B$2000,"yyyy-mm-dd")=TEXT(($B$4+0),"yyyy-mm-dd")))=0,"-",IF(SUMPRODUCT(('Daily Checklist'!$D$2:$D$2000=$A25)*(TEXT('Daily Checklist'!$B$2:$B$2000,"yyyy-mm-dd")=TEXT(($B$4+0),"yyyy-mm-dd"))*('Daily Checklist'!$L$2:$L$2000="Y"))&gt;0,SUMPRODUCT(('Daily Checklist'!$D$2:$D$2000=$A25)*(TEXT('Daily Checklist'!$B$2:$B$2000,"yyyy-mm-dd")=TEXT(($B$4+0),"yyyy-mm-dd"))*('Daily Checklist'!$F$2:$F$2000="Done"))&amp;"/"&amp;SUMPRODUCT(('Daily Checklist'!$D$2:$D$2000=$A25)*(TEXT('Daily Checklist'!$B$2:$B$2000,"yyyy-mm-dd")=TEXT(($B$4+0),"yyyy-mm-dd")))&amp;" ESC",SUMPRODUCT(('Daily Checklist'!$D$2:$D$2000=$A25)*(TEXT('Daily Checklist'!$B$2:$B$2000,"yyyy-mm-dd")=TEXT(($B$4+0),"yyyy-mm-dd"))*('Daily Checklist'!$F$2:$F$2000="Done"))&amp;"/"&amp;SUMPRODUCT(('Daily Checklist'!$D$2:$D$2000=$A25)*(TEXT('Daily Checklist'!$B$2:$B$2000,"yyyy-mm-dd")=TEXT(($B$4+0),"yyyy-mm-dd"))))))</f>
        <v/>
      </c>
      <c r="C25" s="25" t="str">
        <f aca="false">IF($A25="","",IF(SUMPRODUCT(('Daily Checklist'!$D$2:$D$2000=$A25)*(TEXT('Daily Checklist'!$B$2:$B$2000,"yyyy-mm-dd")=TEXT(($B$4+1),"yyyy-mm-dd")))=0,"-",IF(SUMPRODUCT(('Daily Checklist'!$D$2:$D$2000=$A25)*(TEXT('Daily Checklist'!$B$2:$B$2000,"yyyy-mm-dd")=TEXT(($B$4+1),"yyyy-mm-dd"))*('Daily Checklist'!$L$2:$L$2000="Y"))&gt;0,SUMPRODUCT(('Daily Checklist'!$D$2:$D$2000=$A25)*(TEXT('Daily Checklist'!$B$2:$B$2000,"yyyy-mm-dd")=TEXT(($B$4+1),"yyyy-mm-dd"))*('Daily Checklist'!$F$2:$F$2000="Done"))&amp;"/"&amp;SUMPRODUCT(('Daily Checklist'!$D$2:$D$2000=$A25)*(TEXT('Daily Checklist'!$B$2:$B$2000,"yyyy-mm-dd")=TEXT(($B$4+1),"yyyy-mm-dd")))&amp;" ESC",SUMPRODUCT(('Daily Checklist'!$D$2:$D$2000=$A25)*(TEXT('Daily Checklist'!$B$2:$B$2000,"yyyy-mm-dd")=TEXT(($B$4+1),"yyyy-mm-dd"))*('Daily Checklist'!$F$2:$F$2000="Done"))&amp;"/"&amp;SUMPRODUCT(('Daily Checklist'!$D$2:$D$2000=$A25)*(TEXT('Daily Checklist'!$B$2:$B$2000,"yyyy-mm-dd")=TEXT(($B$4+1),"yyyy-mm-dd"))))))</f>
        <v/>
      </c>
      <c r="D25" s="25" t="str">
        <f aca="false">IF($A25="","",IF(SUMPRODUCT(('Daily Checklist'!$D$2:$D$2000=$A25)*(TEXT('Daily Checklist'!$B$2:$B$2000,"yyyy-mm-dd")=TEXT(($B$4+2),"yyyy-mm-dd")))=0,"-",IF(SUMPRODUCT(('Daily Checklist'!$D$2:$D$2000=$A25)*(TEXT('Daily Checklist'!$B$2:$B$2000,"yyyy-mm-dd")=TEXT(($B$4+2),"yyyy-mm-dd"))*('Daily Checklist'!$L$2:$L$2000="Y"))&gt;0,SUMPRODUCT(('Daily Checklist'!$D$2:$D$2000=$A25)*(TEXT('Daily Checklist'!$B$2:$B$2000,"yyyy-mm-dd")=TEXT(($B$4+2),"yyyy-mm-dd"))*('Daily Checklist'!$F$2:$F$2000="Done"))&amp;"/"&amp;SUMPRODUCT(('Daily Checklist'!$D$2:$D$2000=$A25)*(TEXT('Daily Checklist'!$B$2:$B$2000,"yyyy-mm-dd")=TEXT(($B$4+2),"yyyy-mm-dd")))&amp;" ESC",SUMPRODUCT(('Daily Checklist'!$D$2:$D$2000=$A25)*(TEXT('Daily Checklist'!$B$2:$B$2000,"yyyy-mm-dd")=TEXT(($B$4+2),"yyyy-mm-dd"))*('Daily Checklist'!$F$2:$F$2000="Done"))&amp;"/"&amp;SUMPRODUCT(('Daily Checklist'!$D$2:$D$2000=$A25)*(TEXT('Daily Checklist'!$B$2:$B$2000,"yyyy-mm-dd")=TEXT(($B$4+2),"yyyy-mm-dd"))))))</f>
        <v/>
      </c>
      <c r="E25" s="25" t="str">
        <f aca="false">IF($A25="","",IF(SUMPRODUCT(('Daily Checklist'!$D$2:$D$2000=$A25)*(TEXT('Daily Checklist'!$B$2:$B$2000,"yyyy-mm-dd")=TEXT(($B$4+3),"yyyy-mm-dd")))=0,"-",IF(SUMPRODUCT(('Daily Checklist'!$D$2:$D$2000=$A25)*(TEXT('Daily Checklist'!$B$2:$B$2000,"yyyy-mm-dd")=TEXT(($B$4+3),"yyyy-mm-dd"))*('Daily Checklist'!$L$2:$L$2000="Y"))&gt;0,SUMPRODUCT(('Daily Checklist'!$D$2:$D$2000=$A25)*(TEXT('Daily Checklist'!$B$2:$B$2000,"yyyy-mm-dd")=TEXT(($B$4+3),"yyyy-mm-dd"))*('Daily Checklist'!$F$2:$F$2000="Done"))&amp;"/"&amp;SUMPRODUCT(('Daily Checklist'!$D$2:$D$2000=$A25)*(TEXT('Daily Checklist'!$B$2:$B$2000,"yyyy-mm-dd")=TEXT(($B$4+3),"yyyy-mm-dd")))&amp;" ESC",SUMPRODUCT(('Daily Checklist'!$D$2:$D$2000=$A25)*(TEXT('Daily Checklist'!$B$2:$B$2000,"yyyy-mm-dd")=TEXT(($B$4+3),"yyyy-mm-dd"))*('Daily Checklist'!$F$2:$F$2000="Done"))&amp;"/"&amp;SUMPRODUCT(('Daily Checklist'!$D$2:$D$2000=$A25)*(TEXT('Daily Checklist'!$B$2:$B$2000,"yyyy-mm-dd")=TEXT(($B$4+3),"yyyy-mm-dd"))))))</f>
        <v/>
      </c>
      <c r="F25" s="25" t="str">
        <f aca="false">IF($A25="","",IF(SUMPRODUCT(('Daily Checklist'!$D$2:$D$2000=$A25)*(TEXT('Daily Checklist'!$B$2:$B$2000,"yyyy-mm-dd")=TEXT(($B$4+4),"yyyy-mm-dd")))=0,"-",IF(SUMPRODUCT(('Daily Checklist'!$D$2:$D$2000=$A25)*(TEXT('Daily Checklist'!$B$2:$B$2000,"yyyy-mm-dd")=TEXT(($B$4+4),"yyyy-mm-dd"))*('Daily Checklist'!$L$2:$L$2000="Y"))&gt;0,SUMPRODUCT(('Daily Checklist'!$D$2:$D$2000=$A25)*(TEXT('Daily Checklist'!$B$2:$B$2000,"yyyy-mm-dd")=TEXT(($B$4+4),"yyyy-mm-dd"))*('Daily Checklist'!$F$2:$F$2000="Done"))&amp;"/"&amp;SUMPRODUCT(('Daily Checklist'!$D$2:$D$2000=$A25)*(TEXT('Daily Checklist'!$B$2:$B$2000,"yyyy-mm-dd")=TEXT(($B$4+4),"yyyy-mm-dd")))&amp;" ESC",SUMPRODUCT(('Daily Checklist'!$D$2:$D$2000=$A25)*(TEXT('Daily Checklist'!$B$2:$B$2000,"yyyy-mm-dd")=TEXT(($B$4+4),"yyyy-mm-dd"))*('Daily Checklist'!$F$2:$F$2000="Done"))&amp;"/"&amp;SUMPRODUCT(('Daily Checklist'!$D$2:$D$2000=$A25)*(TEXT('Daily Checklist'!$B$2:$B$2000,"yyyy-mm-dd")=TEXT(($B$4+4),"yyyy-mm-dd"))))))</f>
        <v/>
      </c>
      <c r="G25" s="25" t="str">
        <f aca="false">IF($A25="","",IF(SUMPRODUCT(('Daily Checklist'!$D$2:$D$2000=$A25)*(TEXT('Daily Checklist'!$B$2:$B$2000,"yyyy-mm-dd")=TEXT(($B$4+5),"yyyy-mm-dd")))=0,"-",IF(SUMPRODUCT(('Daily Checklist'!$D$2:$D$2000=$A25)*(TEXT('Daily Checklist'!$B$2:$B$2000,"yyyy-mm-dd")=TEXT(($B$4+5),"yyyy-mm-dd"))*('Daily Checklist'!$L$2:$L$2000="Y"))&gt;0,SUMPRODUCT(('Daily Checklist'!$D$2:$D$2000=$A25)*(TEXT('Daily Checklist'!$B$2:$B$2000,"yyyy-mm-dd")=TEXT(($B$4+5),"yyyy-mm-dd"))*('Daily Checklist'!$F$2:$F$2000="Done"))&amp;"/"&amp;SUMPRODUCT(('Daily Checklist'!$D$2:$D$2000=$A25)*(TEXT('Daily Checklist'!$B$2:$B$2000,"yyyy-mm-dd")=TEXT(($B$4+5),"yyyy-mm-dd")))&amp;" ESC",SUMPRODUCT(('Daily Checklist'!$D$2:$D$2000=$A25)*(TEXT('Daily Checklist'!$B$2:$B$2000,"yyyy-mm-dd")=TEXT(($B$4+5),"yyyy-mm-dd"))*('Daily Checklist'!$F$2:$F$2000="Done"))&amp;"/"&amp;SUMPRODUCT(('Daily Checklist'!$D$2:$D$2000=$A25)*(TEXT('Daily Checklist'!$B$2:$B$2000,"yyyy-mm-dd")=TEXT(($B$4+5),"yyyy-mm-dd"))))))</f>
        <v/>
      </c>
      <c r="H25" s="25" t="str">
        <f aca="false">IF($A25="","",IF(SUMPRODUCT(('Daily Checklist'!$D$2:$D$2000=$A25)*(TEXT('Daily Checklist'!$B$2:$B$2000,"yyyy-mm-dd")=TEXT(($B$4+6),"yyyy-mm-dd")))=0,"-",IF(SUMPRODUCT(('Daily Checklist'!$D$2:$D$2000=$A25)*(TEXT('Daily Checklist'!$B$2:$B$2000,"yyyy-mm-dd")=TEXT(($B$4+6),"yyyy-mm-dd"))*('Daily Checklist'!$L$2:$L$2000="Y"))&gt;0,SUMPRODUCT(('Daily Checklist'!$D$2:$D$2000=$A25)*(TEXT('Daily Checklist'!$B$2:$B$2000,"yyyy-mm-dd")=TEXT(($B$4+6),"yyyy-mm-dd"))*('Daily Checklist'!$F$2:$F$2000="Done"))&amp;"/"&amp;SUMPRODUCT(('Daily Checklist'!$D$2:$D$2000=$A25)*(TEXT('Daily Checklist'!$B$2:$B$2000,"yyyy-mm-dd")=TEXT(($B$4+6),"yyyy-mm-dd")))&amp;" ESC",SUMPRODUCT(('Daily Checklist'!$D$2:$D$2000=$A25)*(TEXT('Daily Checklist'!$B$2:$B$2000,"yyyy-mm-dd")=TEXT(($B$4+6),"yyyy-mm-dd"))*('Daily Checklist'!$F$2:$F$2000="Done"))&amp;"/"&amp;SUMPRODUCT(('Daily Checklist'!$D$2:$D$2000=$A25)*(TEXT('Daily Checklist'!$B$2:$B$2000,"yyyy-mm-dd")=TEXT(($B$4+6),"yyyy-mm-dd"))))))</f>
        <v/>
      </c>
      <c r="I25" s="25" t="str">
        <f aca="false">IF($A25="","",IF(SUMPRODUCT(('Daily Checklist'!$D$2:$D$2000=$A25)*(TEXT('Daily Checklist'!$B$2:$B$2000,"yyyy-mm-dd")=TEXT(($B$4+7),"yyyy-mm-dd")))=0,"-",IF(SUMPRODUCT(('Daily Checklist'!$D$2:$D$2000=$A25)*(TEXT('Daily Checklist'!$B$2:$B$2000,"yyyy-mm-dd")=TEXT(($B$4+7),"yyyy-mm-dd"))*('Daily Checklist'!$L$2:$L$2000="Y"))&gt;0,SUMPRODUCT(('Daily Checklist'!$D$2:$D$2000=$A25)*(TEXT('Daily Checklist'!$B$2:$B$2000,"yyyy-mm-dd")=TEXT(($B$4+7),"yyyy-mm-dd"))*('Daily Checklist'!$F$2:$F$2000="Done"))&amp;"/"&amp;SUMPRODUCT(('Daily Checklist'!$D$2:$D$2000=$A25)*(TEXT('Daily Checklist'!$B$2:$B$2000,"yyyy-mm-dd")=TEXT(($B$4+7),"yyyy-mm-dd")))&amp;" ESC",SUMPRODUCT(('Daily Checklist'!$D$2:$D$2000=$A25)*(TEXT('Daily Checklist'!$B$2:$B$2000,"yyyy-mm-dd")=TEXT(($B$4+7),"yyyy-mm-dd"))*('Daily Checklist'!$F$2:$F$2000="Done"))&amp;"/"&amp;SUMPRODUCT(('Daily Checklist'!$D$2:$D$2000=$A25)*(TEXT('Daily Checklist'!$B$2:$B$2000,"yyyy-mm-dd")=TEXT(($B$4+7),"yyyy-mm-dd"))))))</f>
        <v/>
      </c>
      <c r="J25" s="25" t="str">
        <f aca="false">IF($A25="","",IF(SUMPRODUCT(('Daily Checklist'!$D$2:$D$2000=$A25)*(TEXT('Daily Checklist'!$B$2:$B$2000,"yyyy-mm-dd")=TEXT(($B$4+8),"yyyy-mm-dd")))=0,"-",IF(SUMPRODUCT(('Daily Checklist'!$D$2:$D$2000=$A25)*(TEXT('Daily Checklist'!$B$2:$B$2000,"yyyy-mm-dd")=TEXT(($B$4+8),"yyyy-mm-dd"))*('Daily Checklist'!$L$2:$L$2000="Y"))&gt;0,SUMPRODUCT(('Daily Checklist'!$D$2:$D$2000=$A25)*(TEXT('Daily Checklist'!$B$2:$B$2000,"yyyy-mm-dd")=TEXT(($B$4+8),"yyyy-mm-dd"))*('Daily Checklist'!$F$2:$F$2000="Done"))&amp;"/"&amp;SUMPRODUCT(('Daily Checklist'!$D$2:$D$2000=$A25)*(TEXT('Daily Checklist'!$B$2:$B$2000,"yyyy-mm-dd")=TEXT(($B$4+8),"yyyy-mm-dd")))&amp;" ESC",SUMPRODUCT(('Daily Checklist'!$D$2:$D$2000=$A25)*(TEXT('Daily Checklist'!$B$2:$B$2000,"yyyy-mm-dd")=TEXT(($B$4+8),"yyyy-mm-dd"))*('Daily Checklist'!$F$2:$F$2000="Done"))&amp;"/"&amp;SUMPRODUCT(('Daily Checklist'!$D$2:$D$2000=$A25)*(TEXT('Daily Checklist'!$B$2:$B$2000,"yyyy-mm-dd")=TEXT(($B$4+8),"yyyy-mm-dd"))))))</f>
        <v/>
      </c>
      <c r="K25" s="25" t="str">
        <f aca="false">IF($A25="","",IF(SUMPRODUCT(('Daily Checklist'!$D$2:$D$2000=$A25)*(TEXT('Daily Checklist'!$B$2:$B$2000,"yyyy-mm-dd")=TEXT(($B$4+9),"yyyy-mm-dd")))=0,"-",IF(SUMPRODUCT(('Daily Checklist'!$D$2:$D$2000=$A25)*(TEXT('Daily Checklist'!$B$2:$B$2000,"yyyy-mm-dd")=TEXT(($B$4+9),"yyyy-mm-dd"))*('Daily Checklist'!$L$2:$L$2000="Y"))&gt;0,SUMPRODUCT(('Daily Checklist'!$D$2:$D$2000=$A25)*(TEXT('Daily Checklist'!$B$2:$B$2000,"yyyy-mm-dd")=TEXT(($B$4+9),"yyyy-mm-dd"))*('Daily Checklist'!$F$2:$F$2000="Done"))&amp;"/"&amp;SUMPRODUCT(('Daily Checklist'!$D$2:$D$2000=$A25)*(TEXT('Daily Checklist'!$B$2:$B$2000,"yyyy-mm-dd")=TEXT(($B$4+9),"yyyy-mm-dd")))&amp;" ESC",SUMPRODUCT(('Daily Checklist'!$D$2:$D$2000=$A25)*(TEXT('Daily Checklist'!$B$2:$B$2000,"yyyy-mm-dd")=TEXT(($B$4+9),"yyyy-mm-dd"))*('Daily Checklist'!$F$2:$F$2000="Done"))&amp;"/"&amp;SUMPRODUCT(('Daily Checklist'!$D$2:$D$2000=$A25)*(TEXT('Daily Checklist'!$B$2:$B$2000,"yyyy-mm-dd")=TEXT(($B$4+9),"yyyy-mm-dd"))))))</f>
        <v/>
      </c>
      <c r="L25" s="25" t="str">
        <f aca="false">IF($A25="","",IF(SUMPRODUCT(('Daily Checklist'!$D$2:$D$2000=$A25)*(TEXT('Daily Checklist'!$B$2:$B$2000,"yyyy-mm-dd")=TEXT(($B$4+10),"yyyy-mm-dd")))=0,"-",IF(SUMPRODUCT(('Daily Checklist'!$D$2:$D$2000=$A25)*(TEXT('Daily Checklist'!$B$2:$B$2000,"yyyy-mm-dd")=TEXT(($B$4+10),"yyyy-mm-dd"))*('Daily Checklist'!$L$2:$L$2000="Y"))&gt;0,SUMPRODUCT(('Daily Checklist'!$D$2:$D$2000=$A25)*(TEXT('Daily Checklist'!$B$2:$B$2000,"yyyy-mm-dd")=TEXT(($B$4+10),"yyyy-mm-dd"))*('Daily Checklist'!$F$2:$F$2000="Done"))&amp;"/"&amp;SUMPRODUCT(('Daily Checklist'!$D$2:$D$2000=$A25)*(TEXT('Daily Checklist'!$B$2:$B$2000,"yyyy-mm-dd")=TEXT(($B$4+10),"yyyy-mm-dd")))&amp;" ESC",SUMPRODUCT(('Daily Checklist'!$D$2:$D$2000=$A25)*(TEXT('Daily Checklist'!$B$2:$B$2000,"yyyy-mm-dd")=TEXT(($B$4+10),"yyyy-mm-dd"))*('Daily Checklist'!$F$2:$F$2000="Done"))&amp;"/"&amp;SUMPRODUCT(('Daily Checklist'!$D$2:$D$2000=$A25)*(TEXT('Daily Checklist'!$B$2:$B$2000,"yyyy-mm-dd")=TEXT(($B$4+10),"yyyy-mm-dd"))))))</f>
        <v/>
      </c>
      <c r="M25" s="25" t="str">
        <f aca="false">IF($A25="","",IF(SUMPRODUCT(('Daily Checklist'!$D$2:$D$2000=$A25)*(TEXT('Daily Checklist'!$B$2:$B$2000,"yyyy-mm-dd")=TEXT(($B$4+11),"yyyy-mm-dd")))=0,"-",IF(SUMPRODUCT(('Daily Checklist'!$D$2:$D$2000=$A25)*(TEXT('Daily Checklist'!$B$2:$B$2000,"yyyy-mm-dd")=TEXT(($B$4+11),"yyyy-mm-dd"))*('Daily Checklist'!$L$2:$L$2000="Y"))&gt;0,SUMPRODUCT(('Daily Checklist'!$D$2:$D$2000=$A25)*(TEXT('Daily Checklist'!$B$2:$B$2000,"yyyy-mm-dd")=TEXT(($B$4+11),"yyyy-mm-dd"))*('Daily Checklist'!$F$2:$F$2000="Done"))&amp;"/"&amp;SUMPRODUCT(('Daily Checklist'!$D$2:$D$2000=$A25)*(TEXT('Daily Checklist'!$B$2:$B$2000,"yyyy-mm-dd")=TEXT(($B$4+11),"yyyy-mm-dd")))&amp;" ESC",SUMPRODUCT(('Daily Checklist'!$D$2:$D$2000=$A25)*(TEXT('Daily Checklist'!$B$2:$B$2000,"yyyy-mm-dd")=TEXT(($B$4+11),"yyyy-mm-dd"))*('Daily Checklist'!$F$2:$F$2000="Done"))&amp;"/"&amp;SUMPRODUCT(('Daily Checklist'!$D$2:$D$2000=$A25)*(TEXT('Daily Checklist'!$B$2:$B$2000,"yyyy-mm-dd")=TEXT(($B$4+11),"yyyy-mm-dd"))))))</f>
        <v/>
      </c>
      <c r="N25" s="25" t="str">
        <f aca="false">IF($A25="","",IF(SUMPRODUCT(('Daily Checklist'!$D$2:$D$2000=$A25)*(TEXT('Daily Checklist'!$B$2:$B$2000,"yyyy-mm-dd")=TEXT(($B$4+12),"yyyy-mm-dd")))=0,"-",IF(SUMPRODUCT(('Daily Checklist'!$D$2:$D$2000=$A25)*(TEXT('Daily Checklist'!$B$2:$B$2000,"yyyy-mm-dd")=TEXT(($B$4+12),"yyyy-mm-dd"))*('Daily Checklist'!$L$2:$L$2000="Y"))&gt;0,SUMPRODUCT(('Daily Checklist'!$D$2:$D$2000=$A25)*(TEXT('Daily Checklist'!$B$2:$B$2000,"yyyy-mm-dd")=TEXT(($B$4+12),"yyyy-mm-dd"))*('Daily Checklist'!$F$2:$F$2000="Done"))&amp;"/"&amp;SUMPRODUCT(('Daily Checklist'!$D$2:$D$2000=$A25)*(TEXT('Daily Checklist'!$B$2:$B$2000,"yyyy-mm-dd")=TEXT(($B$4+12),"yyyy-mm-dd")))&amp;" ESC",SUMPRODUCT(('Daily Checklist'!$D$2:$D$2000=$A25)*(TEXT('Daily Checklist'!$B$2:$B$2000,"yyyy-mm-dd")=TEXT(($B$4+12),"yyyy-mm-dd"))*('Daily Checklist'!$F$2:$F$2000="Done"))&amp;"/"&amp;SUMPRODUCT(('Daily Checklist'!$D$2:$D$2000=$A25)*(TEXT('Daily Checklist'!$B$2:$B$2000,"yyyy-mm-dd")=TEXT(($B$4+12),"yyyy-mm-dd"))))))</f>
        <v/>
      </c>
      <c r="O25" s="25" t="str">
        <f aca="false">IF($A25="","",IF(SUMPRODUCT(('Daily Checklist'!$D$2:$D$2000=$A25)*(TEXT('Daily Checklist'!$B$2:$B$2000,"yyyy-mm-dd")=TEXT(($B$4+13),"yyyy-mm-dd")))=0,"-",IF(SUMPRODUCT(('Daily Checklist'!$D$2:$D$2000=$A25)*(TEXT('Daily Checklist'!$B$2:$B$2000,"yyyy-mm-dd")=TEXT(($B$4+13),"yyyy-mm-dd"))*('Daily Checklist'!$L$2:$L$2000="Y"))&gt;0,SUMPRODUCT(('Daily Checklist'!$D$2:$D$2000=$A25)*(TEXT('Daily Checklist'!$B$2:$B$2000,"yyyy-mm-dd")=TEXT(($B$4+13),"yyyy-mm-dd"))*('Daily Checklist'!$F$2:$F$2000="Done"))&amp;"/"&amp;SUMPRODUCT(('Daily Checklist'!$D$2:$D$2000=$A25)*(TEXT('Daily Checklist'!$B$2:$B$2000,"yyyy-mm-dd")=TEXT(($B$4+13),"yyyy-mm-dd")))&amp;" ESC",SUMPRODUCT(('Daily Checklist'!$D$2:$D$2000=$A25)*(TEXT('Daily Checklist'!$B$2:$B$2000,"yyyy-mm-dd")=TEXT(($B$4+13),"yyyy-mm-dd"))*('Daily Checklist'!$F$2:$F$2000="Done"))&amp;"/"&amp;SUMPRODUCT(('Daily Checklist'!$D$2:$D$2000=$A25)*(TEXT('Daily Checklist'!$B$2:$B$2000,"yyyy-mm-dd")=TEXT(($B$4+13),"yyyy-mm-dd"))))))</f>
        <v/>
      </c>
      <c r="P25" s="25" t="str">
        <f aca="false">IF($A25="","",IF(SUMPRODUCT(('Daily Checklist'!$D$2:$D$2000=$A25)*(TEXT('Daily Checklist'!$B$2:$B$2000,"yyyy-mm-dd")=TEXT(($B$4+14),"yyyy-mm-dd")))=0,"-",IF(SUMPRODUCT(('Daily Checklist'!$D$2:$D$2000=$A25)*(TEXT('Daily Checklist'!$B$2:$B$2000,"yyyy-mm-dd")=TEXT(($B$4+14),"yyyy-mm-dd"))*('Daily Checklist'!$L$2:$L$2000="Y"))&gt;0,SUMPRODUCT(('Daily Checklist'!$D$2:$D$2000=$A25)*(TEXT('Daily Checklist'!$B$2:$B$2000,"yyyy-mm-dd")=TEXT(($B$4+14),"yyyy-mm-dd"))*('Daily Checklist'!$F$2:$F$2000="Done"))&amp;"/"&amp;SUMPRODUCT(('Daily Checklist'!$D$2:$D$2000=$A25)*(TEXT('Daily Checklist'!$B$2:$B$2000,"yyyy-mm-dd")=TEXT(($B$4+14),"yyyy-mm-dd")))&amp;" ESC",SUMPRODUCT(('Daily Checklist'!$D$2:$D$2000=$A25)*(TEXT('Daily Checklist'!$B$2:$B$2000,"yyyy-mm-dd")=TEXT(($B$4+14),"yyyy-mm-dd"))*('Daily Checklist'!$F$2:$F$2000="Done"))&amp;"/"&amp;SUMPRODUCT(('Daily Checklist'!$D$2:$D$2000=$A25)*(TEXT('Daily Checklist'!$B$2:$B$2000,"yyyy-mm-dd")=TEXT(($B$4+14),"yyyy-mm-dd"))))))</f>
        <v/>
      </c>
      <c r="Q25" s="25" t="str">
        <f aca="false">IF($A25="","",IF(SUMPRODUCT(('Daily Checklist'!$D$2:$D$2000=$A25)*(TEXT('Daily Checklist'!$B$2:$B$2000,"yyyy-mm-dd")=TEXT(($B$4+15),"yyyy-mm-dd")))=0,"-",IF(SUMPRODUCT(('Daily Checklist'!$D$2:$D$2000=$A25)*(TEXT('Daily Checklist'!$B$2:$B$2000,"yyyy-mm-dd")=TEXT(($B$4+15),"yyyy-mm-dd"))*('Daily Checklist'!$L$2:$L$2000="Y"))&gt;0,SUMPRODUCT(('Daily Checklist'!$D$2:$D$2000=$A25)*(TEXT('Daily Checklist'!$B$2:$B$2000,"yyyy-mm-dd")=TEXT(($B$4+15),"yyyy-mm-dd"))*('Daily Checklist'!$F$2:$F$2000="Done"))&amp;"/"&amp;SUMPRODUCT(('Daily Checklist'!$D$2:$D$2000=$A25)*(TEXT('Daily Checklist'!$B$2:$B$2000,"yyyy-mm-dd")=TEXT(($B$4+15),"yyyy-mm-dd")))&amp;" ESC",SUMPRODUCT(('Daily Checklist'!$D$2:$D$2000=$A25)*(TEXT('Daily Checklist'!$B$2:$B$2000,"yyyy-mm-dd")=TEXT(($B$4+15),"yyyy-mm-dd"))*('Daily Checklist'!$F$2:$F$2000="Done"))&amp;"/"&amp;SUMPRODUCT(('Daily Checklist'!$D$2:$D$2000=$A25)*(TEXT('Daily Checklist'!$B$2:$B$2000,"yyyy-mm-dd")=TEXT(($B$4+15),"yyyy-mm-dd"))))))</f>
        <v/>
      </c>
      <c r="R25" s="25" t="str">
        <f aca="false">IF($A25="","",IF(SUMPRODUCT(('Daily Checklist'!$D$2:$D$2000=$A25)*(TEXT('Daily Checklist'!$B$2:$B$2000,"yyyy-mm-dd")=TEXT(($B$4+16),"yyyy-mm-dd")))=0,"-",IF(SUMPRODUCT(('Daily Checklist'!$D$2:$D$2000=$A25)*(TEXT('Daily Checklist'!$B$2:$B$2000,"yyyy-mm-dd")=TEXT(($B$4+16),"yyyy-mm-dd"))*('Daily Checklist'!$L$2:$L$2000="Y"))&gt;0,SUMPRODUCT(('Daily Checklist'!$D$2:$D$2000=$A25)*(TEXT('Daily Checklist'!$B$2:$B$2000,"yyyy-mm-dd")=TEXT(($B$4+16),"yyyy-mm-dd"))*('Daily Checklist'!$F$2:$F$2000="Done"))&amp;"/"&amp;SUMPRODUCT(('Daily Checklist'!$D$2:$D$2000=$A25)*(TEXT('Daily Checklist'!$B$2:$B$2000,"yyyy-mm-dd")=TEXT(($B$4+16),"yyyy-mm-dd")))&amp;" ESC",SUMPRODUCT(('Daily Checklist'!$D$2:$D$2000=$A25)*(TEXT('Daily Checklist'!$B$2:$B$2000,"yyyy-mm-dd")=TEXT(($B$4+16),"yyyy-mm-dd"))*('Daily Checklist'!$F$2:$F$2000="Done"))&amp;"/"&amp;SUMPRODUCT(('Daily Checklist'!$D$2:$D$2000=$A25)*(TEXT('Daily Checklist'!$B$2:$B$2000,"yyyy-mm-dd")=TEXT(($B$4+16),"yyyy-mm-dd"))))))</f>
        <v/>
      </c>
      <c r="S25" s="25" t="str">
        <f aca="false">IF($A25="","",IF(SUMPRODUCT(('Daily Checklist'!$D$2:$D$2000=$A25)*(TEXT('Daily Checklist'!$B$2:$B$2000,"yyyy-mm-dd")=TEXT(($B$4+17),"yyyy-mm-dd")))=0,"-",IF(SUMPRODUCT(('Daily Checklist'!$D$2:$D$2000=$A25)*(TEXT('Daily Checklist'!$B$2:$B$2000,"yyyy-mm-dd")=TEXT(($B$4+17),"yyyy-mm-dd"))*('Daily Checklist'!$L$2:$L$2000="Y"))&gt;0,SUMPRODUCT(('Daily Checklist'!$D$2:$D$2000=$A25)*(TEXT('Daily Checklist'!$B$2:$B$2000,"yyyy-mm-dd")=TEXT(($B$4+17),"yyyy-mm-dd"))*('Daily Checklist'!$F$2:$F$2000="Done"))&amp;"/"&amp;SUMPRODUCT(('Daily Checklist'!$D$2:$D$2000=$A25)*(TEXT('Daily Checklist'!$B$2:$B$2000,"yyyy-mm-dd")=TEXT(($B$4+17),"yyyy-mm-dd")))&amp;" ESC",SUMPRODUCT(('Daily Checklist'!$D$2:$D$2000=$A25)*(TEXT('Daily Checklist'!$B$2:$B$2000,"yyyy-mm-dd")=TEXT(($B$4+17),"yyyy-mm-dd"))*('Daily Checklist'!$F$2:$F$2000="Done"))&amp;"/"&amp;SUMPRODUCT(('Daily Checklist'!$D$2:$D$2000=$A25)*(TEXT('Daily Checklist'!$B$2:$B$2000,"yyyy-mm-dd")=TEXT(($B$4+17),"yyyy-mm-dd"))))))</f>
        <v/>
      </c>
      <c r="T25" s="25" t="str">
        <f aca="false">IF($A25="","",IF(SUMPRODUCT(('Daily Checklist'!$D$2:$D$2000=$A25)*(TEXT('Daily Checklist'!$B$2:$B$2000,"yyyy-mm-dd")=TEXT(($B$4+18),"yyyy-mm-dd")))=0,"-",IF(SUMPRODUCT(('Daily Checklist'!$D$2:$D$2000=$A25)*(TEXT('Daily Checklist'!$B$2:$B$2000,"yyyy-mm-dd")=TEXT(($B$4+18),"yyyy-mm-dd"))*('Daily Checklist'!$L$2:$L$2000="Y"))&gt;0,SUMPRODUCT(('Daily Checklist'!$D$2:$D$2000=$A25)*(TEXT('Daily Checklist'!$B$2:$B$2000,"yyyy-mm-dd")=TEXT(($B$4+18),"yyyy-mm-dd"))*('Daily Checklist'!$F$2:$F$2000="Done"))&amp;"/"&amp;SUMPRODUCT(('Daily Checklist'!$D$2:$D$2000=$A25)*(TEXT('Daily Checklist'!$B$2:$B$2000,"yyyy-mm-dd")=TEXT(($B$4+18),"yyyy-mm-dd")))&amp;" ESC",SUMPRODUCT(('Daily Checklist'!$D$2:$D$2000=$A25)*(TEXT('Daily Checklist'!$B$2:$B$2000,"yyyy-mm-dd")=TEXT(($B$4+18),"yyyy-mm-dd"))*('Daily Checklist'!$F$2:$F$2000="Done"))&amp;"/"&amp;SUMPRODUCT(('Daily Checklist'!$D$2:$D$2000=$A25)*(TEXT('Daily Checklist'!$B$2:$B$2000,"yyyy-mm-dd")=TEXT(($B$4+18),"yyyy-mm-dd"))))))</f>
        <v/>
      </c>
      <c r="U25" s="25" t="str">
        <f aca="false">IF($A25="","",IF(SUMPRODUCT(('Daily Checklist'!$D$2:$D$2000=$A25)*(TEXT('Daily Checklist'!$B$2:$B$2000,"yyyy-mm-dd")=TEXT(($B$4+19),"yyyy-mm-dd")))=0,"-",IF(SUMPRODUCT(('Daily Checklist'!$D$2:$D$2000=$A25)*(TEXT('Daily Checklist'!$B$2:$B$2000,"yyyy-mm-dd")=TEXT(($B$4+19),"yyyy-mm-dd"))*('Daily Checklist'!$L$2:$L$2000="Y"))&gt;0,SUMPRODUCT(('Daily Checklist'!$D$2:$D$2000=$A25)*(TEXT('Daily Checklist'!$B$2:$B$2000,"yyyy-mm-dd")=TEXT(($B$4+19),"yyyy-mm-dd"))*('Daily Checklist'!$F$2:$F$2000="Done"))&amp;"/"&amp;SUMPRODUCT(('Daily Checklist'!$D$2:$D$2000=$A25)*(TEXT('Daily Checklist'!$B$2:$B$2000,"yyyy-mm-dd")=TEXT(($B$4+19),"yyyy-mm-dd")))&amp;" ESC",SUMPRODUCT(('Daily Checklist'!$D$2:$D$2000=$A25)*(TEXT('Daily Checklist'!$B$2:$B$2000,"yyyy-mm-dd")=TEXT(($B$4+19),"yyyy-mm-dd"))*('Daily Checklist'!$F$2:$F$2000="Done"))&amp;"/"&amp;SUMPRODUCT(('Daily Checklist'!$D$2:$D$2000=$A25)*(TEXT('Daily Checklist'!$B$2:$B$2000,"yyyy-mm-dd")=TEXT(($B$4+19),"yyyy-mm-dd"))))))</f>
        <v/>
      </c>
      <c r="V25" s="25" t="str">
        <f aca="false">IF($A25="","",IF(SUMPRODUCT(('Daily Checklist'!$D$2:$D$2000=$A25)*(TEXT('Daily Checklist'!$B$2:$B$2000,"yyyy-mm-dd")=TEXT(($B$4+20),"yyyy-mm-dd")))=0,"-",IF(SUMPRODUCT(('Daily Checklist'!$D$2:$D$2000=$A25)*(TEXT('Daily Checklist'!$B$2:$B$2000,"yyyy-mm-dd")=TEXT(($B$4+20),"yyyy-mm-dd"))*('Daily Checklist'!$L$2:$L$2000="Y"))&gt;0,SUMPRODUCT(('Daily Checklist'!$D$2:$D$2000=$A25)*(TEXT('Daily Checklist'!$B$2:$B$2000,"yyyy-mm-dd")=TEXT(($B$4+20),"yyyy-mm-dd"))*('Daily Checklist'!$F$2:$F$2000="Done"))&amp;"/"&amp;SUMPRODUCT(('Daily Checklist'!$D$2:$D$2000=$A25)*(TEXT('Daily Checklist'!$B$2:$B$2000,"yyyy-mm-dd")=TEXT(($B$4+20),"yyyy-mm-dd")))&amp;" ESC",SUMPRODUCT(('Daily Checklist'!$D$2:$D$2000=$A25)*(TEXT('Daily Checklist'!$B$2:$B$2000,"yyyy-mm-dd")=TEXT(($B$4+20),"yyyy-mm-dd"))*('Daily Checklist'!$F$2:$F$2000="Done"))&amp;"/"&amp;SUMPRODUCT(('Daily Checklist'!$D$2:$D$2000=$A25)*(TEXT('Daily Checklist'!$B$2:$B$2000,"yyyy-mm-dd")=TEXT(($B$4+20),"yyyy-mm-dd"))))))</f>
        <v/>
      </c>
      <c r="W25" s="25" t="str">
        <f aca="false">IF($A25="","",IF(SUMPRODUCT(('Daily Checklist'!$D$2:$D$2000=$A25)*(TEXT('Daily Checklist'!$B$2:$B$2000,"yyyy-mm-dd")=TEXT(($B$4+21),"yyyy-mm-dd")))=0,"-",IF(SUMPRODUCT(('Daily Checklist'!$D$2:$D$2000=$A25)*(TEXT('Daily Checklist'!$B$2:$B$2000,"yyyy-mm-dd")=TEXT(($B$4+21),"yyyy-mm-dd"))*('Daily Checklist'!$L$2:$L$2000="Y"))&gt;0,SUMPRODUCT(('Daily Checklist'!$D$2:$D$2000=$A25)*(TEXT('Daily Checklist'!$B$2:$B$2000,"yyyy-mm-dd")=TEXT(($B$4+21),"yyyy-mm-dd"))*('Daily Checklist'!$F$2:$F$2000="Done"))&amp;"/"&amp;SUMPRODUCT(('Daily Checklist'!$D$2:$D$2000=$A25)*(TEXT('Daily Checklist'!$B$2:$B$2000,"yyyy-mm-dd")=TEXT(($B$4+21),"yyyy-mm-dd")))&amp;" ESC",SUMPRODUCT(('Daily Checklist'!$D$2:$D$2000=$A25)*(TEXT('Daily Checklist'!$B$2:$B$2000,"yyyy-mm-dd")=TEXT(($B$4+21),"yyyy-mm-dd"))*('Daily Checklist'!$F$2:$F$2000="Done"))&amp;"/"&amp;SUMPRODUCT(('Daily Checklist'!$D$2:$D$2000=$A25)*(TEXT('Daily Checklist'!$B$2:$B$2000,"yyyy-mm-dd")=TEXT(($B$4+21),"yyyy-mm-dd"))))))</f>
        <v/>
      </c>
      <c r="X25" s="25" t="str">
        <f aca="false">IF($A25="","",IF(SUMPRODUCT(('Daily Checklist'!$D$2:$D$2000=$A25)*(TEXT('Daily Checklist'!$B$2:$B$2000,"yyyy-mm-dd")=TEXT(($B$4+22),"yyyy-mm-dd")))=0,"-",IF(SUMPRODUCT(('Daily Checklist'!$D$2:$D$2000=$A25)*(TEXT('Daily Checklist'!$B$2:$B$2000,"yyyy-mm-dd")=TEXT(($B$4+22),"yyyy-mm-dd"))*('Daily Checklist'!$L$2:$L$2000="Y"))&gt;0,SUMPRODUCT(('Daily Checklist'!$D$2:$D$2000=$A25)*(TEXT('Daily Checklist'!$B$2:$B$2000,"yyyy-mm-dd")=TEXT(($B$4+22),"yyyy-mm-dd"))*('Daily Checklist'!$F$2:$F$2000="Done"))&amp;"/"&amp;SUMPRODUCT(('Daily Checklist'!$D$2:$D$2000=$A25)*(TEXT('Daily Checklist'!$B$2:$B$2000,"yyyy-mm-dd")=TEXT(($B$4+22),"yyyy-mm-dd")))&amp;" ESC",SUMPRODUCT(('Daily Checklist'!$D$2:$D$2000=$A25)*(TEXT('Daily Checklist'!$B$2:$B$2000,"yyyy-mm-dd")=TEXT(($B$4+22),"yyyy-mm-dd"))*('Daily Checklist'!$F$2:$F$2000="Done"))&amp;"/"&amp;SUMPRODUCT(('Daily Checklist'!$D$2:$D$2000=$A25)*(TEXT('Daily Checklist'!$B$2:$B$2000,"yyyy-mm-dd")=TEXT(($B$4+22),"yyyy-mm-dd"))))))</f>
        <v/>
      </c>
      <c r="Y25" s="25" t="str">
        <f aca="false">IF($A25="","",IF(SUMPRODUCT(('Daily Checklist'!$D$2:$D$2000=$A25)*(TEXT('Daily Checklist'!$B$2:$B$2000,"yyyy-mm-dd")=TEXT(($B$4+23),"yyyy-mm-dd")))=0,"-",IF(SUMPRODUCT(('Daily Checklist'!$D$2:$D$2000=$A25)*(TEXT('Daily Checklist'!$B$2:$B$2000,"yyyy-mm-dd")=TEXT(($B$4+23),"yyyy-mm-dd"))*('Daily Checklist'!$L$2:$L$2000="Y"))&gt;0,SUMPRODUCT(('Daily Checklist'!$D$2:$D$2000=$A25)*(TEXT('Daily Checklist'!$B$2:$B$2000,"yyyy-mm-dd")=TEXT(($B$4+23),"yyyy-mm-dd"))*('Daily Checklist'!$F$2:$F$2000="Done"))&amp;"/"&amp;SUMPRODUCT(('Daily Checklist'!$D$2:$D$2000=$A25)*(TEXT('Daily Checklist'!$B$2:$B$2000,"yyyy-mm-dd")=TEXT(($B$4+23),"yyyy-mm-dd")))&amp;" ESC",SUMPRODUCT(('Daily Checklist'!$D$2:$D$2000=$A25)*(TEXT('Daily Checklist'!$B$2:$B$2000,"yyyy-mm-dd")=TEXT(($B$4+23),"yyyy-mm-dd"))*('Daily Checklist'!$F$2:$F$2000="Done"))&amp;"/"&amp;SUMPRODUCT(('Daily Checklist'!$D$2:$D$2000=$A25)*(TEXT('Daily Checklist'!$B$2:$B$2000,"yyyy-mm-dd")=TEXT(($B$4+23),"yyyy-mm-dd"))))))</f>
        <v/>
      </c>
      <c r="Z25" s="25" t="str">
        <f aca="false">IF($A25="","",IF(SUMPRODUCT(('Daily Checklist'!$D$2:$D$2000=$A25)*(TEXT('Daily Checklist'!$B$2:$B$2000,"yyyy-mm-dd")=TEXT(($B$4+24),"yyyy-mm-dd")))=0,"-",IF(SUMPRODUCT(('Daily Checklist'!$D$2:$D$2000=$A25)*(TEXT('Daily Checklist'!$B$2:$B$2000,"yyyy-mm-dd")=TEXT(($B$4+24),"yyyy-mm-dd"))*('Daily Checklist'!$L$2:$L$2000="Y"))&gt;0,SUMPRODUCT(('Daily Checklist'!$D$2:$D$2000=$A25)*(TEXT('Daily Checklist'!$B$2:$B$2000,"yyyy-mm-dd")=TEXT(($B$4+24),"yyyy-mm-dd"))*('Daily Checklist'!$F$2:$F$2000="Done"))&amp;"/"&amp;SUMPRODUCT(('Daily Checklist'!$D$2:$D$2000=$A25)*(TEXT('Daily Checklist'!$B$2:$B$2000,"yyyy-mm-dd")=TEXT(($B$4+24),"yyyy-mm-dd")))&amp;" ESC",SUMPRODUCT(('Daily Checklist'!$D$2:$D$2000=$A25)*(TEXT('Daily Checklist'!$B$2:$B$2000,"yyyy-mm-dd")=TEXT(($B$4+24),"yyyy-mm-dd"))*('Daily Checklist'!$F$2:$F$2000="Done"))&amp;"/"&amp;SUMPRODUCT(('Daily Checklist'!$D$2:$D$2000=$A25)*(TEXT('Daily Checklist'!$B$2:$B$2000,"yyyy-mm-dd")=TEXT(($B$4+24),"yyyy-mm-dd"))))))</f>
        <v/>
      </c>
      <c r="AA25" s="25" t="str">
        <f aca="false">IF($A25="","",IF(SUMPRODUCT(('Daily Checklist'!$D$2:$D$2000=$A25)*(TEXT('Daily Checklist'!$B$2:$B$2000,"yyyy-mm-dd")=TEXT(($B$4+25),"yyyy-mm-dd")))=0,"-",IF(SUMPRODUCT(('Daily Checklist'!$D$2:$D$2000=$A25)*(TEXT('Daily Checklist'!$B$2:$B$2000,"yyyy-mm-dd")=TEXT(($B$4+25),"yyyy-mm-dd"))*('Daily Checklist'!$L$2:$L$2000="Y"))&gt;0,SUMPRODUCT(('Daily Checklist'!$D$2:$D$2000=$A25)*(TEXT('Daily Checklist'!$B$2:$B$2000,"yyyy-mm-dd")=TEXT(($B$4+25),"yyyy-mm-dd"))*('Daily Checklist'!$F$2:$F$2000="Done"))&amp;"/"&amp;SUMPRODUCT(('Daily Checklist'!$D$2:$D$2000=$A25)*(TEXT('Daily Checklist'!$B$2:$B$2000,"yyyy-mm-dd")=TEXT(($B$4+25),"yyyy-mm-dd")))&amp;" ESC",SUMPRODUCT(('Daily Checklist'!$D$2:$D$2000=$A25)*(TEXT('Daily Checklist'!$B$2:$B$2000,"yyyy-mm-dd")=TEXT(($B$4+25),"yyyy-mm-dd"))*('Daily Checklist'!$F$2:$F$2000="Done"))&amp;"/"&amp;SUMPRODUCT(('Daily Checklist'!$D$2:$D$2000=$A25)*(TEXT('Daily Checklist'!$B$2:$B$2000,"yyyy-mm-dd")=TEXT(($B$4+25),"yyyy-mm-dd"))))))</f>
        <v/>
      </c>
      <c r="AB25" s="25" t="str">
        <f aca="false">IF($A25="","",IF(SUMPRODUCT(('Daily Checklist'!$D$2:$D$2000=$A25)*(TEXT('Daily Checklist'!$B$2:$B$2000,"yyyy-mm-dd")=TEXT(($B$4+26),"yyyy-mm-dd")))=0,"-",IF(SUMPRODUCT(('Daily Checklist'!$D$2:$D$2000=$A25)*(TEXT('Daily Checklist'!$B$2:$B$2000,"yyyy-mm-dd")=TEXT(($B$4+26),"yyyy-mm-dd"))*('Daily Checklist'!$L$2:$L$2000="Y"))&gt;0,SUMPRODUCT(('Daily Checklist'!$D$2:$D$2000=$A25)*(TEXT('Daily Checklist'!$B$2:$B$2000,"yyyy-mm-dd")=TEXT(($B$4+26),"yyyy-mm-dd"))*('Daily Checklist'!$F$2:$F$2000="Done"))&amp;"/"&amp;SUMPRODUCT(('Daily Checklist'!$D$2:$D$2000=$A25)*(TEXT('Daily Checklist'!$B$2:$B$2000,"yyyy-mm-dd")=TEXT(($B$4+26),"yyyy-mm-dd")))&amp;" ESC",SUMPRODUCT(('Daily Checklist'!$D$2:$D$2000=$A25)*(TEXT('Daily Checklist'!$B$2:$B$2000,"yyyy-mm-dd")=TEXT(($B$4+26),"yyyy-mm-dd"))*('Daily Checklist'!$F$2:$F$2000="Done"))&amp;"/"&amp;SUMPRODUCT(('Daily Checklist'!$D$2:$D$2000=$A25)*(TEXT('Daily Checklist'!$B$2:$B$2000,"yyyy-mm-dd")=TEXT(($B$4+26),"yyyy-mm-dd"))))))</f>
        <v/>
      </c>
      <c r="AC25" s="25" t="str">
        <f aca="false">IF($A25="","",IF(SUMPRODUCT(('Daily Checklist'!$D$2:$D$2000=$A25)*(TEXT('Daily Checklist'!$B$2:$B$2000,"yyyy-mm-dd")=TEXT(($B$4+27),"yyyy-mm-dd")))=0,"-",IF(SUMPRODUCT(('Daily Checklist'!$D$2:$D$2000=$A25)*(TEXT('Daily Checklist'!$B$2:$B$2000,"yyyy-mm-dd")=TEXT(($B$4+27),"yyyy-mm-dd"))*('Daily Checklist'!$L$2:$L$2000="Y"))&gt;0,SUMPRODUCT(('Daily Checklist'!$D$2:$D$2000=$A25)*(TEXT('Daily Checklist'!$B$2:$B$2000,"yyyy-mm-dd")=TEXT(($B$4+27),"yyyy-mm-dd"))*('Daily Checklist'!$F$2:$F$2000="Done"))&amp;"/"&amp;SUMPRODUCT(('Daily Checklist'!$D$2:$D$2000=$A25)*(TEXT('Daily Checklist'!$B$2:$B$2000,"yyyy-mm-dd")=TEXT(($B$4+27),"yyyy-mm-dd")))&amp;" ESC",SUMPRODUCT(('Daily Checklist'!$D$2:$D$2000=$A25)*(TEXT('Daily Checklist'!$B$2:$B$2000,"yyyy-mm-dd")=TEXT(($B$4+27),"yyyy-mm-dd"))*('Daily Checklist'!$F$2:$F$2000="Done"))&amp;"/"&amp;SUMPRODUCT(('Daily Checklist'!$D$2:$D$2000=$A25)*(TEXT('Daily Checklist'!$B$2:$B$2000,"yyyy-mm-dd")=TEXT(($B$4+27),"yyyy-mm-dd"))))))</f>
        <v/>
      </c>
      <c r="AD25" s="25" t="str">
        <f aca="false">IF($A25="","",IF(SUMPRODUCT(('Daily Checklist'!$D$2:$D$2000=$A25)*(TEXT('Daily Checklist'!$B$2:$B$2000,"yyyy-mm-dd")=TEXT(($B$4+28),"yyyy-mm-dd")))=0,"-",IF(SUMPRODUCT(('Daily Checklist'!$D$2:$D$2000=$A25)*(TEXT('Daily Checklist'!$B$2:$B$2000,"yyyy-mm-dd")=TEXT(($B$4+28),"yyyy-mm-dd"))*('Daily Checklist'!$L$2:$L$2000="Y"))&gt;0,SUMPRODUCT(('Daily Checklist'!$D$2:$D$2000=$A25)*(TEXT('Daily Checklist'!$B$2:$B$2000,"yyyy-mm-dd")=TEXT(($B$4+28),"yyyy-mm-dd"))*('Daily Checklist'!$F$2:$F$2000="Done"))&amp;"/"&amp;SUMPRODUCT(('Daily Checklist'!$D$2:$D$2000=$A25)*(TEXT('Daily Checklist'!$B$2:$B$2000,"yyyy-mm-dd")=TEXT(($B$4+28),"yyyy-mm-dd")))&amp;" ESC",SUMPRODUCT(('Daily Checklist'!$D$2:$D$2000=$A25)*(TEXT('Daily Checklist'!$B$2:$B$2000,"yyyy-mm-dd")=TEXT(($B$4+28),"yyyy-mm-dd"))*('Daily Checklist'!$F$2:$F$2000="Done"))&amp;"/"&amp;SUMPRODUCT(('Daily Checklist'!$D$2:$D$2000=$A25)*(TEXT('Daily Checklist'!$B$2:$B$2000,"yyyy-mm-dd")=TEXT(($B$4+28),"yyyy-mm-dd"))))))</f>
        <v/>
      </c>
      <c r="AE25" s="25" t="str">
        <f aca="false">IF($A25="","",IF(SUMPRODUCT(('Daily Checklist'!$D$2:$D$2000=$A25)*(TEXT('Daily Checklist'!$B$2:$B$2000,"yyyy-mm-dd")=TEXT(($B$4+29),"yyyy-mm-dd")))=0,"-",IF(SUMPRODUCT(('Daily Checklist'!$D$2:$D$2000=$A25)*(TEXT('Daily Checklist'!$B$2:$B$2000,"yyyy-mm-dd")=TEXT(($B$4+29),"yyyy-mm-dd"))*('Daily Checklist'!$L$2:$L$2000="Y"))&gt;0,SUMPRODUCT(('Daily Checklist'!$D$2:$D$2000=$A25)*(TEXT('Daily Checklist'!$B$2:$B$2000,"yyyy-mm-dd")=TEXT(($B$4+29),"yyyy-mm-dd"))*('Daily Checklist'!$F$2:$F$2000="Done"))&amp;"/"&amp;SUMPRODUCT(('Daily Checklist'!$D$2:$D$2000=$A25)*(TEXT('Daily Checklist'!$B$2:$B$2000,"yyyy-mm-dd")=TEXT(($B$4+29),"yyyy-mm-dd")))&amp;" ESC",SUMPRODUCT(('Daily Checklist'!$D$2:$D$2000=$A25)*(TEXT('Daily Checklist'!$B$2:$B$2000,"yyyy-mm-dd")=TEXT(($B$4+29),"yyyy-mm-dd"))*('Daily Checklist'!$F$2:$F$2000="Done"))&amp;"/"&amp;SUMPRODUCT(('Daily Checklist'!$D$2:$D$2000=$A25)*(TEXT('Daily Checklist'!$B$2:$B$2000,"yyyy-mm-dd")=TEXT(($B$4+29),"yyyy-mm-dd"))))))</f>
        <v/>
      </c>
      <c r="AF25" s="25" t="str">
        <f aca="false">IF($A25="","",IF(SUMPRODUCT(('Daily Checklist'!$D$2:$D$2000=$A25)*(TEXT('Daily Checklist'!$B$2:$B$2000,"yyyy-mm-dd")=TEXT(($B$4+30),"yyyy-mm-dd")))=0,"-",IF(SUMPRODUCT(('Daily Checklist'!$D$2:$D$2000=$A25)*(TEXT('Daily Checklist'!$B$2:$B$2000,"yyyy-mm-dd")=TEXT(($B$4+30),"yyyy-mm-dd"))*('Daily Checklist'!$L$2:$L$2000="Y"))&gt;0,SUMPRODUCT(('Daily Checklist'!$D$2:$D$2000=$A25)*(TEXT('Daily Checklist'!$B$2:$B$2000,"yyyy-mm-dd")=TEXT(($B$4+30),"yyyy-mm-dd"))*('Daily Checklist'!$F$2:$F$2000="Done"))&amp;"/"&amp;SUMPRODUCT(('Daily Checklist'!$D$2:$D$2000=$A25)*(TEXT('Daily Checklist'!$B$2:$B$2000,"yyyy-mm-dd")=TEXT(($B$4+30),"yyyy-mm-dd")))&amp;" ESC",SUMPRODUCT(('Daily Checklist'!$D$2:$D$2000=$A25)*(TEXT('Daily Checklist'!$B$2:$B$2000,"yyyy-mm-dd")=TEXT(($B$4+30),"yyyy-mm-dd"))*('Daily Checklist'!$F$2:$F$2000="Done"))&amp;"/"&amp;SUMPRODUCT(('Daily Checklist'!$D$2:$D$2000=$A25)*(TEXT('Daily Checklist'!$B$2:$B$2000,"yyyy-mm-dd")=TEXT(($B$4+30),"yyyy-mm-dd"))))))</f>
        <v/>
      </c>
    </row>
    <row r="26" customFormat="false" ht="15" hidden="false" customHeight="true" outlineLevel="0" collapsed="false">
      <c r="A26" s="24" t="str">
        <f aca="false">IFERROR(IF(Employees!A21="","",Employees!A21),"")</f>
        <v/>
      </c>
      <c r="B26" s="25" t="str">
        <f aca="false">IF($A26="","",IF(SUMPRODUCT(('Daily Checklist'!$D$2:$D$2000=$A26)*(TEXT('Daily Checklist'!$B$2:$B$2000,"yyyy-mm-dd")=TEXT(($B$4+0),"yyyy-mm-dd")))=0,"-",IF(SUMPRODUCT(('Daily Checklist'!$D$2:$D$2000=$A26)*(TEXT('Daily Checklist'!$B$2:$B$2000,"yyyy-mm-dd")=TEXT(($B$4+0),"yyyy-mm-dd"))*('Daily Checklist'!$L$2:$L$2000="Y"))&gt;0,SUMPRODUCT(('Daily Checklist'!$D$2:$D$2000=$A26)*(TEXT('Daily Checklist'!$B$2:$B$2000,"yyyy-mm-dd")=TEXT(($B$4+0),"yyyy-mm-dd"))*('Daily Checklist'!$F$2:$F$2000="Done"))&amp;"/"&amp;SUMPRODUCT(('Daily Checklist'!$D$2:$D$2000=$A26)*(TEXT('Daily Checklist'!$B$2:$B$2000,"yyyy-mm-dd")=TEXT(($B$4+0),"yyyy-mm-dd")))&amp;" ESC",SUMPRODUCT(('Daily Checklist'!$D$2:$D$2000=$A26)*(TEXT('Daily Checklist'!$B$2:$B$2000,"yyyy-mm-dd")=TEXT(($B$4+0),"yyyy-mm-dd"))*('Daily Checklist'!$F$2:$F$2000="Done"))&amp;"/"&amp;SUMPRODUCT(('Daily Checklist'!$D$2:$D$2000=$A26)*(TEXT('Daily Checklist'!$B$2:$B$2000,"yyyy-mm-dd")=TEXT(($B$4+0),"yyyy-mm-dd"))))))</f>
        <v/>
      </c>
      <c r="C26" s="25" t="str">
        <f aca="false">IF($A26="","",IF(SUMPRODUCT(('Daily Checklist'!$D$2:$D$2000=$A26)*(TEXT('Daily Checklist'!$B$2:$B$2000,"yyyy-mm-dd")=TEXT(($B$4+1),"yyyy-mm-dd")))=0,"-",IF(SUMPRODUCT(('Daily Checklist'!$D$2:$D$2000=$A26)*(TEXT('Daily Checklist'!$B$2:$B$2000,"yyyy-mm-dd")=TEXT(($B$4+1),"yyyy-mm-dd"))*('Daily Checklist'!$L$2:$L$2000="Y"))&gt;0,SUMPRODUCT(('Daily Checklist'!$D$2:$D$2000=$A26)*(TEXT('Daily Checklist'!$B$2:$B$2000,"yyyy-mm-dd")=TEXT(($B$4+1),"yyyy-mm-dd"))*('Daily Checklist'!$F$2:$F$2000="Done"))&amp;"/"&amp;SUMPRODUCT(('Daily Checklist'!$D$2:$D$2000=$A26)*(TEXT('Daily Checklist'!$B$2:$B$2000,"yyyy-mm-dd")=TEXT(($B$4+1),"yyyy-mm-dd")))&amp;" ESC",SUMPRODUCT(('Daily Checklist'!$D$2:$D$2000=$A26)*(TEXT('Daily Checklist'!$B$2:$B$2000,"yyyy-mm-dd")=TEXT(($B$4+1),"yyyy-mm-dd"))*('Daily Checklist'!$F$2:$F$2000="Done"))&amp;"/"&amp;SUMPRODUCT(('Daily Checklist'!$D$2:$D$2000=$A26)*(TEXT('Daily Checklist'!$B$2:$B$2000,"yyyy-mm-dd")=TEXT(($B$4+1),"yyyy-mm-dd"))))))</f>
        <v/>
      </c>
      <c r="D26" s="25" t="str">
        <f aca="false">IF($A26="","",IF(SUMPRODUCT(('Daily Checklist'!$D$2:$D$2000=$A26)*(TEXT('Daily Checklist'!$B$2:$B$2000,"yyyy-mm-dd")=TEXT(($B$4+2),"yyyy-mm-dd")))=0,"-",IF(SUMPRODUCT(('Daily Checklist'!$D$2:$D$2000=$A26)*(TEXT('Daily Checklist'!$B$2:$B$2000,"yyyy-mm-dd")=TEXT(($B$4+2),"yyyy-mm-dd"))*('Daily Checklist'!$L$2:$L$2000="Y"))&gt;0,SUMPRODUCT(('Daily Checklist'!$D$2:$D$2000=$A26)*(TEXT('Daily Checklist'!$B$2:$B$2000,"yyyy-mm-dd")=TEXT(($B$4+2),"yyyy-mm-dd"))*('Daily Checklist'!$F$2:$F$2000="Done"))&amp;"/"&amp;SUMPRODUCT(('Daily Checklist'!$D$2:$D$2000=$A26)*(TEXT('Daily Checklist'!$B$2:$B$2000,"yyyy-mm-dd")=TEXT(($B$4+2),"yyyy-mm-dd")))&amp;" ESC",SUMPRODUCT(('Daily Checklist'!$D$2:$D$2000=$A26)*(TEXT('Daily Checklist'!$B$2:$B$2000,"yyyy-mm-dd")=TEXT(($B$4+2),"yyyy-mm-dd"))*('Daily Checklist'!$F$2:$F$2000="Done"))&amp;"/"&amp;SUMPRODUCT(('Daily Checklist'!$D$2:$D$2000=$A26)*(TEXT('Daily Checklist'!$B$2:$B$2000,"yyyy-mm-dd")=TEXT(($B$4+2),"yyyy-mm-dd"))))))</f>
        <v/>
      </c>
      <c r="E26" s="25" t="str">
        <f aca="false">IF($A26="","",IF(SUMPRODUCT(('Daily Checklist'!$D$2:$D$2000=$A26)*(TEXT('Daily Checklist'!$B$2:$B$2000,"yyyy-mm-dd")=TEXT(($B$4+3),"yyyy-mm-dd")))=0,"-",IF(SUMPRODUCT(('Daily Checklist'!$D$2:$D$2000=$A26)*(TEXT('Daily Checklist'!$B$2:$B$2000,"yyyy-mm-dd")=TEXT(($B$4+3),"yyyy-mm-dd"))*('Daily Checklist'!$L$2:$L$2000="Y"))&gt;0,SUMPRODUCT(('Daily Checklist'!$D$2:$D$2000=$A26)*(TEXT('Daily Checklist'!$B$2:$B$2000,"yyyy-mm-dd")=TEXT(($B$4+3),"yyyy-mm-dd"))*('Daily Checklist'!$F$2:$F$2000="Done"))&amp;"/"&amp;SUMPRODUCT(('Daily Checklist'!$D$2:$D$2000=$A26)*(TEXT('Daily Checklist'!$B$2:$B$2000,"yyyy-mm-dd")=TEXT(($B$4+3),"yyyy-mm-dd")))&amp;" ESC",SUMPRODUCT(('Daily Checklist'!$D$2:$D$2000=$A26)*(TEXT('Daily Checklist'!$B$2:$B$2000,"yyyy-mm-dd")=TEXT(($B$4+3),"yyyy-mm-dd"))*('Daily Checklist'!$F$2:$F$2000="Done"))&amp;"/"&amp;SUMPRODUCT(('Daily Checklist'!$D$2:$D$2000=$A26)*(TEXT('Daily Checklist'!$B$2:$B$2000,"yyyy-mm-dd")=TEXT(($B$4+3),"yyyy-mm-dd"))))))</f>
        <v/>
      </c>
      <c r="F26" s="25" t="str">
        <f aca="false">IF($A26="","",IF(SUMPRODUCT(('Daily Checklist'!$D$2:$D$2000=$A26)*(TEXT('Daily Checklist'!$B$2:$B$2000,"yyyy-mm-dd")=TEXT(($B$4+4),"yyyy-mm-dd")))=0,"-",IF(SUMPRODUCT(('Daily Checklist'!$D$2:$D$2000=$A26)*(TEXT('Daily Checklist'!$B$2:$B$2000,"yyyy-mm-dd")=TEXT(($B$4+4),"yyyy-mm-dd"))*('Daily Checklist'!$L$2:$L$2000="Y"))&gt;0,SUMPRODUCT(('Daily Checklist'!$D$2:$D$2000=$A26)*(TEXT('Daily Checklist'!$B$2:$B$2000,"yyyy-mm-dd")=TEXT(($B$4+4),"yyyy-mm-dd"))*('Daily Checklist'!$F$2:$F$2000="Done"))&amp;"/"&amp;SUMPRODUCT(('Daily Checklist'!$D$2:$D$2000=$A26)*(TEXT('Daily Checklist'!$B$2:$B$2000,"yyyy-mm-dd")=TEXT(($B$4+4),"yyyy-mm-dd")))&amp;" ESC",SUMPRODUCT(('Daily Checklist'!$D$2:$D$2000=$A26)*(TEXT('Daily Checklist'!$B$2:$B$2000,"yyyy-mm-dd")=TEXT(($B$4+4),"yyyy-mm-dd"))*('Daily Checklist'!$F$2:$F$2000="Done"))&amp;"/"&amp;SUMPRODUCT(('Daily Checklist'!$D$2:$D$2000=$A26)*(TEXT('Daily Checklist'!$B$2:$B$2000,"yyyy-mm-dd")=TEXT(($B$4+4),"yyyy-mm-dd"))))))</f>
        <v/>
      </c>
      <c r="G26" s="25" t="str">
        <f aca="false">IF($A26="","",IF(SUMPRODUCT(('Daily Checklist'!$D$2:$D$2000=$A26)*(TEXT('Daily Checklist'!$B$2:$B$2000,"yyyy-mm-dd")=TEXT(($B$4+5),"yyyy-mm-dd")))=0,"-",IF(SUMPRODUCT(('Daily Checklist'!$D$2:$D$2000=$A26)*(TEXT('Daily Checklist'!$B$2:$B$2000,"yyyy-mm-dd")=TEXT(($B$4+5),"yyyy-mm-dd"))*('Daily Checklist'!$L$2:$L$2000="Y"))&gt;0,SUMPRODUCT(('Daily Checklist'!$D$2:$D$2000=$A26)*(TEXT('Daily Checklist'!$B$2:$B$2000,"yyyy-mm-dd")=TEXT(($B$4+5),"yyyy-mm-dd"))*('Daily Checklist'!$F$2:$F$2000="Done"))&amp;"/"&amp;SUMPRODUCT(('Daily Checklist'!$D$2:$D$2000=$A26)*(TEXT('Daily Checklist'!$B$2:$B$2000,"yyyy-mm-dd")=TEXT(($B$4+5),"yyyy-mm-dd")))&amp;" ESC",SUMPRODUCT(('Daily Checklist'!$D$2:$D$2000=$A26)*(TEXT('Daily Checklist'!$B$2:$B$2000,"yyyy-mm-dd")=TEXT(($B$4+5),"yyyy-mm-dd"))*('Daily Checklist'!$F$2:$F$2000="Done"))&amp;"/"&amp;SUMPRODUCT(('Daily Checklist'!$D$2:$D$2000=$A26)*(TEXT('Daily Checklist'!$B$2:$B$2000,"yyyy-mm-dd")=TEXT(($B$4+5),"yyyy-mm-dd"))))))</f>
        <v/>
      </c>
      <c r="H26" s="25" t="str">
        <f aca="false">IF($A26="","",IF(SUMPRODUCT(('Daily Checklist'!$D$2:$D$2000=$A26)*(TEXT('Daily Checklist'!$B$2:$B$2000,"yyyy-mm-dd")=TEXT(($B$4+6),"yyyy-mm-dd")))=0,"-",IF(SUMPRODUCT(('Daily Checklist'!$D$2:$D$2000=$A26)*(TEXT('Daily Checklist'!$B$2:$B$2000,"yyyy-mm-dd")=TEXT(($B$4+6),"yyyy-mm-dd"))*('Daily Checklist'!$L$2:$L$2000="Y"))&gt;0,SUMPRODUCT(('Daily Checklist'!$D$2:$D$2000=$A26)*(TEXT('Daily Checklist'!$B$2:$B$2000,"yyyy-mm-dd")=TEXT(($B$4+6),"yyyy-mm-dd"))*('Daily Checklist'!$F$2:$F$2000="Done"))&amp;"/"&amp;SUMPRODUCT(('Daily Checklist'!$D$2:$D$2000=$A26)*(TEXT('Daily Checklist'!$B$2:$B$2000,"yyyy-mm-dd")=TEXT(($B$4+6),"yyyy-mm-dd")))&amp;" ESC",SUMPRODUCT(('Daily Checklist'!$D$2:$D$2000=$A26)*(TEXT('Daily Checklist'!$B$2:$B$2000,"yyyy-mm-dd")=TEXT(($B$4+6),"yyyy-mm-dd"))*('Daily Checklist'!$F$2:$F$2000="Done"))&amp;"/"&amp;SUMPRODUCT(('Daily Checklist'!$D$2:$D$2000=$A26)*(TEXT('Daily Checklist'!$B$2:$B$2000,"yyyy-mm-dd")=TEXT(($B$4+6),"yyyy-mm-dd"))))))</f>
        <v/>
      </c>
      <c r="I26" s="25" t="str">
        <f aca="false">IF($A26="","",IF(SUMPRODUCT(('Daily Checklist'!$D$2:$D$2000=$A26)*(TEXT('Daily Checklist'!$B$2:$B$2000,"yyyy-mm-dd")=TEXT(($B$4+7),"yyyy-mm-dd")))=0,"-",IF(SUMPRODUCT(('Daily Checklist'!$D$2:$D$2000=$A26)*(TEXT('Daily Checklist'!$B$2:$B$2000,"yyyy-mm-dd")=TEXT(($B$4+7),"yyyy-mm-dd"))*('Daily Checklist'!$L$2:$L$2000="Y"))&gt;0,SUMPRODUCT(('Daily Checklist'!$D$2:$D$2000=$A26)*(TEXT('Daily Checklist'!$B$2:$B$2000,"yyyy-mm-dd")=TEXT(($B$4+7),"yyyy-mm-dd"))*('Daily Checklist'!$F$2:$F$2000="Done"))&amp;"/"&amp;SUMPRODUCT(('Daily Checklist'!$D$2:$D$2000=$A26)*(TEXT('Daily Checklist'!$B$2:$B$2000,"yyyy-mm-dd")=TEXT(($B$4+7),"yyyy-mm-dd")))&amp;" ESC",SUMPRODUCT(('Daily Checklist'!$D$2:$D$2000=$A26)*(TEXT('Daily Checklist'!$B$2:$B$2000,"yyyy-mm-dd")=TEXT(($B$4+7),"yyyy-mm-dd"))*('Daily Checklist'!$F$2:$F$2000="Done"))&amp;"/"&amp;SUMPRODUCT(('Daily Checklist'!$D$2:$D$2000=$A26)*(TEXT('Daily Checklist'!$B$2:$B$2000,"yyyy-mm-dd")=TEXT(($B$4+7),"yyyy-mm-dd"))))))</f>
        <v/>
      </c>
      <c r="J26" s="25" t="str">
        <f aca="false">IF($A26="","",IF(SUMPRODUCT(('Daily Checklist'!$D$2:$D$2000=$A26)*(TEXT('Daily Checklist'!$B$2:$B$2000,"yyyy-mm-dd")=TEXT(($B$4+8),"yyyy-mm-dd")))=0,"-",IF(SUMPRODUCT(('Daily Checklist'!$D$2:$D$2000=$A26)*(TEXT('Daily Checklist'!$B$2:$B$2000,"yyyy-mm-dd")=TEXT(($B$4+8),"yyyy-mm-dd"))*('Daily Checklist'!$L$2:$L$2000="Y"))&gt;0,SUMPRODUCT(('Daily Checklist'!$D$2:$D$2000=$A26)*(TEXT('Daily Checklist'!$B$2:$B$2000,"yyyy-mm-dd")=TEXT(($B$4+8),"yyyy-mm-dd"))*('Daily Checklist'!$F$2:$F$2000="Done"))&amp;"/"&amp;SUMPRODUCT(('Daily Checklist'!$D$2:$D$2000=$A26)*(TEXT('Daily Checklist'!$B$2:$B$2000,"yyyy-mm-dd")=TEXT(($B$4+8),"yyyy-mm-dd")))&amp;" ESC",SUMPRODUCT(('Daily Checklist'!$D$2:$D$2000=$A26)*(TEXT('Daily Checklist'!$B$2:$B$2000,"yyyy-mm-dd")=TEXT(($B$4+8),"yyyy-mm-dd"))*('Daily Checklist'!$F$2:$F$2000="Done"))&amp;"/"&amp;SUMPRODUCT(('Daily Checklist'!$D$2:$D$2000=$A26)*(TEXT('Daily Checklist'!$B$2:$B$2000,"yyyy-mm-dd")=TEXT(($B$4+8),"yyyy-mm-dd"))))))</f>
        <v/>
      </c>
      <c r="K26" s="25" t="str">
        <f aca="false">IF($A26="","",IF(SUMPRODUCT(('Daily Checklist'!$D$2:$D$2000=$A26)*(TEXT('Daily Checklist'!$B$2:$B$2000,"yyyy-mm-dd")=TEXT(($B$4+9),"yyyy-mm-dd")))=0,"-",IF(SUMPRODUCT(('Daily Checklist'!$D$2:$D$2000=$A26)*(TEXT('Daily Checklist'!$B$2:$B$2000,"yyyy-mm-dd")=TEXT(($B$4+9),"yyyy-mm-dd"))*('Daily Checklist'!$L$2:$L$2000="Y"))&gt;0,SUMPRODUCT(('Daily Checklist'!$D$2:$D$2000=$A26)*(TEXT('Daily Checklist'!$B$2:$B$2000,"yyyy-mm-dd")=TEXT(($B$4+9),"yyyy-mm-dd"))*('Daily Checklist'!$F$2:$F$2000="Done"))&amp;"/"&amp;SUMPRODUCT(('Daily Checklist'!$D$2:$D$2000=$A26)*(TEXT('Daily Checklist'!$B$2:$B$2000,"yyyy-mm-dd")=TEXT(($B$4+9),"yyyy-mm-dd")))&amp;" ESC",SUMPRODUCT(('Daily Checklist'!$D$2:$D$2000=$A26)*(TEXT('Daily Checklist'!$B$2:$B$2000,"yyyy-mm-dd")=TEXT(($B$4+9),"yyyy-mm-dd"))*('Daily Checklist'!$F$2:$F$2000="Done"))&amp;"/"&amp;SUMPRODUCT(('Daily Checklist'!$D$2:$D$2000=$A26)*(TEXT('Daily Checklist'!$B$2:$B$2000,"yyyy-mm-dd")=TEXT(($B$4+9),"yyyy-mm-dd"))))))</f>
        <v/>
      </c>
      <c r="L26" s="25" t="str">
        <f aca="false">IF($A26="","",IF(SUMPRODUCT(('Daily Checklist'!$D$2:$D$2000=$A26)*(TEXT('Daily Checklist'!$B$2:$B$2000,"yyyy-mm-dd")=TEXT(($B$4+10),"yyyy-mm-dd")))=0,"-",IF(SUMPRODUCT(('Daily Checklist'!$D$2:$D$2000=$A26)*(TEXT('Daily Checklist'!$B$2:$B$2000,"yyyy-mm-dd")=TEXT(($B$4+10),"yyyy-mm-dd"))*('Daily Checklist'!$L$2:$L$2000="Y"))&gt;0,SUMPRODUCT(('Daily Checklist'!$D$2:$D$2000=$A26)*(TEXT('Daily Checklist'!$B$2:$B$2000,"yyyy-mm-dd")=TEXT(($B$4+10),"yyyy-mm-dd"))*('Daily Checklist'!$F$2:$F$2000="Done"))&amp;"/"&amp;SUMPRODUCT(('Daily Checklist'!$D$2:$D$2000=$A26)*(TEXT('Daily Checklist'!$B$2:$B$2000,"yyyy-mm-dd")=TEXT(($B$4+10),"yyyy-mm-dd")))&amp;" ESC",SUMPRODUCT(('Daily Checklist'!$D$2:$D$2000=$A26)*(TEXT('Daily Checklist'!$B$2:$B$2000,"yyyy-mm-dd")=TEXT(($B$4+10),"yyyy-mm-dd"))*('Daily Checklist'!$F$2:$F$2000="Done"))&amp;"/"&amp;SUMPRODUCT(('Daily Checklist'!$D$2:$D$2000=$A26)*(TEXT('Daily Checklist'!$B$2:$B$2000,"yyyy-mm-dd")=TEXT(($B$4+10),"yyyy-mm-dd"))))))</f>
        <v/>
      </c>
      <c r="M26" s="25" t="str">
        <f aca="false">IF($A26="","",IF(SUMPRODUCT(('Daily Checklist'!$D$2:$D$2000=$A26)*(TEXT('Daily Checklist'!$B$2:$B$2000,"yyyy-mm-dd")=TEXT(($B$4+11),"yyyy-mm-dd")))=0,"-",IF(SUMPRODUCT(('Daily Checklist'!$D$2:$D$2000=$A26)*(TEXT('Daily Checklist'!$B$2:$B$2000,"yyyy-mm-dd")=TEXT(($B$4+11),"yyyy-mm-dd"))*('Daily Checklist'!$L$2:$L$2000="Y"))&gt;0,SUMPRODUCT(('Daily Checklist'!$D$2:$D$2000=$A26)*(TEXT('Daily Checklist'!$B$2:$B$2000,"yyyy-mm-dd")=TEXT(($B$4+11),"yyyy-mm-dd"))*('Daily Checklist'!$F$2:$F$2000="Done"))&amp;"/"&amp;SUMPRODUCT(('Daily Checklist'!$D$2:$D$2000=$A26)*(TEXT('Daily Checklist'!$B$2:$B$2000,"yyyy-mm-dd")=TEXT(($B$4+11),"yyyy-mm-dd")))&amp;" ESC",SUMPRODUCT(('Daily Checklist'!$D$2:$D$2000=$A26)*(TEXT('Daily Checklist'!$B$2:$B$2000,"yyyy-mm-dd")=TEXT(($B$4+11),"yyyy-mm-dd"))*('Daily Checklist'!$F$2:$F$2000="Done"))&amp;"/"&amp;SUMPRODUCT(('Daily Checklist'!$D$2:$D$2000=$A26)*(TEXT('Daily Checklist'!$B$2:$B$2000,"yyyy-mm-dd")=TEXT(($B$4+11),"yyyy-mm-dd"))))))</f>
        <v/>
      </c>
      <c r="N26" s="25" t="str">
        <f aca="false">IF($A26="","",IF(SUMPRODUCT(('Daily Checklist'!$D$2:$D$2000=$A26)*(TEXT('Daily Checklist'!$B$2:$B$2000,"yyyy-mm-dd")=TEXT(($B$4+12),"yyyy-mm-dd")))=0,"-",IF(SUMPRODUCT(('Daily Checklist'!$D$2:$D$2000=$A26)*(TEXT('Daily Checklist'!$B$2:$B$2000,"yyyy-mm-dd")=TEXT(($B$4+12),"yyyy-mm-dd"))*('Daily Checklist'!$L$2:$L$2000="Y"))&gt;0,SUMPRODUCT(('Daily Checklist'!$D$2:$D$2000=$A26)*(TEXT('Daily Checklist'!$B$2:$B$2000,"yyyy-mm-dd")=TEXT(($B$4+12),"yyyy-mm-dd"))*('Daily Checklist'!$F$2:$F$2000="Done"))&amp;"/"&amp;SUMPRODUCT(('Daily Checklist'!$D$2:$D$2000=$A26)*(TEXT('Daily Checklist'!$B$2:$B$2000,"yyyy-mm-dd")=TEXT(($B$4+12),"yyyy-mm-dd")))&amp;" ESC",SUMPRODUCT(('Daily Checklist'!$D$2:$D$2000=$A26)*(TEXT('Daily Checklist'!$B$2:$B$2000,"yyyy-mm-dd")=TEXT(($B$4+12),"yyyy-mm-dd"))*('Daily Checklist'!$F$2:$F$2000="Done"))&amp;"/"&amp;SUMPRODUCT(('Daily Checklist'!$D$2:$D$2000=$A26)*(TEXT('Daily Checklist'!$B$2:$B$2000,"yyyy-mm-dd")=TEXT(($B$4+12),"yyyy-mm-dd"))))))</f>
        <v/>
      </c>
      <c r="O26" s="25" t="str">
        <f aca="false">IF($A26="","",IF(SUMPRODUCT(('Daily Checklist'!$D$2:$D$2000=$A26)*(TEXT('Daily Checklist'!$B$2:$B$2000,"yyyy-mm-dd")=TEXT(($B$4+13),"yyyy-mm-dd")))=0,"-",IF(SUMPRODUCT(('Daily Checklist'!$D$2:$D$2000=$A26)*(TEXT('Daily Checklist'!$B$2:$B$2000,"yyyy-mm-dd")=TEXT(($B$4+13),"yyyy-mm-dd"))*('Daily Checklist'!$L$2:$L$2000="Y"))&gt;0,SUMPRODUCT(('Daily Checklist'!$D$2:$D$2000=$A26)*(TEXT('Daily Checklist'!$B$2:$B$2000,"yyyy-mm-dd")=TEXT(($B$4+13),"yyyy-mm-dd"))*('Daily Checklist'!$F$2:$F$2000="Done"))&amp;"/"&amp;SUMPRODUCT(('Daily Checklist'!$D$2:$D$2000=$A26)*(TEXT('Daily Checklist'!$B$2:$B$2000,"yyyy-mm-dd")=TEXT(($B$4+13),"yyyy-mm-dd")))&amp;" ESC",SUMPRODUCT(('Daily Checklist'!$D$2:$D$2000=$A26)*(TEXT('Daily Checklist'!$B$2:$B$2000,"yyyy-mm-dd")=TEXT(($B$4+13),"yyyy-mm-dd"))*('Daily Checklist'!$F$2:$F$2000="Done"))&amp;"/"&amp;SUMPRODUCT(('Daily Checklist'!$D$2:$D$2000=$A26)*(TEXT('Daily Checklist'!$B$2:$B$2000,"yyyy-mm-dd")=TEXT(($B$4+13),"yyyy-mm-dd"))))))</f>
        <v/>
      </c>
      <c r="P26" s="25" t="str">
        <f aca="false">IF($A26="","",IF(SUMPRODUCT(('Daily Checklist'!$D$2:$D$2000=$A26)*(TEXT('Daily Checklist'!$B$2:$B$2000,"yyyy-mm-dd")=TEXT(($B$4+14),"yyyy-mm-dd")))=0,"-",IF(SUMPRODUCT(('Daily Checklist'!$D$2:$D$2000=$A26)*(TEXT('Daily Checklist'!$B$2:$B$2000,"yyyy-mm-dd")=TEXT(($B$4+14),"yyyy-mm-dd"))*('Daily Checklist'!$L$2:$L$2000="Y"))&gt;0,SUMPRODUCT(('Daily Checklist'!$D$2:$D$2000=$A26)*(TEXT('Daily Checklist'!$B$2:$B$2000,"yyyy-mm-dd")=TEXT(($B$4+14),"yyyy-mm-dd"))*('Daily Checklist'!$F$2:$F$2000="Done"))&amp;"/"&amp;SUMPRODUCT(('Daily Checklist'!$D$2:$D$2000=$A26)*(TEXT('Daily Checklist'!$B$2:$B$2000,"yyyy-mm-dd")=TEXT(($B$4+14),"yyyy-mm-dd")))&amp;" ESC",SUMPRODUCT(('Daily Checklist'!$D$2:$D$2000=$A26)*(TEXT('Daily Checklist'!$B$2:$B$2000,"yyyy-mm-dd")=TEXT(($B$4+14),"yyyy-mm-dd"))*('Daily Checklist'!$F$2:$F$2000="Done"))&amp;"/"&amp;SUMPRODUCT(('Daily Checklist'!$D$2:$D$2000=$A26)*(TEXT('Daily Checklist'!$B$2:$B$2000,"yyyy-mm-dd")=TEXT(($B$4+14),"yyyy-mm-dd"))))))</f>
        <v/>
      </c>
      <c r="Q26" s="25" t="str">
        <f aca="false">IF($A26="","",IF(SUMPRODUCT(('Daily Checklist'!$D$2:$D$2000=$A26)*(TEXT('Daily Checklist'!$B$2:$B$2000,"yyyy-mm-dd")=TEXT(($B$4+15),"yyyy-mm-dd")))=0,"-",IF(SUMPRODUCT(('Daily Checklist'!$D$2:$D$2000=$A26)*(TEXT('Daily Checklist'!$B$2:$B$2000,"yyyy-mm-dd")=TEXT(($B$4+15),"yyyy-mm-dd"))*('Daily Checklist'!$L$2:$L$2000="Y"))&gt;0,SUMPRODUCT(('Daily Checklist'!$D$2:$D$2000=$A26)*(TEXT('Daily Checklist'!$B$2:$B$2000,"yyyy-mm-dd")=TEXT(($B$4+15),"yyyy-mm-dd"))*('Daily Checklist'!$F$2:$F$2000="Done"))&amp;"/"&amp;SUMPRODUCT(('Daily Checklist'!$D$2:$D$2000=$A26)*(TEXT('Daily Checklist'!$B$2:$B$2000,"yyyy-mm-dd")=TEXT(($B$4+15),"yyyy-mm-dd")))&amp;" ESC",SUMPRODUCT(('Daily Checklist'!$D$2:$D$2000=$A26)*(TEXT('Daily Checklist'!$B$2:$B$2000,"yyyy-mm-dd")=TEXT(($B$4+15),"yyyy-mm-dd"))*('Daily Checklist'!$F$2:$F$2000="Done"))&amp;"/"&amp;SUMPRODUCT(('Daily Checklist'!$D$2:$D$2000=$A26)*(TEXT('Daily Checklist'!$B$2:$B$2000,"yyyy-mm-dd")=TEXT(($B$4+15),"yyyy-mm-dd"))))))</f>
        <v/>
      </c>
      <c r="R26" s="25" t="str">
        <f aca="false">IF($A26="","",IF(SUMPRODUCT(('Daily Checklist'!$D$2:$D$2000=$A26)*(TEXT('Daily Checklist'!$B$2:$B$2000,"yyyy-mm-dd")=TEXT(($B$4+16),"yyyy-mm-dd")))=0,"-",IF(SUMPRODUCT(('Daily Checklist'!$D$2:$D$2000=$A26)*(TEXT('Daily Checklist'!$B$2:$B$2000,"yyyy-mm-dd")=TEXT(($B$4+16),"yyyy-mm-dd"))*('Daily Checklist'!$L$2:$L$2000="Y"))&gt;0,SUMPRODUCT(('Daily Checklist'!$D$2:$D$2000=$A26)*(TEXT('Daily Checklist'!$B$2:$B$2000,"yyyy-mm-dd")=TEXT(($B$4+16),"yyyy-mm-dd"))*('Daily Checklist'!$F$2:$F$2000="Done"))&amp;"/"&amp;SUMPRODUCT(('Daily Checklist'!$D$2:$D$2000=$A26)*(TEXT('Daily Checklist'!$B$2:$B$2000,"yyyy-mm-dd")=TEXT(($B$4+16),"yyyy-mm-dd")))&amp;" ESC",SUMPRODUCT(('Daily Checklist'!$D$2:$D$2000=$A26)*(TEXT('Daily Checklist'!$B$2:$B$2000,"yyyy-mm-dd")=TEXT(($B$4+16),"yyyy-mm-dd"))*('Daily Checklist'!$F$2:$F$2000="Done"))&amp;"/"&amp;SUMPRODUCT(('Daily Checklist'!$D$2:$D$2000=$A26)*(TEXT('Daily Checklist'!$B$2:$B$2000,"yyyy-mm-dd")=TEXT(($B$4+16),"yyyy-mm-dd"))))))</f>
        <v/>
      </c>
      <c r="S26" s="25" t="str">
        <f aca="false">IF($A26="","",IF(SUMPRODUCT(('Daily Checklist'!$D$2:$D$2000=$A26)*(TEXT('Daily Checklist'!$B$2:$B$2000,"yyyy-mm-dd")=TEXT(($B$4+17),"yyyy-mm-dd")))=0,"-",IF(SUMPRODUCT(('Daily Checklist'!$D$2:$D$2000=$A26)*(TEXT('Daily Checklist'!$B$2:$B$2000,"yyyy-mm-dd")=TEXT(($B$4+17),"yyyy-mm-dd"))*('Daily Checklist'!$L$2:$L$2000="Y"))&gt;0,SUMPRODUCT(('Daily Checklist'!$D$2:$D$2000=$A26)*(TEXT('Daily Checklist'!$B$2:$B$2000,"yyyy-mm-dd")=TEXT(($B$4+17),"yyyy-mm-dd"))*('Daily Checklist'!$F$2:$F$2000="Done"))&amp;"/"&amp;SUMPRODUCT(('Daily Checklist'!$D$2:$D$2000=$A26)*(TEXT('Daily Checklist'!$B$2:$B$2000,"yyyy-mm-dd")=TEXT(($B$4+17),"yyyy-mm-dd")))&amp;" ESC",SUMPRODUCT(('Daily Checklist'!$D$2:$D$2000=$A26)*(TEXT('Daily Checklist'!$B$2:$B$2000,"yyyy-mm-dd")=TEXT(($B$4+17),"yyyy-mm-dd"))*('Daily Checklist'!$F$2:$F$2000="Done"))&amp;"/"&amp;SUMPRODUCT(('Daily Checklist'!$D$2:$D$2000=$A26)*(TEXT('Daily Checklist'!$B$2:$B$2000,"yyyy-mm-dd")=TEXT(($B$4+17),"yyyy-mm-dd"))))))</f>
        <v/>
      </c>
      <c r="T26" s="25" t="str">
        <f aca="false">IF($A26="","",IF(SUMPRODUCT(('Daily Checklist'!$D$2:$D$2000=$A26)*(TEXT('Daily Checklist'!$B$2:$B$2000,"yyyy-mm-dd")=TEXT(($B$4+18),"yyyy-mm-dd")))=0,"-",IF(SUMPRODUCT(('Daily Checklist'!$D$2:$D$2000=$A26)*(TEXT('Daily Checklist'!$B$2:$B$2000,"yyyy-mm-dd")=TEXT(($B$4+18),"yyyy-mm-dd"))*('Daily Checklist'!$L$2:$L$2000="Y"))&gt;0,SUMPRODUCT(('Daily Checklist'!$D$2:$D$2000=$A26)*(TEXT('Daily Checklist'!$B$2:$B$2000,"yyyy-mm-dd")=TEXT(($B$4+18),"yyyy-mm-dd"))*('Daily Checklist'!$F$2:$F$2000="Done"))&amp;"/"&amp;SUMPRODUCT(('Daily Checklist'!$D$2:$D$2000=$A26)*(TEXT('Daily Checklist'!$B$2:$B$2000,"yyyy-mm-dd")=TEXT(($B$4+18),"yyyy-mm-dd")))&amp;" ESC",SUMPRODUCT(('Daily Checklist'!$D$2:$D$2000=$A26)*(TEXT('Daily Checklist'!$B$2:$B$2000,"yyyy-mm-dd")=TEXT(($B$4+18),"yyyy-mm-dd"))*('Daily Checklist'!$F$2:$F$2000="Done"))&amp;"/"&amp;SUMPRODUCT(('Daily Checklist'!$D$2:$D$2000=$A26)*(TEXT('Daily Checklist'!$B$2:$B$2000,"yyyy-mm-dd")=TEXT(($B$4+18),"yyyy-mm-dd"))))))</f>
        <v/>
      </c>
      <c r="U26" s="25" t="str">
        <f aca="false">IF($A26="","",IF(SUMPRODUCT(('Daily Checklist'!$D$2:$D$2000=$A26)*(TEXT('Daily Checklist'!$B$2:$B$2000,"yyyy-mm-dd")=TEXT(($B$4+19),"yyyy-mm-dd")))=0,"-",IF(SUMPRODUCT(('Daily Checklist'!$D$2:$D$2000=$A26)*(TEXT('Daily Checklist'!$B$2:$B$2000,"yyyy-mm-dd")=TEXT(($B$4+19),"yyyy-mm-dd"))*('Daily Checklist'!$L$2:$L$2000="Y"))&gt;0,SUMPRODUCT(('Daily Checklist'!$D$2:$D$2000=$A26)*(TEXT('Daily Checklist'!$B$2:$B$2000,"yyyy-mm-dd")=TEXT(($B$4+19),"yyyy-mm-dd"))*('Daily Checklist'!$F$2:$F$2000="Done"))&amp;"/"&amp;SUMPRODUCT(('Daily Checklist'!$D$2:$D$2000=$A26)*(TEXT('Daily Checklist'!$B$2:$B$2000,"yyyy-mm-dd")=TEXT(($B$4+19),"yyyy-mm-dd")))&amp;" ESC",SUMPRODUCT(('Daily Checklist'!$D$2:$D$2000=$A26)*(TEXT('Daily Checklist'!$B$2:$B$2000,"yyyy-mm-dd")=TEXT(($B$4+19),"yyyy-mm-dd"))*('Daily Checklist'!$F$2:$F$2000="Done"))&amp;"/"&amp;SUMPRODUCT(('Daily Checklist'!$D$2:$D$2000=$A26)*(TEXT('Daily Checklist'!$B$2:$B$2000,"yyyy-mm-dd")=TEXT(($B$4+19),"yyyy-mm-dd"))))))</f>
        <v/>
      </c>
      <c r="V26" s="25" t="str">
        <f aca="false">IF($A26="","",IF(SUMPRODUCT(('Daily Checklist'!$D$2:$D$2000=$A26)*(TEXT('Daily Checklist'!$B$2:$B$2000,"yyyy-mm-dd")=TEXT(($B$4+20),"yyyy-mm-dd")))=0,"-",IF(SUMPRODUCT(('Daily Checklist'!$D$2:$D$2000=$A26)*(TEXT('Daily Checklist'!$B$2:$B$2000,"yyyy-mm-dd")=TEXT(($B$4+20),"yyyy-mm-dd"))*('Daily Checklist'!$L$2:$L$2000="Y"))&gt;0,SUMPRODUCT(('Daily Checklist'!$D$2:$D$2000=$A26)*(TEXT('Daily Checklist'!$B$2:$B$2000,"yyyy-mm-dd")=TEXT(($B$4+20),"yyyy-mm-dd"))*('Daily Checklist'!$F$2:$F$2000="Done"))&amp;"/"&amp;SUMPRODUCT(('Daily Checklist'!$D$2:$D$2000=$A26)*(TEXT('Daily Checklist'!$B$2:$B$2000,"yyyy-mm-dd")=TEXT(($B$4+20),"yyyy-mm-dd")))&amp;" ESC",SUMPRODUCT(('Daily Checklist'!$D$2:$D$2000=$A26)*(TEXT('Daily Checklist'!$B$2:$B$2000,"yyyy-mm-dd")=TEXT(($B$4+20),"yyyy-mm-dd"))*('Daily Checklist'!$F$2:$F$2000="Done"))&amp;"/"&amp;SUMPRODUCT(('Daily Checklist'!$D$2:$D$2000=$A26)*(TEXT('Daily Checklist'!$B$2:$B$2000,"yyyy-mm-dd")=TEXT(($B$4+20),"yyyy-mm-dd"))))))</f>
        <v/>
      </c>
      <c r="W26" s="25" t="str">
        <f aca="false">IF($A26="","",IF(SUMPRODUCT(('Daily Checklist'!$D$2:$D$2000=$A26)*(TEXT('Daily Checklist'!$B$2:$B$2000,"yyyy-mm-dd")=TEXT(($B$4+21),"yyyy-mm-dd")))=0,"-",IF(SUMPRODUCT(('Daily Checklist'!$D$2:$D$2000=$A26)*(TEXT('Daily Checklist'!$B$2:$B$2000,"yyyy-mm-dd")=TEXT(($B$4+21),"yyyy-mm-dd"))*('Daily Checklist'!$L$2:$L$2000="Y"))&gt;0,SUMPRODUCT(('Daily Checklist'!$D$2:$D$2000=$A26)*(TEXT('Daily Checklist'!$B$2:$B$2000,"yyyy-mm-dd")=TEXT(($B$4+21),"yyyy-mm-dd"))*('Daily Checklist'!$F$2:$F$2000="Done"))&amp;"/"&amp;SUMPRODUCT(('Daily Checklist'!$D$2:$D$2000=$A26)*(TEXT('Daily Checklist'!$B$2:$B$2000,"yyyy-mm-dd")=TEXT(($B$4+21),"yyyy-mm-dd")))&amp;" ESC",SUMPRODUCT(('Daily Checklist'!$D$2:$D$2000=$A26)*(TEXT('Daily Checklist'!$B$2:$B$2000,"yyyy-mm-dd")=TEXT(($B$4+21),"yyyy-mm-dd"))*('Daily Checklist'!$F$2:$F$2000="Done"))&amp;"/"&amp;SUMPRODUCT(('Daily Checklist'!$D$2:$D$2000=$A26)*(TEXT('Daily Checklist'!$B$2:$B$2000,"yyyy-mm-dd")=TEXT(($B$4+21),"yyyy-mm-dd"))))))</f>
        <v/>
      </c>
      <c r="X26" s="25" t="str">
        <f aca="false">IF($A26="","",IF(SUMPRODUCT(('Daily Checklist'!$D$2:$D$2000=$A26)*(TEXT('Daily Checklist'!$B$2:$B$2000,"yyyy-mm-dd")=TEXT(($B$4+22),"yyyy-mm-dd")))=0,"-",IF(SUMPRODUCT(('Daily Checklist'!$D$2:$D$2000=$A26)*(TEXT('Daily Checklist'!$B$2:$B$2000,"yyyy-mm-dd")=TEXT(($B$4+22),"yyyy-mm-dd"))*('Daily Checklist'!$L$2:$L$2000="Y"))&gt;0,SUMPRODUCT(('Daily Checklist'!$D$2:$D$2000=$A26)*(TEXT('Daily Checklist'!$B$2:$B$2000,"yyyy-mm-dd")=TEXT(($B$4+22),"yyyy-mm-dd"))*('Daily Checklist'!$F$2:$F$2000="Done"))&amp;"/"&amp;SUMPRODUCT(('Daily Checklist'!$D$2:$D$2000=$A26)*(TEXT('Daily Checklist'!$B$2:$B$2000,"yyyy-mm-dd")=TEXT(($B$4+22),"yyyy-mm-dd")))&amp;" ESC",SUMPRODUCT(('Daily Checklist'!$D$2:$D$2000=$A26)*(TEXT('Daily Checklist'!$B$2:$B$2000,"yyyy-mm-dd")=TEXT(($B$4+22),"yyyy-mm-dd"))*('Daily Checklist'!$F$2:$F$2000="Done"))&amp;"/"&amp;SUMPRODUCT(('Daily Checklist'!$D$2:$D$2000=$A26)*(TEXT('Daily Checklist'!$B$2:$B$2000,"yyyy-mm-dd")=TEXT(($B$4+22),"yyyy-mm-dd"))))))</f>
        <v/>
      </c>
      <c r="Y26" s="25" t="str">
        <f aca="false">IF($A26="","",IF(SUMPRODUCT(('Daily Checklist'!$D$2:$D$2000=$A26)*(TEXT('Daily Checklist'!$B$2:$B$2000,"yyyy-mm-dd")=TEXT(($B$4+23),"yyyy-mm-dd")))=0,"-",IF(SUMPRODUCT(('Daily Checklist'!$D$2:$D$2000=$A26)*(TEXT('Daily Checklist'!$B$2:$B$2000,"yyyy-mm-dd")=TEXT(($B$4+23),"yyyy-mm-dd"))*('Daily Checklist'!$L$2:$L$2000="Y"))&gt;0,SUMPRODUCT(('Daily Checklist'!$D$2:$D$2000=$A26)*(TEXT('Daily Checklist'!$B$2:$B$2000,"yyyy-mm-dd")=TEXT(($B$4+23),"yyyy-mm-dd"))*('Daily Checklist'!$F$2:$F$2000="Done"))&amp;"/"&amp;SUMPRODUCT(('Daily Checklist'!$D$2:$D$2000=$A26)*(TEXT('Daily Checklist'!$B$2:$B$2000,"yyyy-mm-dd")=TEXT(($B$4+23),"yyyy-mm-dd")))&amp;" ESC",SUMPRODUCT(('Daily Checklist'!$D$2:$D$2000=$A26)*(TEXT('Daily Checklist'!$B$2:$B$2000,"yyyy-mm-dd")=TEXT(($B$4+23),"yyyy-mm-dd"))*('Daily Checklist'!$F$2:$F$2000="Done"))&amp;"/"&amp;SUMPRODUCT(('Daily Checklist'!$D$2:$D$2000=$A26)*(TEXT('Daily Checklist'!$B$2:$B$2000,"yyyy-mm-dd")=TEXT(($B$4+23),"yyyy-mm-dd"))))))</f>
        <v/>
      </c>
      <c r="Z26" s="25" t="str">
        <f aca="false">IF($A26="","",IF(SUMPRODUCT(('Daily Checklist'!$D$2:$D$2000=$A26)*(TEXT('Daily Checklist'!$B$2:$B$2000,"yyyy-mm-dd")=TEXT(($B$4+24),"yyyy-mm-dd")))=0,"-",IF(SUMPRODUCT(('Daily Checklist'!$D$2:$D$2000=$A26)*(TEXT('Daily Checklist'!$B$2:$B$2000,"yyyy-mm-dd")=TEXT(($B$4+24),"yyyy-mm-dd"))*('Daily Checklist'!$L$2:$L$2000="Y"))&gt;0,SUMPRODUCT(('Daily Checklist'!$D$2:$D$2000=$A26)*(TEXT('Daily Checklist'!$B$2:$B$2000,"yyyy-mm-dd")=TEXT(($B$4+24),"yyyy-mm-dd"))*('Daily Checklist'!$F$2:$F$2000="Done"))&amp;"/"&amp;SUMPRODUCT(('Daily Checklist'!$D$2:$D$2000=$A26)*(TEXT('Daily Checklist'!$B$2:$B$2000,"yyyy-mm-dd")=TEXT(($B$4+24),"yyyy-mm-dd")))&amp;" ESC",SUMPRODUCT(('Daily Checklist'!$D$2:$D$2000=$A26)*(TEXT('Daily Checklist'!$B$2:$B$2000,"yyyy-mm-dd")=TEXT(($B$4+24),"yyyy-mm-dd"))*('Daily Checklist'!$F$2:$F$2000="Done"))&amp;"/"&amp;SUMPRODUCT(('Daily Checklist'!$D$2:$D$2000=$A26)*(TEXT('Daily Checklist'!$B$2:$B$2000,"yyyy-mm-dd")=TEXT(($B$4+24),"yyyy-mm-dd"))))))</f>
        <v/>
      </c>
      <c r="AA26" s="25" t="str">
        <f aca="false">IF($A26="","",IF(SUMPRODUCT(('Daily Checklist'!$D$2:$D$2000=$A26)*(TEXT('Daily Checklist'!$B$2:$B$2000,"yyyy-mm-dd")=TEXT(($B$4+25),"yyyy-mm-dd")))=0,"-",IF(SUMPRODUCT(('Daily Checklist'!$D$2:$D$2000=$A26)*(TEXT('Daily Checklist'!$B$2:$B$2000,"yyyy-mm-dd")=TEXT(($B$4+25),"yyyy-mm-dd"))*('Daily Checklist'!$L$2:$L$2000="Y"))&gt;0,SUMPRODUCT(('Daily Checklist'!$D$2:$D$2000=$A26)*(TEXT('Daily Checklist'!$B$2:$B$2000,"yyyy-mm-dd")=TEXT(($B$4+25),"yyyy-mm-dd"))*('Daily Checklist'!$F$2:$F$2000="Done"))&amp;"/"&amp;SUMPRODUCT(('Daily Checklist'!$D$2:$D$2000=$A26)*(TEXT('Daily Checklist'!$B$2:$B$2000,"yyyy-mm-dd")=TEXT(($B$4+25),"yyyy-mm-dd")))&amp;" ESC",SUMPRODUCT(('Daily Checklist'!$D$2:$D$2000=$A26)*(TEXT('Daily Checklist'!$B$2:$B$2000,"yyyy-mm-dd")=TEXT(($B$4+25),"yyyy-mm-dd"))*('Daily Checklist'!$F$2:$F$2000="Done"))&amp;"/"&amp;SUMPRODUCT(('Daily Checklist'!$D$2:$D$2000=$A26)*(TEXT('Daily Checklist'!$B$2:$B$2000,"yyyy-mm-dd")=TEXT(($B$4+25),"yyyy-mm-dd"))))))</f>
        <v/>
      </c>
      <c r="AB26" s="25" t="str">
        <f aca="false">IF($A26="","",IF(SUMPRODUCT(('Daily Checklist'!$D$2:$D$2000=$A26)*(TEXT('Daily Checklist'!$B$2:$B$2000,"yyyy-mm-dd")=TEXT(($B$4+26),"yyyy-mm-dd")))=0,"-",IF(SUMPRODUCT(('Daily Checklist'!$D$2:$D$2000=$A26)*(TEXT('Daily Checklist'!$B$2:$B$2000,"yyyy-mm-dd")=TEXT(($B$4+26),"yyyy-mm-dd"))*('Daily Checklist'!$L$2:$L$2000="Y"))&gt;0,SUMPRODUCT(('Daily Checklist'!$D$2:$D$2000=$A26)*(TEXT('Daily Checklist'!$B$2:$B$2000,"yyyy-mm-dd")=TEXT(($B$4+26),"yyyy-mm-dd"))*('Daily Checklist'!$F$2:$F$2000="Done"))&amp;"/"&amp;SUMPRODUCT(('Daily Checklist'!$D$2:$D$2000=$A26)*(TEXT('Daily Checklist'!$B$2:$B$2000,"yyyy-mm-dd")=TEXT(($B$4+26),"yyyy-mm-dd")))&amp;" ESC",SUMPRODUCT(('Daily Checklist'!$D$2:$D$2000=$A26)*(TEXT('Daily Checklist'!$B$2:$B$2000,"yyyy-mm-dd")=TEXT(($B$4+26),"yyyy-mm-dd"))*('Daily Checklist'!$F$2:$F$2000="Done"))&amp;"/"&amp;SUMPRODUCT(('Daily Checklist'!$D$2:$D$2000=$A26)*(TEXT('Daily Checklist'!$B$2:$B$2000,"yyyy-mm-dd")=TEXT(($B$4+26),"yyyy-mm-dd"))))))</f>
        <v/>
      </c>
      <c r="AC26" s="25" t="str">
        <f aca="false">IF($A26="","",IF(SUMPRODUCT(('Daily Checklist'!$D$2:$D$2000=$A26)*(TEXT('Daily Checklist'!$B$2:$B$2000,"yyyy-mm-dd")=TEXT(($B$4+27),"yyyy-mm-dd")))=0,"-",IF(SUMPRODUCT(('Daily Checklist'!$D$2:$D$2000=$A26)*(TEXT('Daily Checklist'!$B$2:$B$2000,"yyyy-mm-dd")=TEXT(($B$4+27),"yyyy-mm-dd"))*('Daily Checklist'!$L$2:$L$2000="Y"))&gt;0,SUMPRODUCT(('Daily Checklist'!$D$2:$D$2000=$A26)*(TEXT('Daily Checklist'!$B$2:$B$2000,"yyyy-mm-dd")=TEXT(($B$4+27),"yyyy-mm-dd"))*('Daily Checklist'!$F$2:$F$2000="Done"))&amp;"/"&amp;SUMPRODUCT(('Daily Checklist'!$D$2:$D$2000=$A26)*(TEXT('Daily Checklist'!$B$2:$B$2000,"yyyy-mm-dd")=TEXT(($B$4+27),"yyyy-mm-dd")))&amp;" ESC",SUMPRODUCT(('Daily Checklist'!$D$2:$D$2000=$A26)*(TEXT('Daily Checklist'!$B$2:$B$2000,"yyyy-mm-dd")=TEXT(($B$4+27),"yyyy-mm-dd"))*('Daily Checklist'!$F$2:$F$2000="Done"))&amp;"/"&amp;SUMPRODUCT(('Daily Checklist'!$D$2:$D$2000=$A26)*(TEXT('Daily Checklist'!$B$2:$B$2000,"yyyy-mm-dd")=TEXT(($B$4+27),"yyyy-mm-dd"))))))</f>
        <v/>
      </c>
      <c r="AD26" s="25" t="str">
        <f aca="false">IF($A26="","",IF(SUMPRODUCT(('Daily Checklist'!$D$2:$D$2000=$A26)*(TEXT('Daily Checklist'!$B$2:$B$2000,"yyyy-mm-dd")=TEXT(($B$4+28),"yyyy-mm-dd")))=0,"-",IF(SUMPRODUCT(('Daily Checklist'!$D$2:$D$2000=$A26)*(TEXT('Daily Checklist'!$B$2:$B$2000,"yyyy-mm-dd")=TEXT(($B$4+28),"yyyy-mm-dd"))*('Daily Checklist'!$L$2:$L$2000="Y"))&gt;0,SUMPRODUCT(('Daily Checklist'!$D$2:$D$2000=$A26)*(TEXT('Daily Checklist'!$B$2:$B$2000,"yyyy-mm-dd")=TEXT(($B$4+28),"yyyy-mm-dd"))*('Daily Checklist'!$F$2:$F$2000="Done"))&amp;"/"&amp;SUMPRODUCT(('Daily Checklist'!$D$2:$D$2000=$A26)*(TEXT('Daily Checklist'!$B$2:$B$2000,"yyyy-mm-dd")=TEXT(($B$4+28),"yyyy-mm-dd")))&amp;" ESC",SUMPRODUCT(('Daily Checklist'!$D$2:$D$2000=$A26)*(TEXT('Daily Checklist'!$B$2:$B$2000,"yyyy-mm-dd")=TEXT(($B$4+28),"yyyy-mm-dd"))*('Daily Checklist'!$F$2:$F$2000="Done"))&amp;"/"&amp;SUMPRODUCT(('Daily Checklist'!$D$2:$D$2000=$A26)*(TEXT('Daily Checklist'!$B$2:$B$2000,"yyyy-mm-dd")=TEXT(($B$4+28),"yyyy-mm-dd"))))))</f>
        <v/>
      </c>
      <c r="AE26" s="25" t="str">
        <f aca="false">IF($A26="","",IF(SUMPRODUCT(('Daily Checklist'!$D$2:$D$2000=$A26)*(TEXT('Daily Checklist'!$B$2:$B$2000,"yyyy-mm-dd")=TEXT(($B$4+29),"yyyy-mm-dd")))=0,"-",IF(SUMPRODUCT(('Daily Checklist'!$D$2:$D$2000=$A26)*(TEXT('Daily Checklist'!$B$2:$B$2000,"yyyy-mm-dd")=TEXT(($B$4+29),"yyyy-mm-dd"))*('Daily Checklist'!$L$2:$L$2000="Y"))&gt;0,SUMPRODUCT(('Daily Checklist'!$D$2:$D$2000=$A26)*(TEXT('Daily Checklist'!$B$2:$B$2000,"yyyy-mm-dd")=TEXT(($B$4+29),"yyyy-mm-dd"))*('Daily Checklist'!$F$2:$F$2000="Done"))&amp;"/"&amp;SUMPRODUCT(('Daily Checklist'!$D$2:$D$2000=$A26)*(TEXT('Daily Checklist'!$B$2:$B$2000,"yyyy-mm-dd")=TEXT(($B$4+29),"yyyy-mm-dd")))&amp;" ESC",SUMPRODUCT(('Daily Checklist'!$D$2:$D$2000=$A26)*(TEXT('Daily Checklist'!$B$2:$B$2000,"yyyy-mm-dd")=TEXT(($B$4+29),"yyyy-mm-dd"))*('Daily Checklist'!$F$2:$F$2000="Done"))&amp;"/"&amp;SUMPRODUCT(('Daily Checklist'!$D$2:$D$2000=$A26)*(TEXT('Daily Checklist'!$B$2:$B$2000,"yyyy-mm-dd")=TEXT(($B$4+29),"yyyy-mm-dd"))))))</f>
        <v/>
      </c>
      <c r="AF26" s="25" t="str">
        <f aca="false">IF($A26="","",IF(SUMPRODUCT(('Daily Checklist'!$D$2:$D$2000=$A26)*(TEXT('Daily Checklist'!$B$2:$B$2000,"yyyy-mm-dd")=TEXT(($B$4+30),"yyyy-mm-dd")))=0,"-",IF(SUMPRODUCT(('Daily Checklist'!$D$2:$D$2000=$A26)*(TEXT('Daily Checklist'!$B$2:$B$2000,"yyyy-mm-dd")=TEXT(($B$4+30),"yyyy-mm-dd"))*('Daily Checklist'!$L$2:$L$2000="Y"))&gt;0,SUMPRODUCT(('Daily Checklist'!$D$2:$D$2000=$A26)*(TEXT('Daily Checklist'!$B$2:$B$2000,"yyyy-mm-dd")=TEXT(($B$4+30),"yyyy-mm-dd"))*('Daily Checklist'!$F$2:$F$2000="Done"))&amp;"/"&amp;SUMPRODUCT(('Daily Checklist'!$D$2:$D$2000=$A26)*(TEXT('Daily Checklist'!$B$2:$B$2000,"yyyy-mm-dd")=TEXT(($B$4+30),"yyyy-mm-dd")))&amp;" ESC",SUMPRODUCT(('Daily Checklist'!$D$2:$D$2000=$A26)*(TEXT('Daily Checklist'!$B$2:$B$2000,"yyyy-mm-dd")=TEXT(($B$4+30),"yyyy-mm-dd"))*('Daily Checklist'!$F$2:$F$2000="Done"))&amp;"/"&amp;SUMPRODUCT(('Daily Checklist'!$D$2:$D$2000=$A26)*(TEXT('Daily Checklist'!$B$2:$B$2000,"yyyy-mm-dd")=TEXT(($B$4+30),"yyyy-mm-dd"))))))</f>
        <v/>
      </c>
    </row>
    <row r="27" customFormat="false" ht="15" hidden="false" customHeight="true" outlineLevel="0" collapsed="false">
      <c r="A27" s="24" t="str">
        <f aca="false">IFERROR(IF(Employees!A22="","",Employees!A22),"")</f>
        <v/>
      </c>
      <c r="B27" s="25" t="str">
        <f aca="false">IF($A27="","",IF(SUMPRODUCT(('Daily Checklist'!$D$2:$D$2000=$A27)*(TEXT('Daily Checklist'!$B$2:$B$2000,"yyyy-mm-dd")=TEXT(($B$4+0),"yyyy-mm-dd")))=0,"-",IF(SUMPRODUCT(('Daily Checklist'!$D$2:$D$2000=$A27)*(TEXT('Daily Checklist'!$B$2:$B$2000,"yyyy-mm-dd")=TEXT(($B$4+0),"yyyy-mm-dd"))*('Daily Checklist'!$L$2:$L$2000="Y"))&gt;0,SUMPRODUCT(('Daily Checklist'!$D$2:$D$2000=$A27)*(TEXT('Daily Checklist'!$B$2:$B$2000,"yyyy-mm-dd")=TEXT(($B$4+0),"yyyy-mm-dd"))*('Daily Checklist'!$F$2:$F$2000="Done"))&amp;"/"&amp;SUMPRODUCT(('Daily Checklist'!$D$2:$D$2000=$A27)*(TEXT('Daily Checklist'!$B$2:$B$2000,"yyyy-mm-dd")=TEXT(($B$4+0),"yyyy-mm-dd")))&amp;" ESC",SUMPRODUCT(('Daily Checklist'!$D$2:$D$2000=$A27)*(TEXT('Daily Checklist'!$B$2:$B$2000,"yyyy-mm-dd")=TEXT(($B$4+0),"yyyy-mm-dd"))*('Daily Checklist'!$F$2:$F$2000="Done"))&amp;"/"&amp;SUMPRODUCT(('Daily Checklist'!$D$2:$D$2000=$A27)*(TEXT('Daily Checklist'!$B$2:$B$2000,"yyyy-mm-dd")=TEXT(($B$4+0),"yyyy-mm-dd"))))))</f>
        <v/>
      </c>
      <c r="C27" s="25" t="str">
        <f aca="false">IF($A27="","",IF(SUMPRODUCT(('Daily Checklist'!$D$2:$D$2000=$A27)*(TEXT('Daily Checklist'!$B$2:$B$2000,"yyyy-mm-dd")=TEXT(($B$4+1),"yyyy-mm-dd")))=0,"-",IF(SUMPRODUCT(('Daily Checklist'!$D$2:$D$2000=$A27)*(TEXT('Daily Checklist'!$B$2:$B$2000,"yyyy-mm-dd")=TEXT(($B$4+1),"yyyy-mm-dd"))*('Daily Checklist'!$L$2:$L$2000="Y"))&gt;0,SUMPRODUCT(('Daily Checklist'!$D$2:$D$2000=$A27)*(TEXT('Daily Checklist'!$B$2:$B$2000,"yyyy-mm-dd")=TEXT(($B$4+1),"yyyy-mm-dd"))*('Daily Checklist'!$F$2:$F$2000="Done"))&amp;"/"&amp;SUMPRODUCT(('Daily Checklist'!$D$2:$D$2000=$A27)*(TEXT('Daily Checklist'!$B$2:$B$2000,"yyyy-mm-dd")=TEXT(($B$4+1),"yyyy-mm-dd")))&amp;" ESC",SUMPRODUCT(('Daily Checklist'!$D$2:$D$2000=$A27)*(TEXT('Daily Checklist'!$B$2:$B$2000,"yyyy-mm-dd")=TEXT(($B$4+1),"yyyy-mm-dd"))*('Daily Checklist'!$F$2:$F$2000="Done"))&amp;"/"&amp;SUMPRODUCT(('Daily Checklist'!$D$2:$D$2000=$A27)*(TEXT('Daily Checklist'!$B$2:$B$2000,"yyyy-mm-dd")=TEXT(($B$4+1),"yyyy-mm-dd"))))))</f>
        <v/>
      </c>
      <c r="D27" s="25" t="str">
        <f aca="false">IF($A27="","",IF(SUMPRODUCT(('Daily Checklist'!$D$2:$D$2000=$A27)*(TEXT('Daily Checklist'!$B$2:$B$2000,"yyyy-mm-dd")=TEXT(($B$4+2),"yyyy-mm-dd")))=0,"-",IF(SUMPRODUCT(('Daily Checklist'!$D$2:$D$2000=$A27)*(TEXT('Daily Checklist'!$B$2:$B$2000,"yyyy-mm-dd")=TEXT(($B$4+2),"yyyy-mm-dd"))*('Daily Checklist'!$L$2:$L$2000="Y"))&gt;0,SUMPRODUCT(('Daily Checklist'!$D$2:$D$2000=$A27)*(TEXT('Daily Checklist'!$B$2:$B$2000,"yyyy-mm-dd")=TEXT(($B$4+2),"yyyy-mm-dd"))*('Daily Checklist'!$F$2:$F$2000="Done"))&amp;"/"&amp;SUMPRODUCT(('Daily Checklist'!$D$2:$D$2000=$A27)*(TEXT('Daily Checklist'!$B$2:$B$2000,"yyyy-mm-dd")=TEXT(($B$4+2),"yyyy-mm-dd")))&amp;" ESC",SUMPRODUCT(('Daily Checklist'!$D$2:$D$2000=$A27)*(TEXT('Daily Checklist'!$B$2:$B$2000,"yyyy-mm-dd")=TEXT(($B$4+2),"yyyy-mm-dd"))*('Daily Checklist'!$F$2:$F$2000="Done"))&amp;"/"&amp;SUMPRODUCT(('Daily Checklist'!$D$2:$D$2000=$A27)*(TEXT('Daily Checklist'!$B$2:$B$2000,"yyyy-mm-dd")=TEXT(($B$4+2),"yyyy-mm-dd"))))))</f>
        <v/>
      </c>
      <c r="E27" s="25" t="str">
        <f aca="false">IF($A27="","",IF(SUMPRODUCT(('Daily Checklist'!$D$2:$D$2000=$A27)*(TEXT('Daily Checklist'!$B$2:$B$2000,"yyyy-mm-dd")=TEXT(($B$4+3),"yyyy-mm-dd")))=0,"-",IF(SUMPRODUCT(('Daily Checklist'!$D$2:$D$2000=$A27)*(TEXT('Daily Checklist'!$B$2:$B$2000,"yyyy-mm-dd")=TEXT(($B$4+3),"yyyy-mm-dd"))*('Daily Checklist'!$L$2:$L$2000="Y"))&gt;0,SUMPRODUCT(('Daily Checklist'!$D$2:$D$2000=$A27)*(TEXT('Daily Checklist'!$B$2:$B$2000,"yyyy-mm-dd")=TEXT(($B$4+3),"yyyy-mm-dd"))*('Daily Checklist'!$F$2:$F$2000="Done"))&amp;"/"&amp;SUMPRODUCT(('Daily Checklist'!$D$2:$D$2000=$A27)*(TEXT('Daily Checklist'!$B$2:$B$2000,"yyyy-mm-dd")=TEXT(($B$4+3),"yyyy-mm-dd")))&amp;" ESC",SUMPRODUCT(('Daily Checklist'!$D$2:$D$2000=$A27)*(TEXT('Daily Checklist'!$B$2:$B$2000,"yyyy-mm-dd")=TEXT(($B$4+3),"yyyy-mm-dd"))*('Daily Checklist'!$F$2:$F$2000="Done"))&amp;"/"&amp;SUMPRODUCT(('Daily Checklist'!$D$2:$D$2000=$A27)*(TEXT('Daily Checklist'!$B$2:$B$2000,"yyyy-mm-dd")=TEXT(($B$4+3),"yyyy-mm-dd"))))))</f>
        <v/>
      </c>
      <c r="F27" s="25" t="str">
        <f aca="false">IF($A27="","",IF(SUMPRODUCT(('Daily Checklist'!$D$2:$D$2000=$A27)*(TEXT('Daily Checklist'!$B$2:$B$2000,"yyyy-mm-dd")=TEXT(($B$4+4),"yyyy-mm-dd")))=0,"-",IF(SUMPRODUCT(('Daily Checklist'!$D$2:$D$2000=$A27)*(TEXT('Daily Checklist'!$B$2:$B$2000,"yyyy-mm-dd")=TEXT(($B$4+4),"yyyy-mm-dd"))*('Daily Checklist'!$L$2:$L$2000="Y"))&gt;0,SUMPRODUCT(('Daily Checklist'!$D$2:$D$2000=$A27)*(TEXT('Daily Checklist'!$B$2:$B$2000,"yyyy-mm-dd")=TEXT(($B$4+4),"yyyy-mm-dd"))*('Daily Checklist'!$F$2:$F$2000="Done"))&amp;"/"&amp;SUMPRODUCT(('Daily Checklist'!$D$2:$D$2000=$A27)*(TEXT('Daily Checklist'!$B$2:$B$2000,"yyyy-mm-dd")=TEXT(($B$4+4),"yyyy-mm-dd")))&amp;" ESC",SUMPRODUCT(('Daily Checklist'!$D$2:$D$2000=$A27)*(TEXT('Daily Checklist'!$B$2:$B$2000,"yyyy-mm-dd")=TEXT(($B$4+4),"yyyy-mm-dd"))*('Daily Checklist'!$F$2:$F$2000="Done"))&amp;"/"&amp;SUMPRODUCT(('Daily Checklist'!$D$2:$D$2000=$A27)*(TEXT('Daily Checklist'!$B$2:$B$2000,"yyyy-mm-dd")=TEXT(($B$4+4),"yyyy-mm-dd"))))))</f>
        <v/>
      </c>
      <c r="G27" s="25" t="str">
        <f aca="false">IF($A27="","",IF(SUMPRODUCT(('Daily Checklist'!$D$2:$D$2000=$A27)*(TEXT('Daily Checklist'!$B$2:$B$2000,"yyyy-mm-dd")=TEXT(($B$4+5),"yyyy-mm-dd")))=0,"-",IF(SUMPRODUCT(('Daily Checklist'!$D$2:$D$2000=$A27)*(TEXT('Daily Checklist'!$B$2:$B$2000,"yyyy-mm-dd")=TEXT(($B$4+5),"yyyy-mm-dd"))*('Daily Checklist'!$L$2:$L$2000="Y"))&gt;0,SUMPRODUCT(('Daily Checklist'!$D$2:$D$2000=$A27)*(TEXT('Daily Checklist'!$B$2:$B$2000,"yyyy-mm-dd")=TEXT(($B$4+5),"yyyy-mm-dd"))*('Daily Checklist'!$F$2:$F$2000="Done"))&amp;"/"&amp;SUMPRODUCT(('Daily Checklist'!$D$2:$D$2000=$A27)*(TEXT('Daily Checklist'!$B$2:$B$2000,"yyyy-mm-dd")=TEXT(($B$4+5),"yyyy-mm-dd")))&amp;" ESC",SUMPRODUCT(('Daily Checklist'!$D$2:$D$2000=$A27)*(TEXT('Daily Checklist'!$B$2:$B$2000,"yyyy-mm-dd")=TEXT(($B$4+5),"yyyy-mm-dd"))*('Daily Checklist'!$F$2:$F$2000="Done"))&amp;"/"&amp;SUMPRODUCT(('Daily Checklist'!$D$2:$D$2000=$A27)*(TEXT('Daily Checklist'!$B$2:$B$2000,"yyyy-mm-dd")=TEXT(($B$4+5),"yyyy-mm-dd"))))))</f>
        <v/>
      </c>
      <c r="H27" s="25" t="str">
        <f aca="false">IF($A27="","",IF(SUMPRODUCT(('Daily Checklist'!$D$2:$D$2000=$A27)*(TEXT('Daily Checklist'!$B$2:$B$2000,"yyyy-mm-dd")=TEXT(($B$4+6),"yyyy-mm-dd")))=0,"-",IF(SUMPRODUCT(('Daily Checklist'!$D$2:$D$2000=$A27)*(TEXT('Daily Checklist'!$B$2:$B$2000,"yyyy-mm-dd")=TEXT(($B$4+6),"yyyy-mm-dd"))*('Daily Checklist'!$L$2:$L$2000="Y"))&gt;0,SUMPRODUCT(('Daily Checklist'!$D$2:$D$2000=$A27)*(TEXT('Daily Checklist'!$B$2:$B$2000,"yyyy-mm-dd")=TEXT(($B$4+6),"yyyy-mm-dd"))*('Daily Checklist'!$F$2:$F$2000="Done"))&amp;"/"&amp;SUMPRODUCT(('Daily Checklist'!$D$2:$D$2000=$A27)*(TEXT('Daily Checklist'!$B$2:$B$2000,"yyyy-mm-dd")=TEXT(($B$4+6),"yyyy-mm-dd")))&amp;" ESC",SUMPRODUCT(('Daily Checklist'!$D$2:$D$2000=$A27)*(TEXT('Daily Checklist'!$B$2:$B$2000,"yyyy-mm-dd")=TEXT(($B$4+6),"yyyy-mm-dd"))*('Daily Checklist'!$F$2:$F$2000="Done"))&amp;"/"&amp;SUMPRODUCT(('Daily Checklist'!$D$2:$D$2000=$A27)*(TEXT('Daily Checklist'!$B$2:$B$2000,"yyyy-mm-dd")=TEXT(($B$4+6),"yyyy-mm-dd"))))))</f>
        <v/>
      </c>
      <c r="I27" s="25" t="str">
        <f aca="false">IF($A27="","",IF(SUMPRODUCT(('Daily Checklist'!$D$2:$D$2000=$A27)*(TEXT('Daily Checklist'!$B$2:$B$2000,"yyyy-mm-dd")=TEXT(($B$4+7),"yyyy-mm-dd")))=0,"-",IF(SUMPRODUCT(('Daily Checklist'!$D$2:$D$2000=$A27)*(TEXT('Daily Checklist'!$B$2:$B$2000,"yyyy-mm-dd")=TEXT(($B$4+7),"yyyy-mm-dd"))*('Daily Checklist'!$L$2:$L$2000="Y"))&gt;0,SUMPRODUCT(('Daily Checklist'!$D$2:$D$2000=$A27)*(TEXT('Daily Checklist'!$B$2:$B$2000,"yyyy-mm-dd")=TEXT(($B$4+7),"yyyy-mm-dd"))*('Daily Checklist'!$F$2:$F$2000="Done"))&amp;"/"&amp;SUMPRODUCT(('Daily Checklist'!$D$2:$D$2000=$A27)*(TEXT('Daily Checklist'!$B$2:$B$2000,"yyyy-mm-dd")=TEXT(($B$4+7),"yyyy-mm-dd")))&amp;" ESC",SUMPRODUCT(('Daily Checklist'!$D$2:$D$2000=$A27)*(TEXT('Daily Checklist'!$B$2:$B$2000,"yyyy-mm-dd")=TEXT(($B$4+7),"yyyy-mm-dd"))*('Daily Checklist'!$F$2:$F$2000="Done"))&amp;"/"&amp;SUMPRODUCT(('Daily Checklist'!$D$2:$D$2000=$A27)*(TEXT('Daily Checklist'!$B$2:$B$2000,"yyyy-mm-dd")=TEXT(($B$4+7),"yyyy-mm-dd"))))))</f>
        <v/>
      </c>
      <c r="J27" s="25" t="str">
        <f aca="false">IF($A27="","",IF(SUMPRODUCT(('Daily Checklist'!$D$2:$D$2000=$A27)*(TEXT('Daily Checklist'!$B$2:$B$2000,"yyyy-mm-dd")=TEXT(($B$4+8),"yyyy-mm-dd")))=0,"-",IF(SUMPRODUCT(('Daily Checklist'!$D$2:$D$2000=$A27)*(TEXT('Daily Checklist'!$B$2:$B$2000,"yyyy-mm-dd")=TEXT(($B$4+8),"yyyy-mm-dd"))*('Daily Checklist'!$L$2:$L$2000="Y"))&gt;0,SUMPRODUCT(('Daily Checklist'!$D$2:$D$2000=$A27)*(TEXT('Daily Checklist'!$B$2:$B$2000,"yyyy-mm-dd")=TEXT(($B$4+8),"yyyy-mm-dd"))*('Daily Checklist'!$F$2:$F$2000="Done"))&amp;"/"&amp;SUMPRODUCT(('Daily Checklist'!$D$2:$D$2000=$A27)*(TEXT('Daily Checklist'!$B$2:$B$2000,"yyyy-mm-dd")=TEXT(($B$4+8),"yyyy-mm-dd")))&amp;" ESC",SUMPRODUCT(('Daily Checklist'!$D$2:$D$2000=$A27)*(TEXT('Daily Checklist'!$B$2:$B$2000,"yyyy-mm-dd")=TEXT(($B$4+8),"yyyy-mm-dd"))*('Daily Checklist'!$F$2:$F$2000="Done"))&amp;"/"&amp;SUMPRODUCT(('Daily Checklist'!$D$2:$D$2000=$A27)*(TEXT('Daily Checklist'!$B$2:$B$2000,"yyyy-mm-dd")=TEXT(($B$4+8),"yyyy-mm-dd"))))))</f>
        <v/>
      </c>
      <c r="K27" s="25" t="str">
        <f aca="false">IF($A27="","",IF(SUMPRODUCT(('Daily Checklist'!$D$2:$D$2000=$A27)*(TEXT('Daily Checklist'!$B$2:$B$2000,"yyyy-mm-dd")=TEXT(($B$4+9),"yyyy-mm-dd")))=0,"-",IF(SUMPRODUCT(('Daily Checklist'!$D$2:$D$2000=$A27)*(TEXT('Daily Checklist'!$B$2:$B$2000,"yyyy-mm-dd")=TEXT(($B$4+9),"yyyy-mm-dd"))*('Daily Checklist'!$L$2:$L$2000="Y"))&gt;0,SUMPRODUCT(('Daily Checklist'!$D$2:$D$2000=$A27)*(TEXT('Daily Checklist'!$B$2:$B$2000,"yyyy-mm-dd")=TEXT(($B$4+9),"yyyy-mm-dd"))*('Daily Checklist'!$F$2:$F$2000="Done"))&amp;"/"&amp;SUMPRODUCT(('Daily Checklist'!$D$2:$D$2000=$A27)*(TEXT('Daily Checklist'!$B$2:$B$2000,"yyyy-mm-dd")=TEXT(($B$4+9),"yyyy-mm-dd")))&amp;" ESC",SUMPRODUCT(('Daily Checklist'!$D$2:$D$2000=$A27)*(TEXT('Daily Checklist'!$B$2:$B$2000,"yyyy-mm-dd")=TEXT(($B$4+9),"yyyy-mm-dd"))*('Daily Checklist'!$F$2:$F$2000="Done"))&amp;"/"&amp;SUMPRODUCT(('Daily Checklist'!$D$2:$D$2000=$A27)*(TEXT('Daily Checklist'!$B$2:$B$2000,"yyyy-mm-dd")=TEXT(($B$4+9),"yyyy-mm-dd"))))))</f>
        <v/>
      </c>
      <c r="L27" s="25" t="str">
        <f aca="false">IF($A27="","",IF(SUMPRODUCT(('Daily Checklist'!$D$2:$D$2000=$A27)*(TEXT('Daily Checklist'!$B$2:$B$2000,"yyyy-mm-dd")=TEXT(($B$4+10),"yyyy-mm-dd")))=0,"-",IF(SUMPRODUCT(('Daily Checklist'!$D$2:$D$2000=$A27)*(TEXT('Daily Checklist'!$B$2:$B$2000,"yyyy-mm-dd")=TEXT(($B$4+10),"yyyy-mm-dd"))*('Daily Checklist'!$L$2:$L$2000="Y"))&gt;0,SUMPRODUCT(('Daily Checklist'!$D$2:$D$2000=$A27)*(TEXT('Daily Checklist'!$B$2:$B$2000,"yyyy-mm-dd")=TEXT(($B$4+10),"yyyy-mm-dd"))*('Daily Checklist'!$F$2:$F$2000="Done"))&amp;"/"&amp;SUMPRODUCT(('Daily Checklist'!$D$2:$D$2000=$A27)*(TEXT('Daily Checklist'!$B$2:$B$2000,"yyyy-mm-dd")=TEXT(($B$4+10),"yyyy-mm-dd")))&amp;" ESC",SUMPRODUCT(('Daily Checklist'!$D$2:$D$2000=$A27)*(TEXT('Daily Checklist'!$B$2:$B$2000,"yyyy-mm-dd")=TEXT(($B$4+10),"yyyy-mm-dd"))*('Daily Checklist'!$F$2:$F$2000="Done"))&amp;"/"&amp;SUMPRODUCT(('Daily Checklist'!$D$2:$D$2000=$A27)*(TEXT('Daily Checklist'!$B$2:$B$2000,"yyyy-mm-dd")=TEXT(($B$4+10),"yyyy-mm-dd"))))))</f>
        <v/>
      </c>
      <c r="M27" s="25" t="str">
        <f aca="false">IF($A27="","",IF(SUMPRODUCT(('Daily Checklist'!$D$2:$D$2000=$A27)*(TEXT('Daily Checklist'!$B$2:$B$2000,"yyyy-mm-dd")=TEXT(($B$4+11),"yyyy-mm-dd")))=0,"-",IF(SUMPRODUCT(('Daily Checklist'!$D$2:$D$2000=$A27)*(TEXT('Daily Checklist'!$B$2:$B$2000,"yyyy-mm-dd")=TEXT(($B$4+11),"yyyy-mm-dd"))*('Daily Checklist'!$L$2:$L$2000="Y"))&gt;0,SUMPRODUCT(('Daily Checklist'!$D$2:$D$2000=$A27)*(TEXT('Daily Checklist'!$B$2:$B$2000,"yyyy-mm-dd")=TEXT(($B$4+11),"yyyy-mm-dd"))*('Daily Checklist'!$F$2:$F$2000="Done"))&amp;"/"&amp;SUMPRODUCT(('Daily Checklist'!$D$2:$D$2000=$A27)*(TEXT('Daily Checklist'!$B$2:$B$2000,"yyyy-mm-dd")=TEXT(($B$4+11),"yyyy-mm-dd")))&amp;" ESC",SUMPRODUCT(('Daily Checklist'!$D$2:$D$2000=$A27)*(TEXT('Daily Checklist'!$B$2:$B$2000,"yyyy-mm-dd")=TEXT(($B$4+11),"yyyy-mm-dd"))*('Daily Checklist'!$F$2:$F$2000="Done"))&amp;"/"&amp;SUMPRODUCT(('Daily Checklist'!$D$2:$D$2000=$A27)*(TEXT('Daily Checklist'!$B$2:$B$2000,"yyyy-mm-dd")=TEXT(($B$4+11),"yyyy-mm-dd"))))))</f>
        <v/>
      </c>
      <c r="N27" s="25" t="str">
        <f aca="false">IF($A27="","",IF(SUMPRODUCT(('Daily Checklist'!$D$2:$D$2000=$A27)*(TEXT('Daily Checklist'!$B$2:$B$2000,"yyyy-mm-dd")=TEXT(($B$4+12),"yyyy-mm-dd")))=0,"-",IF(SUMPRODUCT(('Daily Checklist'!$D$2:$D$2000=$A27)*(TEXT('Daily Checklist'!$B$2:$B$2000,"yyyy-mm-dd")=TEXT(($B$4+12),"yyyy-mm-dd"))*('Daily Checklist'!$L$2:$L$2000="Y"))&gt;0,SUMPRODUCT(('Daily Checklist'!$D$2:$D$2000=$A27)*(TEXT('Daily Checklist'!$B$2:$B$2000,"yyyy-mm-dd")=TEXT(($B$4+12),"yyyy-mm-dd"))*('Daily Checklist'!$F$2:$F$2000="Done"))&amp;"/"&amp;SUMPRODUCT(('Daily Checklist'!$D$2:$D$2000=$A27)*(TEXT('Daily Checklist'!$B$2:$B$2000,"yyyy-mm-dd")=TEXT(($B$4+12),"yyyy-mm-dd")))&amp;" ESC",SUMPRODUCT(('Daily Checklist'!$D$2:$D$2000=$A27)*(TEXT('Daily Checklist'!$B$2:$B$2000,"yyyy-mm-dd")=TEXT(($B$4+12),"yyyy-mm-dd"))*('Daily Checklist'!$F$2:$F$2000="Done"))&amp;"/"&amp;SUMPRODUCT(('Daily Checklist'!$D$2:$D$2000=$A27)*(TEXT('Daily Checklist'!$B$2:$B$2000,"yyyy-mm-dd")=TEXT(($B$4+12),"yyyy-mm-dd"))))))</f>
        <v/>
      </c>
      <c r="O27" s="25" t="str">
        <f aca="false">IF($A27="","",IF(SUMPRODUCT(('Daily Checklist'!$D$2:$D$2000=$A27)*(TEXT('Daily Checklist'!$B$2:$B$2000,"yyyy-mm-dd")=TEXT(($B$4+13),"yyyy-mm-dd")))=0,"-",IF(SUMPRODUCT(('Daily Checklist'!$D$2:$D$2000=$A27)*(TEXT('Daily Checklist'!$B$2:$B$2000,"yyyy-mm-dd")=TEXT(($B$4+13),"yyyy-mm-dd"))*('Daily Checklist'!$L$2:$L$2000="Y"))&gt;0,SUMPRODUCT(('Daily Checklist'!$D$2:$D$2000=$A27)*(TEXT('Daily Checklist'!$B$2:$B$2000,"yyyy-mm-dd")=TEXT(($B$4+13),"yyyy-mm-dd"))*('Daily Checklist'!$F$2:$F$2000="Done"))&amp;"/"&amp;SUMPRODUCT(('Daily Checklist'!$D$2:$D$2000=$A27)*(TEXT('Daily Checklist'!$B$2:$B$2000,"yyyy-mm-dd")=TEXT(($B$4+13),"yyyy-mm-dd")))&amp;" ESC",SUMPRODUCT(('Daily Checklist'!$D$2:$D$2000=$A27)*(TEXT('Daily Checklist'!$B$2:$B$2000,"yyyy-mm-dd")=TEXT(($B$4+13),"yyyy-mm-dd"))*('Daily Checklist'!$F$2:$F$2000="Done"))&amp;"/"&amp;SUMPRODUCT(('Daily Checklist'!$D$2:$D$2000=$A27)*(TEXT('Daily Checklist'!$B$2:$B$2000,"yyyy-mm-dd")=TEXT(($B$4+13),"yyyy-mm-dd"))))))</f>
        <v/>
      </c>
      <c r="P27" s="25" t="str">
        <f aca="false">IF($A27="","",IF(SUMPRODUCT(('Daily Checklist'!$D$2:$D$2000=$A27)*(TEXT('Daily Checklist'!$B$2:$B$2000,"yyyy-mm-dd")=TEXT(($B$4+14),"yyyy-mm-dd")))=0,"-",IF(SUMPRODUCT(('Daily Checklist'!$D$2:$D$2000=$A27)*(TEXT('Daily Checklist'!$B$2:$B$2000,"yyyy-mm-dd")=TEXT(($B$4+14),"yyyy-mm-dd"))*('Daily Checklist'!$L$2:$L$2000="Y"))&gt;0,SUMPRODUCT(('Daily Checklist'!$D$2:$D$2000=$A27)*(TEXT('Daily Checklist'!$B$2:$B$2000,"yyyy-mm-dd")=TEXT(($B$4+14),"yyyy-mm-dd"))*('Daily Checklist'!$F$2:$F$2000="Done"))&amp;"/"&amp;SUMPRODUCT(('Daily Checklist'!$D$2:$D$2000=$A27)*(TEXT('Daily Checklist'!$B$2:$B$2000,"yyyy-mm-dd")=TEXT(($B$4+14),"yyyy-mm-dd")))&amp;" ESC",SUMPRODUCT(('Daily Checklist'!$D$2:$D$2000=$A27)*(TEXT('Daily Checklist'!$B$2:$B$2000,"yyyy-mm-dd")=TEXT(($B$4+14),"yyyy-mm-dd"))*('Daily Checklist'!$F$2:$F$2000="Done"))&amp;"/"&amp;SUMPRODUCT(('Daily Checklist'!$D$2:$D$2000=$A27)*(TEXT('Daily Checklist'!$B$2:$B$2000,"yyyy-mm-dd")=TEXT(($B$4+14),"yyyy-mm-dd"))))))</f>
        <v/>
      </c>
      <c r="Q27" s="25" t="str">
        <f aca="false">IF($A27="","",IF(SUMPRODUCT(('Daily Checklist'!$D$2:$D$2000=$A27)*(TEXT('Daily Checklist'!$B$2:$B$2000,"yyyy-mm-dd")=TEXT(($B$4+15),"yyyy-mm-dd")))=0,"-",IF(SUMPRODUCT(('Daily Checklist'!$D$2:$D$2000=$A27)*(TEXT('Daily Checklist'!$B$2:$B$2000,"yyyy-mm-dd")=TEXT(($B$4+15),"yyyy-mm-dd"))*('Daily Checklist'!$L$2:$L$2000="Y"))&gt;0,SUMPRODUCT(('Daily Checklist'!$D$2:$D$2000=$A27)*(TEXT('Daily Checklist'!$B$2:$B$2000,"yyyy-mm-dd")=TEXT(($B$4+15),"yyyy-mm-dd"))*('Daily Checklist'!$F$2:$F$2000="Done"))&amp;"/"&amp;SUMPRODUCT(('Daily Checklist'!$D$2:$D$2000=$A27)*(TEXT('Daily Checklist'!$B$2:$B$2000,"yyyy-mm-dd")=TEXT(($B$4+15),"yyyy-mm-dd")))&amp;" ESC",SUMPRODUCT(('Daily Checklist'!$D$2:$D$2000=$A27)*(TEXT('Daily Checklist'!$B$2:$B$2000,"yyyy-mm-dd")=TEXT(($B$4+15),"yyyy-mm-dd"))*('Daily Checklist'!$F$2:$F$2000="Done"))&amp;"/"&amp;SUMPRODUCT(('Daily Checklist'!$D$2:$D$2000=$A27)*(TEXT('Daily Checklist'!$B$2:$B$2000,"yyyy-mm-dd")=TEXT(($B$4+15),"yyyy-mm-dd"))))))</f>
        <v/>
      </c>
      <c r="R27" s="25" t="str">
        <f aca="false">IF($A27="","",IF(SUMPRODUCT(('Daily Checklist'!$D$2:$D$2000=$A27)*(TEXT('Daily Checklist'!$B$2:$B$2000,"yyyy-mm-dd")=TEXT(($B$4+16),"yyyy-mm-dd")))=0,"-",IF(SUMPRODUCT(('Daily Checklist'!$D$2:$D$2000=$A27)*(TEXT('Daily Checklist'!$B$2:$B$2000,"yyyy-mm-dd")=TEXT(($B$4+16),"yyyy-mm-dd"))*('Daily Checklist'!$L$2:$L$2000="Y"))&gt;0,SUMPRODUCT(('Daily Checklist'!$D$2:$D$2000=$A27)*(TEXT('Daily Checklist'!$B$2:$B$2000,"yyyy-mm-dd")=TEXT(($B$4+16),"yyyy-mm-dd"))*('Daily Checklist'!$F$2:$F$2000="Done"))&amp;"/"&amp;SUMPRODUCT(('Daily Checklist'!$D$2:$D$2000=$A27)*(TEXT('Daily Checklist'!$B$2:$B$2000,"yyyy-mm-dd")=TEXT(($B$4+16),"yyyy-mm-dd")))&amp;" ESC",SUMPRODUCT(('Daily Checklist'!$D$2:$D$2000=$A27)*(TEXT('Daily Checklist'!$B$2:$B$2000,"yyyy-mm-dd")=TEXT(($B$4+16),"yyyy-mm-dd"))*('Daily Checklist'!$F$2:$F$2000="Done"))&amp;"/"&amp;SUMPRODUCT(('Daily Checklist'!$D$2:$D$2000=$A27)*(TEXT('Daily Checklist'!$B$2:$B$2000,"yyyy-mm-dd")=TEXT(($B$4+16),"yyyy-mm-dd"))))))</f>
        <v/>
      </c>
      <c r="S27" s="25" t="str">
        <f aca="false">IF($A27="","",IF(SUMPRODUCT(('Daily Checklist'!$D$2:$D$2000=$A27)*(TEXT('Daily Checklist'!$B$2:$B$2000,"yyyy-mm-dd")=TEXT(($B$4+17),"yyyy-mm-dd")))=0,"-",IF(SUMPRODUCT(('Daily Checklist'!$D$2:$D$2000=$A27)*(TEXT('Daily Checklist'!$B$2:$B$2000,"yyyy-mm-dd")=TEXT(($B$4+17),"yyyy-mm-dd"))*('Daily Checklist'!$L$2:$L$2000="Y"))&gt;0,SUMPRODUCT(('Daily Checklist'!$D$2:$D$2000=$A27)*(TEXT('Daily Checklist'!$B$2:$B$2000,"yyyy-mm-dd")=TEXT(($B$4+17),"yyyy-mm-dd"))*('Daily Checklist'!$F$2:$F$2000="Done"))&amp;"/"&amp;SUMPRODUCT(('Daily Checklist'!$D$2:$D$2000=$A27)*(TEXT('Daily Checklist'!$B$2:$B$2000,"yyyy-mm-dd")=TEXT(($B$4+17),"yyyy-mm-dd")))&amp;" ESC",SUMPRODUCT(('Daily Checklist'!$D$2:$D$2000=$A27)*(TEXT('Daily Checklist'!$B$2:$B$2000,"yyyy-mm-dd")=TEXT(($B$4+17),"yyyy-mm-dd"))*('Daily Checklist'!$F$2:$F$2000="Done"))&amp;"/"&amp;SUMPRODUCT(('Daily Checklist'!$D$2:$D$2000=$A27)*(TEXT('Daily Checklist'!$B$2:$B$2000,"yyyy-mm-dd")=TEXT(($B$4+17),"yyyy-mm-dd"))))))</f>
        <v/>
      </c>
      <c r="T27" s="25" t="str">
        <f aca="false">IF($A27="","",IF(SUMPRODUCT(('Daily Checklist'!$D$2:$D$2000=$A27)*(TEXT('Daily Checklist'!$B$2:$B$2000,"yyyy-mm-dd")=TEXT(($B$4+18),"yyyy-mm-dd")))=0,"-",IF(SUMPRODUCT(('Daily Checklist'!$D$2:$D$2000=$A27)*(TEXT('Daily Checklist'!$B$2:$B$2000,"yyyy-mm-dd")=TEXT(($B$4+18),"yyyy-mm-dd"))*('Daily Checklist'!$L$2:$L$2000="Y"))&gt;0,SUMPRODUCT(('Daily Checklist'!$D$2:$D$2000=$A27)*(TEXT('Daily Checklist'!$B$2:$B$2000,"yyyy-mm-dd")=TEXT(($B$4+18),"yyyy-mm-dd"))*('Daily Checklist'!$F$2:$F$2000="Done"))&amp;"/"&amp;SUMPRODUCT(('Daily Checklist'!$D$2:$D$2000=$A27)*(TEXT('Daily Checklist'!$B$2:$B$2000,"yyyy-mm-dd")=TEXT(($B$4+18),"yyyy-mm-dd")))&amp;" ESC",SUMPRODUCT(('Daily Checklist'!$D$2:$D$2000=$A27)*(TEXT('Daily Checklist'!$B$2:$B$2000,"yyyy-mm-dd")=TEXT(($B$4+18),"yyyy-mm-dd"))*('Daily Checklist'!$F$2:$F$2000="Done"))&amp;"/"&amp;SUMPRODUCT(('Daily Checklist'!$D$2:$D$2000=$A27)*(TEXT('Daily Checklist'!$B$2:$B$2000,"yyyy-mm-dd")=TEXT(($B$4+18),"yyyy-mm-dd"))))))</f>
        <v/>
      </c>
      <c r="U27" s="25" t="str">
        <f aca="false">IF($A27="","",IF(SUMPRODUCT(('Daily Checklist'!$D$2:$D$2000=$A27)*(TEXT('Daily Checklist'!$B$2:$B$2000,"yyyy-mm-dd")=TEXT(($B$4+19),"yyyy-mm-dd")))=0,"-",IF(SUMPRODUCT(('Daily Checklist'!$D$2:$D$2000=$A27)*(TEXT('Daily Checklist'!$B$2:$B$2000,"yyyy-mm-dd")=TEXT(($B$4+19),"yyyy-mm-dd"))*('Daily Checklist'!$L$2:$L$2000="Y"))&gt;0,SUMPRODUCT(('Daily Checklist'!$D$2:$D$2000=$A27)*(TEXT('Daily Checklist'!$B$2:$B$2000,"yyyy-mm-dd")=TEXT(($B$4+19),"yyyy-mm-dd"))*('Daily Checklist'!$F$2:$F$2000="Done"))&amp;"/"&amp;SUMPRODUCT(('Daily Checklist'!$D$2:$D$2000=$A27)*(TEXT('Daily Checklist'!$B$2:$B$2000,"yyyy-mm-dd")=TEXT(($B$4+19),"yyyy-mm-dd")))&amp;" ESC",SUMPRODUCT(('Daily Checklist'!$D$2:$D$2000=$A27)*(TEXT('Daily Checklist'!$B$2:$B$2000,"yyyy-mm-dd")=TEXT(($B$4+19),"yyyy-mm-dd"))*('Daily Checklist'!$F$2:$F$2000="Done"))&amp;"/"&amp;SUMPRODUCT(('Daily Checklist'!$D$2:$D$2000=$A27)*(TEXT('Daily Checklist'!$B$2:$B$2000,"yyyy-mm-dd")=TEXT(($B$4+19),"yyyy-mm-dd"))))))</f>
        <v/>
      </c>
      <c r="V27" s="25" t="str">
        <f aca="false">IF($A27="","",IF(SUMPRODUCT(('Daily Checklist'!$D$2:$D$2000=$A27)*(TEXT('Daily Checklist'!$B$2:$B$2000,"yyyy-mm-dd")=TEXT(($B$4+20),"yyyy-mm-dd")))=0,"-",IF(SUMPRODUCT(('Daily Checklist'!$D$2:$D$2000=$A27)*(TEXT('Daily Checklist'!$B$2:$B$2000,"yyyy-mm-dd")=TEXT(($B$4+20),"yyyy-mm-dd"))*('Daily Checklist'!$L$2:$L$2000="Y"))&gt;0,SUMPRODUCT(('Daily Checklist'!$D$2:$D$2000=$A27)*(TEXT('Daily Checklist'!$B$2:$B$2000,"yyyy-mm-dd")=TEXT(($B$4+20),"yyyy-mm-dd"))*('Daily Checklist'!$F$2:$F$2000="Done"))&amp;"/"&amp;SUMPRODUCT(('Daily Checklist'!$D$2:$D$2000=$A27)*(TEXT('Daily Checklist'!$B$2:$B$2000,"yyyy-mm-dd")=TEXT(($B$4+20),"yyyy-mm-dd")))&amp;" ESC",SUMPRODUCT(('Daily Checklist'!$D$2:$D$2000=$A27)*(TEXT('Daily Checklist'!$B$2:$B$2000,"yyyy-mm-dd")=TEXT(($B$4+20),"yyyy-mm-dd"))*('Daily Checklist'!$F$2:$F$2000="Done"))&amp;"/"&amp;SUMPRODUCT(('Daily Checklist'!$D$2:$D$2000=$A27)*(TEXT('Daily Checklist'!$B$2:$B$2000,"yyyy-mm-dd")=TEXT(($B$4+20),"yyyy-mm-dd"))))))</f>
        <v/>
      </c>
      <c r="W27" s="25" t="str">
        <f aca="false">IF($A27="","",IF(SUMPRODUCT(('Daily Checklist'!$D$2:$D$2000=$A27)*(TEXT('Daily Checklist'!$B$2:$B$2000,"yyyy-mm-dd")=TEXT(($B$4+21),"yyyy-mm-dd")))=0,"-",IF(SUMPRODUCT(('Daily Checklist'!$D$2:$D$2000=$A27)*(TEXT('Daily Checklist'!$B$2:$B$2000,"yyyy-mm-dd")=TEXT(($B$4+21),"yyyy-mm-dd"))*('Daily Checklist'!$L$2:$L$2000="Y"))&gt;0,SUMPRODUCT(('Daily Checklist'!$D$2:$D$2000=$A27)*(TEXT('Daily Checklist'!$B$2:$B$2000,"yyyy-mm-dd")=TEXT(($B$4+21),"yyyy-mm-dd"))*('Daily Checklist'!$F$2:$F$2000="Done"))&amp;"/"&amp;SUMPRODUCT(('Daily Checklist'!$D$2:$D$2000=$A27)*(TEXT('Daily Checklist'!$B$2:$B$2000,"yyyy-mm-dd")=TEXT(($B$4+21),"yyyy-mm-dd")))&amp;" ESC",SUMPRODUCT(('Daily Checklist'!$D$2:$D$2000=$A27)*(TEXT('Daily Checklist'!$B$2:$B$2000,"yyyy-mm-dd")=TEXT(($B$4+21),"yyyy-mm-dd"))*('Daily Checklist'!$F$2:$F$2000="Done"))&amp;"/"&amp;SUMPRODUCT(('Daily Checklist'!$D$2:$D$2000=$A27)*(TEXT('Daily Checklist'!$B$2:$B$2000,"yyyy-mm-dd")=TEXT(($B$4+21),"yyyy-mm-dd"))))))</f>
        <v/>
      </c>
      <c r="X27" s="25" t="str">
        <f aca="false">IF($A27="","",IF(SUMPRODUCT(('Daily Checklist'!$D$2:$D$2000=$A27)*(TEXT('Daily Checklist'!$B$2:$B$2000,"yyyy-mm-dd")=TEXT(($B$4+22),"yyyy-mm-dd")))=0,"-",IF(SUMPRODUCT(('Daily Checklist'!$D$2:$D$2000=$A27)*(TEXT('Daily Checklist'!$B$2:$B$2000,"yyyy-mm-dd")=TEXT(($B$4+22),"yyyy-mm-dd"))*('Daily Checklist'!$L$2:$L$2000="Y"))&gt;0,SUMPRODUCT(('Daily Checklist'!$D$2:$D$2000=$A27)*(TEXT('Daily Checklist'!$B$2:$B$2000,"yyyy-mm-dd")=TEXT(($B$4+22),"yyyy-mm-dd"))*('Daily Checklist'!$F$2:$F$2000="Done"))&amp;"/"&amp;SUMPRODUCT(('Daily Checklist'!$D$2:$D$2000=$A27)*(TEXT('Daily Checklist'!$B$2:$B$2000,"yyyy-mm-dd")=TEXT(($B$4+22),"yyyy-mm-dd")))&amp;" ESC",SUMPRODUCT(('Daily Checklist'!$D$2:$D$2000=$A27)*(TEXT('Daily Checklist'!$B$2:$B$2000,"yyyy-mm-dd")=TEXT(($B$4+22),"yyyy-mm-dd"))*('Daily Checklist'!$F$2:$F$2000="Done"))&amp;"/"&amp;SUMPRODUCT(('Daily Checklist'!$D$2:$D$2000=$A27)*(TEXT('Daily Checklist'!$B$2:$B$2000,"yyyy-mm-dd")=TEXT(($B$4+22),"yyyy-mm-dd"))))))</f>
        <v/>
      </c>
      <c r="Y27" s="25" t="str">
        <f aca="false">IF($A27="","",IF(SUMPRODUCT(('Daily Checklist'!$D$2:$D$2000=$A27)*(TEXT('Daily Checklist'!$B$2:$B$2000,"yyyy-mm-dd")=TEXT(($B$4+23),"yyyy-mm-dd")))=0,"-",IF(SUMPRODUCT(('Daily Checklist'!$D$2:$D$2000=$A27)*(TEXT('Daily Checklist'!$B$2:$B$2000,"yyyy-mm-dd")=TEXT(($B$4+23),"yyyy-mm-dd"))*('Daily Checklist'!$L$2:$L$2000="Y"))&gt;0,SUMPRODUCT(('Daily Checklist'!$D$2:$D$2000=$A27)*(TEXT('Daily Checklist'!$B$2:$B$2000,"yyyy-mm-dd")=TEXT(($B$4+23),"yyyy-mm-dd"))*('Daily Checklist'!$F$2:$F$2000="Done"))&amp;"/"&amp;SUMPRODUCT(('Daily Checklist'!$D$2:$D$2000=$A27)*(TEXT('Daily Checklist'!$B$2:$B$2000,"yyyy-mm-dd")=TEXT(($B$4+23),"yyyy-mm-dd")))&amp;" ESC",SUMPRODUCT(('Daily Checklist'!$D$2:$D$2000=$A27)*(TEXT('Daily Checklist'!$B$2:$B$2000,"yyyy-mm-dd")=TEXT(($B$4+23),"yyyy-mm-dd"))*('Daily Checklist'!$F$2:$F$2000="Done"))&amp;"/"&amp;SUMPRODUCT(('Daily Checklist'!$D$2:$D$2000=$A27)*(TEXT('Daily Checklist'!$B$2:$B$2000,"yyyy-mm-dd")=TEXT(($B$4+23),"yyyy-mm-dd"))))))</f>
        <v/>
      </c>
      <c r="Z27" s="25" t="str">
        <f aca="false">IF($A27="","",IF(SUMPRODUCT(('Daily Checklist'!$D$2:$D$2000=$A27)*(TEXT('Daily Checklist'!$B$2:$B$2000,"yyyy-mm-dd")=TEXT(($B$4+24),"yyyy-mm-dd")))=0,"-",IF(SUMPRODUCT(('Daily Checklist'!$D$2:$D$2000=$A27)*(TEXT('Daily Checklist'!$B$2:$B$2000,"yyyy-mm-dd")=TEXT(($B$4+24),"yyyy-mm-dd"))*('Daily Checklist'!$L$2:$L$2000="Y"))&gt;0,SUMPRODUCT(('Daily Checklist'!$D$2:$D$2000=$A27)*(TEXT('Daily Checklist'!$B$2:$B$2000,"yyyy-mm-dd")=TEXT(($B$4+24),"yyyy-mm-dd"))*('Daily Checklist'!$F$2:$F$2000="Done"))&amp;"/"&amp;SUMPRODUCT(('Daily Checklist'!$D$2:$D$2000=$A27)*(TEXT('Daily Checklist'!$B$2:$B$2000,"yyyy-mm-dd")=TEXT(($B$4+24),"yyyy-mm-dd")))&amp;" ESC",SUMPRODUCT(('Daily Checklist'!$D$2:$D$2000=$A27)*(TEXT('Daily Checklist'!$B$2:$B$2000,"yyyy-mm-dd")=TEXT(($B$4+24),"yyyy-mm-dd"))*('Daily Checklist'!$F$2:$F$2000="Done"))&amp;"/"&amp;SUMPRODUCT(('Daily Checklist'!$D$2:$D$2000=$A27)*(TEXT('Daily Checklist'!$B$2:$B$2000,"yyyy-mm-dd")=TEXT(($B$4+24),"yyyy-mm-dd"))))))</f>
        <v/>
      </c>
      <c r="AA27" s="25" t="str">
        <f aca="false">IF($A27="","",IF(SUMPRODUCT(('Daily Checklist'!$D$2:$D$2000=$A27)*(TEXT('Daily Checklist'!$B$2:$B$2000,"yyyy-mm-dd")=TEXT(($B$4+25),"yyyy-mm-dd")))=0,"-",IF(SUMPRODUCT(('Daily Checklist'!$D$2:$D$2000=$A27)*(TEXT('Daily Checklist'!$B$2:$B$2000,"yyyy-mm-dd")=TEXT(($B$4+25),"yyyy-mm-dd"))*('Daily Checklist'!$L$2:$L$2000="Y"))&gt;0,SUMPRODUCT(('Daily Checklist'!$D$2:$D$2000=$A27)*(TEXT('Daily Checklist'!$B$2:$B$2000,"yyyy-mm-dd")=TEXT(($B$4+25),"yyyy-mm-dd"))*('Daily Checklist'!$F$2:$F$2000="Done"))&amp;"/"&amp;SUMPRODUCT(('Daily Checklist'!$D$2:$D$2000=$A27)*(TEXT('Daily Checklist'!$B$2:$B$2000,"yyyy-mm-dd")=TEXT(($B$4+25),"yyyy-mm-dd")))&amp;" ESC",SUMPRODUCT(('Daily Checklist'!$D$2:$D$2000=$A27)*(TEXT('Daily Checklist'!$B$2:$B$2000,"yyyy-mm-dd")=TEXT(($B$4+25),"yyyy-mm-dd"))*('Daily Checklist'!$F$2:$F$2000="Done"))&amp;"/"&amp;SUMPRODUCT(('Daily Checklist'!$D$2:$D$2000=$A27)*(TEXT('Daily Checklist'!$B$2:$B$2000,"yyyy-mm-dd")=TEXT(($B$4+25),"yyyy-mm-dd"))))))</f>
        <v/>
      </c>
      <c r="AB27" s="25" t="str">
        <f aca="false">IF($A27="","",IF(SUMPRODUCT(('Daily Checklist'!$D$2:$D$2000=$A27)*(TEXT('Daily Checklist'!$B$2:$B$2000,"yyyy-mm-dd")=TEXT(($B$4+26),"yyyy-mm-dd")))=0,"-",IF(SUMPRODUCT(('Daily Checklist'!$D$2:$D$2000=$A27)*(TEXT('Daily Checklist'!$B$2:$B$2000,"yyyy-mm-dd")=TEXT(($B$4+26),"yyyy-mm-dd"))*('Daily Checklist'!$L$2:$L$2000="Y"))&gt;0,SUMPRODUCT(('Daily Checklist'!$D$2:$D$2000=$A27)*(TEXT('Daily Checklist'!$B$2:$B$2000,"yyyy-mm-dd")=TEXT(($B$4+26),"yyyy-mm-dd"))*('Daily Checklist'!$F$2:$F$2000="Done"))&amp;"/"&amp;SUMPRODUCT(('Daily Checklist'!$D$2:$D$2000=$A27)*(TEXT('Daily Checklist'!$B$2:$B$2000,"yyyy-mm-dd")=TEXT(($B$4+26),"yyyy-mm-dd")))&amp;" ESC",SUMPRODUCT(('Daily Checklist'!$D$2:$D$2000=$A27)*(TEXT('Daily Checklist'!$B$2:$B$2000,"yyyy-mm-dd")=TEXT(($B$4+26),"yyyy-mm-dd"))*('Daily Checklist'!$F$2:$F$2000="Done"))&amp;"/"&amp;SUMPRODUCT(('Daily Checklist'!$D$2:$D$2000=$A27)*(TEXT('Daily Checklist'!$B$2:$B$2000,"yyyy-mm-dd")=TEXT(($B$4+26),"yyyy-mm-dd"))))))</f>
        <v/>
      </c>
      <c r="AC27" s="25" t="str">
        <f aca="false">IF($A27="","",IF(SUMPRODUCT(('Daily Checklist'!$D$2:$D$2000=$A27)*(TEXT('Daily Checklist'!$B$2:$B$2000,"yyyy-mm-dd")=TEXT(($B$4+27),"yyyy-mm-dd")))=0,"-",IF(SUMPRODUCT(('Daily Checklist'!$D$2:$D$2000=$A27)*(TEXT('Daily Checklist'!$B$2:$B$2000,"yyyy-mm-dd")=TEXT(($B$4+27),"yyyy-mm-dd"))*('Daily Checklist'!$L$2:$L$2000="Y"))&gt;0,SUMPRODUCT(('Daily Checklist'!$D$2:$D$2000=$A27)*(TEXT('Daily Checklist'!$B$2:$B$2000,"yyyy-mm-dd")=TEXT(($B$4+27),"yyyy-mm-dd"))*('Daily Checklist'!$F$2:$F$2000="Done"))&amp;"/"&amp;SUMPRODUCT(('Daily Checklist'!$D$2:$D$2000=$A27)*(TEXT('Daily Checklist'!$B$2:$B$2000,"yyyy-mm-dd")=TEXT(($B$4+27),"yyyy-mm-dd")))&amp;" ESC",SUMPRODUCT(('Daily Checklist'!$D$2:$D$2000=$A27)*(TEXT('Daily Checklist'!$B$2:$B$2000,"yyyy-mm-dd")=TEXT(($B$4+27),"yyyy-mm-dd"))*('Daily Checklist'!$F$2:$F$2000="Done"))&amp;"/"&amp;SUMPRODUCT(('Daily Checklist'!$D$2:$D$2000=$A27)*(TEXT('Daily Checklist'!$B$2:$B$2000,"yyyy-mm-dd")=TEXT(($B$4+27),"yyyy-mm-dd"))))))</f>
        <v/>
      </c>
      <c r="AD27" s="25" t="str">
        <f aca="false">IF($A27="","",IF(SUMPRODUCT(('Daily Checklist'!$D$2:$D$2000=$A27)*(TEXT('Daily Checklist'!$B$2:$B$2000,"yyyy-mm-dd")=TEXT(($B$4+28),"yyyy-mm-dd")))=0,"-",IF(SUMPRODUCT(('Daily Checklist'!$D$2:$D$2000=$A27)*(TEXT('Daily Checklist'!$B$2:$B$2000,"yyyy-mm-dd")=TEXT(($B$4+28),"yyyy-mm-dd"))*('Daily Checklist'!$L$2:$L$2000="Y"))&gt;0,SUMPRODUCT(('Daily Checklist'!$D$2:$D$2000=$A27)*(TEXT('Daily Checklist'!$B$2:$B$2000,"yyyy-mm-dd")=TEXT(($B$4+28),"yyyy-mm-dd"))*('Daily Checklist'!$F$2:$F$2000="Done"))&amp;"/"&amp;SUMPRODUCT(('Daily Checklist'!$D$2:$D$2000=$A27)*(TEXT('Daily Checklist'!$B$2:$B$2000,"yyyy-mm-dd")=TEXT(($B$4+28),"yyyy-mm-dd")))&amp;" ESC",SUMPRODUCT(('Daily Checklist'!$D$2:$D$2000=$A27)*(TEXT('Daily Checklist'!$B$2:$B$2000,"yyyy-mm-dd")=TEXT(($B$4+28),"yyyy-mm-dd"))*('Daily Checklist'!$F$2:$F$2000="Done"))&amp;"/"&amp;SUMPRODUCT(('Daily Checklist'!$D$2:$D$2000=$A27)*(TEXT('Daily Checklist'!$B$2:$B$2000,"yyyy-mm-dd")=TEXT(($B$4+28),"yyyy-mm-dd"))))))</f>
        <v/>
      </c>
      <c r="AE27" s="25" t="str">
        <f aca="false">IF($A27="","",IF(SUMPRODUCT(('Daily Checklist'!$D$2:$D$2000=$A27)*(TEXT('Daily Checklist'!$B$2:$B$2000,"yyyy-mm-dd")=TEXT(($B$4+29),"yyyy-mm-dd")))=0,"-",IF(SUMPRODUCT(('Daily Checklist'!$D$2:$D$2000=$A27)*(TEXT('Daily Checklist'!$B$2:$B$2000,"yyyy-mm-dd")=TEXT(($B$4+29),"yyyy-mm-dd"))*('Daily Checklist'!$L$2:$L$2000="Y"))&gt;0,SUMPRODUCT(('Daily Checklist'!$D$2:$D$2000=$A27)*(TEXT('Daily Checklist'!$B$2:$B$2000,"yyyy-mm-dd")=TEXT(($B$4+29),"yyyy-mm-dd"))*('Daily Checklist'!$F$2:$F$2000="Done"))&amp;"/"&amp;SUMPRODUCT(('Daily Checklist'!$D$2:$D$2000=$A27)*(TEXT('Daily Checklist'!$B$2:$B$2000,"yyyy-mm-dd")=TEXT(($B$4+29),"yyyy-mm-dd")))&amp;" ESC",SUMPRODUCT(('Daily Checklist'!$D$2:$D$2000=$A27)*(TEXT('Daily Checklist'!$B$2:$B$2000,"yyyy-mm-dd")=TEXT(($B$4+29),"yyyy-mm-dd"))*('Daily Checklist'!$F$2:$F$2000="Done"))&amp;"/"&amp;SUMPRODUCT(('Daily Checklist'!$D$2:$D$2000=$A27)*(TEXT('Daily Checklist'!$B$2:$B$2000,"yyyy-mm-dd")=TEXT(($B$4+29),"yyyy-mm-dd"))))))</f>
        <v/>
      </c>
      <c r="AF27" s="25" t="str">
        <f aca="false">IF($A27="","",IF(SUMPRODUCT(('Daily Checklist'!$D$2:$D$2000=$A27)*(TEXT('Daily Checklist'!$B$2:$B$2000,"yyyy-mm-dd")=TEXT(($B$4+30),"yyyy-mm-dd")))=0,"-",IF(SUMPRODUCT(('Daily Checklist'!$D$2:$D$2000=$A27)*(TEXT('Daily Checklist'!$B$2:$B$2000,"yyyy-mm-dd")=TEXT(($B$4+30),"yyyy-mm-dd"))*('Daily Checklist'!$L$2:$L$2000="Y"))&gt;0,SUMPRODUCT(('Daily Checklist'!$D$2:$D$2000=$A27)*(TEXT('Daily Checklist'!$B$2:$B$2000,"yyyy-mm-dd")=TEXT(($B$4+30),"yyyy-mm-dd"))*('Daily Checklist'!$F$2:$F$2000="Done"))&amp;"/"&amp;SUMPRODUCT(('Daily Checklist'!$D$2:$D$2000=$A27)*(TEXT('Daily Checklist'!$B$2:$B$2000,"yyyy-mm-dd")=TEXT(($B$4+30),"yyyy-mm-dd")))&amp;" ESC",SUMPRODUCT(('Daily Checklist'!$D$2:$D$2000=$A27)*(TEXT('Daily Checklist'!$B$2:$B$2000,"yyyy-mm-dd")=TEXT(($B$4+30),"yyyy-mm-dd"))*('Daily Checklist'!$F$2:$F$2000="Done"))&amp;"/"&amp;SUMPRODUCT(('Daily Checklist'!$D$2:$D$2000=$A27)*(TEXT('Daily Checklist'!$B$2:$B$2000,"yyyy-mm-dd")=TEXT(($B$4+30),"yyyy-mm-dd"))))))</f>
        <v/>
      </c>
    </row>
    <row r="28" customFormat="false" ht="15" hidden="false" customHeight="true" outlineLevel="0" collapsed="false">
      <c r="A28" s="24" t="str">
        <f aca="false">IFERROR(IF(Employees!A23="","",Employees!A23),"")</f>
        <v/>
      </c>
      <c r="B28" s="25" t="str">
        <f aca="false">IF($A28="","",IF(SUMPRODUCT(('Daily Checklist'!$D$2:$D$2000=$A28)*(TEXT('Daily Checklist'!$B$2:$B$2000,"yyyy-mm-dd")=TEXT(($B$4+0),"yyyy-mm-dd")))=0,"-",IF(SUMPRODUCT(('Daily Checklist'!$D$2:$D$2000=$A28)*(TEXT('Daily Checklist'!$B$2:$B$2000,"yyyy-mm-dd")=TEXT(($B$4+0),"yyyy-mm-dd"))*('Daily Checklist'!$L$2:$L$2000="Y"))&gt;0,SUMPRODUCT(('Daily Checklist'!$D$2:$D$2000=$A28)*(TEXT('Daily Checklist'!$B$2:$B$2000,"yyyy-mm-dd")=TEXT(($B$4+0),"yyyy-mm-dd"))*('Daily Checklist'!$F$2:$F$2000="Done"))&amp;"/"&amp;SUMPRODUCT(('Daily Checklist'!$D$2:$D$2000=$A28)*(TEXT('Daily Checklist'!$B$2:$B$2000,"yyyy-mm-dd")=TEXT(($B$4+0),"yyyy-mm-dd")))&amp;" ESC",SUMPRODUCT(('Daily Checklist'!$D$2:$D$2000=$A28)*(TEXT('Daily Checklist'!$B$2:$B$2000,"yyyy-mm-dd")=TEXT(($B$4+0),"yyyy-mm-dd"))*('Daily Checklist'!$F$2:$F$2000="Done"))&amp;"/"&amp;SUMPRODUCT(('Daily Checklist'!$D$2:$D$2000=$A28)*(TEXT('Daily Checklist'!$B$2:$B$2000,"yyyy-mm-dd")=TEXT(($B$4+0),"yyyy-mm-dd"))))))</f>
        <v/>
      </c>
      <c r="C28" s="25" t="str">
        <f aca="false">IF($A28="","",IF(SUMPRODUCT(('Daily Checklist'!$D$2:$D$2000=$A28)*(TEXT('Daily Checklist'!$B$2:$B$2000,"yyyy-mm-dd")=TEXT(($B$4+1),"yyyy-mm-dd")))=0,"-",IF(SUMPRODUCT(('Daily Checklist'!$D$2:$D$2000=$A28)*(TEXT('Daily Checklist'!$B$2:$B$2000,"yyyy-mm-dd")=TEXT(($B$4+1),"yyyy-mm-dd"))*('Daily Checklist'!$L$2:$L$2000="Y"))&gt;0,SUMPRODUCT(('Daily Checklist'!$D$2:$D$2000=$A28)*(TEXT('Daily Checklist'!$B$2:$B$2000,"yyyy-mm-dd")=TEXT(($B$4+1),"yyyy-mm-dd"))*('Daily Checklist'!$F$2:$F$2000="Done"))&amp;"/"&amp;SUMPRODUCT(('Daily Checklist'!$D$2:$D$2000=$A28)*(TEXT('Daily Checklist'!$B$2:$B$2000,"yyyy-mm-dd")=TEXT(($B$4+1),"yyyy-mm-dd")))&amp;" ESC",SUMPRODUCT(('Daily Checklist'!$D$2:$D$2000=$A28)*(TEXT('Daily Checklist'!$B$2:$B$2000,"yyyy-mm-dd")=TEXT(($B$4+1),"yyyy-mm-dd"))*('Daily Checklist'!$F$2:$F$2000="Done"))&amp;"/"&amp;SUMPRODUCT(('Daily Checklist'!$D$2:$D$2000=$A28)*(TEXT('Daily Checklist'!$B$2:$B$2000,"yyyy-mm-dd")=TEXT(($B$4+1),"yyyy-mm-dd"))))))</f>
        <v/>
      </c>
      <c r="D28" s="25" t="str">
        <f aca="false">IF($A28="","",IF(SUMPRODUCT(('Daily Checklist'!$D$2:$D$2000=$A28)*(TEXT('Daily Checklist'!$B$2:$B$2000,"yyyy-mm-dd")=TEXT(($B$4+2),"yyyy-mm-dd")))=0,"-",IF(SUMPRODUCT(('Daily Checklist'!$D$2:$D$2000=$A28)*(TEXT('Daily Checklist'!$B$2:$B$2000,"yyyy-mm-dd")=TEXT(($B$4+2),"yyyy-mm-dd"))*('Daily Checklist'!$L$2:$L$2000="Y"))&gt;0,SUMPRODUCT(('Daily Checklist'!$D$2:$D$2000=$A28)*(TEXT('Daily Checklist'!$B$2:$B$2000,"yyyy-mm-dd")=TEXT(($B$4+2),"yyyy-mm-dd"))*('Daily Checklist'!$F$2:$F$2000="Done"))&amp;"/"&amp;SUMPRODUCT(('Daily Checklist'!$D$2:$D$2000=$A28)*(TEXT('Daily Checklist'!$B$2:$B$2000,"yyyy-mm-dd")=TEXT(($B$4+2),"yyyy-mm-dd")))&amp;" ESC",SUMPRODUCT(('Daily Checklist'!$D$2:$D$2000=$A28)*(TEXT('Daily Checklist'!$B$2:$B$2000,"yyyy-mm-dd")=TEXT(($B$4+2),"yyyy-mm-dd"))*('Daily Checklist'!$F$2:$F$2000="Done"))&amp;"/"&amp;SUMPRODUCT(('Daily Checklist'!$D$2:$D$2000=$A28)*(TEXT('Daily Checklist'!$B$2:$B$2000,"yyyy-mm-dd")=TEXT(($B$4+2),"yyyy-mm-dd"))))))</f>
        <v/>
      </c>
      <c r="E28" s="25" t="str">
        <f aca="false">IF($A28="","",IF(SUMPRODUCT(('Daily Checklist'!$D$2:$D$2000=$A28)*(TEXT('Daily Checklist'!$B$2:$B$2000,"yyyy-mm-dd")=TEXT(($B$4+3),"yyyy-mm-dd")))=0,"-",IF(SUMPRODUCT(('Daily Checklist'!$D$2:$D$2000=$A28)*(TEXT('Daily Checklist'!$B$2:$B$2000,"yyyy-mm-dd")=TEXT(($B$4+3),"yyyy-mm-dd"))*('Daily Checklist'!$L$2:$L$2000="Y"))&gt;0,SUMPRODUCT(('Daily Checklist'!$D$2:$D$2000=$A28)*(TEXT('Daily Checklist'!$B$2:$B$2000,"yyyy-mm-dd")=TEXT(($B$4+3),"yyyy-mm-dd"))*('Daily Checklist'!$F$2:$F$2000="Done"))&amp;"/"&amp;SUMPRODUCT(('Daily Checklist'!$D$2:$D$2000=$A28)*(TEXT('Daily Checklist'!$B$2:$B$2000,"yyyy-mm-dd")=TEXT(($B$4+3),"yyyy-mm-dd")))&amp;" ESC",SUMPRODUCT(('Daily Checklist'!$D$2:$D$2000=$A28)*(TEXT('Daily Checklist'!$B$2:$B$2000,"yyyy-mm-dd")=TEXT(($B$4+3),"yyyy-mm-dd"))*('Daily Checklist'!$F$2:$F$2000="Done"))&amp;"/"&amp;SUMPRODUCT(('Daily Checklist'!$D$2:$D$2000=$A28)*(TEXT('Daily Checklist'!$B$2:$B$2000,"yyyy-mm-dd")=TEXT(($B$4+3),"yyyy-mm-dd"))))))</f>
        <v/>
      </c>
      <c r="F28" s="25" t="str">
        <f aca="false">IF($A28="","",IF(SUMPRODUCT(('Daily Checklist'!$D$2:$D$2000=$A28)*(TEXT('Daily Checklist'!$B$2:$B$2000,"yyyy-mm-dd")=TEXT(($B$4+4),"yyyy-mm-dd")))=0,"-",IF(SUMPRODUCT(('Daily Checklist'!$D$2:$D$2000=$A28)*(TEXT('Daily Checklist'!$B$2:$B$2000,"yyyy-mm-dd")=TEXT(($B$4+4),"yyyy-mm-dd"))*('Daily Checklist'!$L$2:$L$2000="Y"))&gt;0,SUMPRODUCT(('Daily Checklist'!$D$2:$D$2000=$A28)*(TEXT('Daily Checklist'!$B$2:$B$2000,"yyyy-mm-dd")=TEXT(($B$4+4),"yyyy-mm-dd"))*('Daily Checklist'!$F$2:$F$2000="Done"))&amp;"/"&amp;SUMPRODUCT(('Daily Checklist'!$D$2:$D$2000=$A28)*(TEXT('Daily Checklist'!$B$2:$B$2000,"yyyy-mm-dd")=TEXT(($B$4+4),"yyyy-mm-dd")))&amp;" ESC",SUMPRODUCT(('Daily Checklist'!$D$2:$D$2000=$A28)*(TEXT('Daily Checklist'!$B$2:$B$2000,"yyyy-mm-dd")=TEXT(($B$4+4),"yyyy-mm-dd"))*('Daily Checklist'!$F$2:$F$2000="Done"))&amp;"/"&amp;SUMPRODUCT(('Daily Checklist'!$D$2:$D$2000=$A28)*(TEXT('Daily Checklist'!$B$2:$B$2000,"yyyy-mm-dd")=TEXT(($B$4+4),"yyyy-mm-dd"))))))</f>
        <v/>
      </c>
      <c r="G28" s="25" t="str">
        <f aca="false">IF($A28="","",IF(SUMPRODUCT(('Daily Checklist'!$D$2:$D$2000=$A28)*(TEXT('Daily Checklist'!$B$2:$B$2000,"yyyy-mm-dd")=TEXT(($B$4+5),"yyyy-mm-dd")))=0,"-",IF(SUMPRODUCT(('Daily Checklist'!$D$2:$D$2000=$A28)*(TEXT('Daily Checklist'!$B$2:$B$2000,"yyyy-mm-dd")=TEXT(($B$4+5),"yyyy-mm-dd"))*('Daily Checklist'!$L$2:$L$2000="Y"))&gt;0,SUMPRODUCT(('Daily Checklist'!$D$2:$D$2000=$A28)*(TEXT('Daily Checklist'!$B$2:$B$2000,"yyyy-mm-dd")=TEXT(($B$4+5),"yyyy-mm-dd"))*('Daily Checklist'!$F$2:$F$2000="Done"))&amp;"/"&amp;SUMPRODUCT(('Daily Checklist'!$D$2:$D$2000=$A28)*(TEXT('Daily Checklist'!$B$2:$B$2000,"yyyy-mm-dd")=TEXT(($B$4+5),"yyyy-mm-dd")))&amp;" ESC",SUMPRODUCT(('Daily Checklist'!$D$2:$D$2000=$A28)*(TEXT('Daily Checklist'!$B$2:$B$2000,"yyyy-mm-dd")=TEXT(($B$4+5),"yyyy-mm-dd"))*('Daily Checklist'!$F$2:$F$2000="Done"))&amp;"/"&amp;SUMPRODUCT(('Daily Checklist'!$D$2:$D$2000=$A28)*(TEXT('Daily Checklist'!$B$2:$B$2000,"yyyy-mm-dd")=TEXT(($B$4+5),"yyyy-mm-dd"))))))</f>
        <v/>
      </c>
      <c r="H28" s="25" t="str">
        <f aca="false">IF($A28="","",IF(SUMPRODUCT(('Daily Checklist'!$D$2:$D$2000=$A28)*(TEXT('Daily Checklist'!$B$2:$B$2000,"yyyy-mm-dd")=TEXT(($B$4+6),"yyyy-mm-dd")))=0,"-",IF(SUMPRODUCT(('Daily Checklist'!$D$2:$D$2000=$A28)*(TEXT('Daily Checklist'!$B$2:$B$2000,"yyyy-mm-dd")=TEXT(($B$4+6),"yyyy-mm-dd"))*('Daily Checklist'!$L$2:$L$2000="Y"))&gt;0,SUMPRODUCT(('Daily Checklist'!$D$2:$D$2000=$A28)*(TEXT('Daily Checklist'!$B$2:$B$2000,"yyyy-mm-dd")=TEXT(($B$4+6),"yyyy-mm-dd"))*('Daily Checklist'!$F$2:$F$2000="Done"))&amp;"/"&amp;SUMPRODUCT(('Daily Checklist'!$D$2:$D$2000=$A28)*(TEXT('Daily Checklist'!$B$2:$B$2000,"yyyy-mm-dd")=TEXT(($B$4+6),"yyyy-mm-dd")))&amp;" ESC",SUMPRODUCT(('Daily Checklist'!$D$2:$D$2000=$A28)*(TEXT('Daily Checklist'!$B$2:$B$2000,"yyyy-mm-dd")=TEXT(($B$4+6),"yyyy-mm-dd"))*('Daily Checklist'!$F$2:$F$2000="Done"))&amp;"/"&amp;SUMPRODUCT(('Daily Checklist'!$D$2:$D$2000=$A28)*(TEXT('Daily Checklist'!$B$2:$B$2000,"yyyy-mm-dd")=TEXT(($B$4+6),"yyyy-mm-dd"))))))</f>
        <v/>
      </c>
      <c r="I28" s="25" t="str">
        <f aca="false">IF($A28="","",IF(SUMPRODUCT(('Daily Checklist'!$D$2:$D$2000=$A28)*(TEXT('Daily Checklist'!$B$2:$B$2000,"yyyy-mm-dd")=TEXT(($B$4+7),"yyyy-mm-dd")))=0,"-",IF(SUMPRODUCT(('Daily Checklist'!$D$2:$D$2000=$A28)*(TEXT('Daily Checklist'!$B$2:$B$2000,"yyyy-mm-dd")=TEXT(($B$4+7),"yyyy-mm-dd"))*('Daily Checklist'!$L$2:$L$2000="Y"))&gt;0,SUMPRODUCT(('Daily Checklist'!$D$2:$D$2000=$A28)*(TEXT('Daily Checklist'!$B$2:$B$2000,"yyyy-mm-dd")=TEXT(($B$4+7),"yyyy-mm-dd"))*('Daily Checklist'!$F$2:$F$2000="Done"))&amp;"/"&amp;SUMPRODUCT(('Daily Checklist'!$D$2:$D$2000=$A28)*(TEXT('Daily Checklist'!$B$2:$B$2000,"yyyy-mm-dd")=TEXT(($B$4+7),"yyyy-mm-dd")))&amp;" ESC",SUMPRODUCT(('Daily Checklist'!$D$2:$D$2000=$A28)*(TEXT('Daily Checklist'!$B$2:$B$2000,"yyyy-mm-dd")=TEXT(($B$4+7),"yyyy-mm-dd"))*('Daily Checklist'!$F$2:$F$2000="Done"))&amp;"/"&amp;SUMPRODUCT(('Daily Checklist'!$D$2:$D$2000=$A28)*(TEXT('Daily Checklist'!$B$2:$B$2000,"yyyy-mm-dd")=TEXT(($B$4+7),"yyyy-mm-dd"))))))</f>
        <v/>
      </c>
      <c r="J28" s="25" t="str">
        <f aca="false">IF($A28="","",IF(SUMPRODUCT(('Daily Checklist'!$D$2:$D$2000=$A28)*(TEXT('Daily Checklist'!$B$2:$B$2000,"yyyy-mm-dd")=TEXT(($B$4+8),"yyyy-mm-dd")))=0,"-",IF(SUMPRODUCT(('Daily Checklist'!$D$2:$D$2000=$A28)*(TEXT('Daily Checklist'!$B$2:$B$2000,"yyyy-mm-dd")=TEXT(($B$4+8),"yyyy-mm-dd"))*('Daily Checklist'!$L$2:$L$2000="Y"))&gt;0,SUMPRODUCT(('Daily Checklist'!$D$2:$D$2000=$A28)*(TEXT('Daily Checklist'!$B$2:$B$2000,"yyyy-mm-dd")=TEXT(($B$4+8),"yyyy-mm-dd"))*('Daily Checklist'!$F$2:$F$2000="Done"))&amp;"/"&amp;SUMPRODUCT(('Daily Checklist'!$D$2:$D$2000=$A28)*(TEXT('Daily Checklist'!$B$2:$B$2000,"yyyy-mm-dd")=TEXT(($B$4+8),"yyyy-mm-dd")))&amp;" ESC",SUMPRODUCT(('Daily Checklist'!$D$2:$D$2000=$A28)*(TEXT('Daily Checklist'!$B$2:$B$2000,"yyyy-mm-dd")=TEXT(($B$4+8),"yyyy-mm-dd"))*('Daily Checklist'!$F$2:$F$2000="Done"))&amp;"/"&amp;SUMPRODUCT(('Daily Checklist'!$D$2:$D$2000=$A28)*(TEXT('Daily Checklist'!$B$2:$B$2000,"yyyy-mm-dd")=TEXT(($B$4+8),"yyyy-mm-dd"))))))</f>
        <v/>
      </c>
      <c r="K28" s="25" t="str">
        <f aca="false">IF($A28="","",IF(SUMPRODUCT(('Daily Checklist'!$D$2:$D$2000=$A28)*(TEXT('Daily Checklist'!$B$2:$B$2000,"yyyy-mm-dd")=TEXT(($B$4+9),"yyyy-mm-dd")))=0,"-",IF(SUMPRODUCT(('Daily Checklist'!$D$2:$D$2000=$A28)*(TEXT('Daily Checklist'!$B$2:$B$2000,"yyyy-mm-dd")=TEXT(($B$4+9),"yyyy-mm-dd"))*('Daily Checklist'!$L$2:$L$2000="Y"))&gt;0,SUMPRODUCT(('Daily Checklist'!$D$2:$D$2000=$A28)*(TEXT('Daily Checklist'!$B$2:$B$2000,"yyyy-mm-dd")=TEXT(($B$4+9),"yyyy-mm-dd"))*('Daily Checklist'!$F$2:$F$2000="Done"))&amp;"/"&amp;SUMPRODUCT(('Daily Checklist'!$D$2:$D$2000=$A28)*(TEXT('Daily Checklist'!$B$2:$B$2000,"yyyy-mm-dd")=TEXT(($B$4+9),"yyyy-mm-dd")))&amp;" ESC",SUMPRODUCT(('Daily Checklist'!$D$2:$D$2000=$A28)*(TEXT('Daily Checklist'!$B$2:$B$2000,"yyyy-mm-dd")=TEXT(($B$4+9),"yyyy-mm-dd"))*('Daily Checklist'!$F$2:$F$2000="Done"))&amp;"/"&amp;SUMPRODUCT(('Daily Checklist'!$D$2:$D$2000=$A28)*(TEXT('Daily Checklist'!$B$2:$B$2000,"yyyy-mm-dd")=TEXT(($B$4+9),"yyyy-mm-dd"))))))</f>
        <v/>
      </c>
      <c r="L28" s="25" t="str">
        <f aca="false">IF($A28="","",IF(SUMPRODUCT(('Daily Checklist'!$D$2:$D$2000=$A28)*(TEXT('Daily Checklist'!$B$2:$B$2000,"yyyy-mm-dd")=TEXT(($B$4+10),"yyyy-mm-dd")))=0,"-",IF(SUMPRODUCT(('Daily Checklist'!$D$2:$D$2000=$A28)*(TEXT('Daily Checklist'!$B$2:$B$2000,"yyyy-mm-dd")=TEXT(($B$4+10),"yyyy-mm-dd"))*('Daily Checklist'!$L$2:$L$2000="Y"))&gt;0,SUMPRODUCT(('Daily Checklist'!$D$2:$D$2000=$A28)*(TEXT('Daily Checklist'!$B$2:$B$2000,"yyyy-mm-dd")=TEXT(($B$4+10),"yyyy-mm-dd"))*('Daily Checklist'!$F$2:$F$2000="Done"))&amp;"/"&amp;SUMPRODUCT(('Daily Checklist'!$D$2:$D$2000=$A28)*(TEXT('Daily Checklist'!$B$2:$B$2000,"yyyy-mm-dd")=TEXT(($B$4+10),"yyyy-mm-dd")))&amp;" ESC",SUMPRODUCT(('Daily Checklist'!$D$2:$D$2000=$A28)*(TEXT('Daily Checklist'!$B$2:$B$2000,"yyyy-mm-dd")=TEXT(($B$4+10),"yyyy-mm-dd"))*('Daily Checklist'!$F$2:$F$2000="Done"))&amp;"/"&amp;SUMPRODUCT(('Daily Checklist'!$D$2:$D$2000=$A28)*(TEXT('Daily Checklist'!$B$2:$B$2000,"yyyy-mm-dd")=TEXT(($B$4+10),"yyyy-mm-dd"))))))</f>
        <v/>
      </c>
      <c r="M28" s="25" t="str">
        <f aca="false">IF($A28="","",IF(SUMPRODUCT(('Daily Checklist'!$D$2:$D$2000=$A28)*(TEXT('Daily Checklist'!$B$2:$B$2000,"yyyy-mm-dd")=TEXT(($B$4+11),"yyyy-mm-dd")))=0,"-",IF(SUMPRODUCT(('Daily Checklist'!$D$2:$D$2000=$A28)*(TEXT('Daily Checklist'!$B$2:$B$2000,"yyyy-mm-dd")=TEXT(($B$4+11),"yyyy-mm-dd"))*('Daily Checklist'!$L$2:$L$2000="Y"))&gt;0,SUMPRODUCT(('Daily Checklist'!$D$2:$D$2000=$A28)*(TEXT('Daily Checklist'!$B$2:$B$2000,"yyyy-mm-dd")=TEXT(($B$4+11),"yyyy-mm-dd"))*('Daily Checklist'!$F$2:$F$2000="Done"))&amp;"/"&amp;SUMPRODUCT(('Daily Checklist'!$D$2:$D$2000=$A28)*(TEXT('Daily Checklist'!$B$2:$B$2000,"yyyy-mm-dd")=TEXT(($B$4+11),"yyyy-mm-dd")))&amp;" ESC",SUMPRODUCT(('Daily Checklist'!$D$2:$D$2000=$A28)*(TEXT('Daily Checklist'!$B$2:$B$2000,"yyyy-mm-dd")=TEXT(($B$4+11),"yyyy-mm-dd"))*('Daily Checklist'!$F$2:$F$2000="Done"))&amp;"/"&amp;SUMPRODUCT(('Daily Checklist'!$D$2:$D$2000=$A28)*(TEXT('Daily Checklist'!$B$2:$B$2000,"yyyy-mm-dd")=TEXT(($B$4+11),"yyyy-mm-dd"))))))</f>
        <v/>
      </c>
      <c r="N28" s="25" t="str">
        <f aca="false">IF($A28="","",IF(SUMPRODUCT(('Daily Checklist'!$D$2:$D$2000=$A28)*(TEXT('Daily Checklist'!$B$2:$B$2000,"yyyy-mm-dd")=TEXT(($B$4+12),"yyyy-mm-dd")))=0,"-",IF(SUMPRODUCT(('Daily Checklist'!$D$2:$D$2000=$A28)*(TEXT('Daily Checklist'!$B$2:$B$2000,"yyyy-mm-dd")=TEXT(($B$4+12),"yyyy-mm-dd"))*('Daily Checklist'!$L$2:$L$2000="Y"))&gt;0,SUMPRODUCT(('Daily Checklist'!$D$2:$D$2000=$A28)*(TEXT('Daily Checklist'!$B$2:$B$2000,"yyyy-mm-dd")=TEXT(($B$4+12),"yyyy-mm-dd"))*('Daily Checklist'!$F$2:$F$2000="Done"))&amp;"/"&amp;SUMPRODUCT(('Daily Checklist'!$D$2:$D$2000=$A28)*(TEXT('Daily Checklist'!$B$2:$B$2000,"yyyy-mm-dd")=TEXT(($B$4+12),"yyyy-mm-dd")))&amp;" ESC",SUMPRODUCT(('Daily Checklist'!$D$2:$D$2000=$A28)*(TEXT('Daily Checklist'!$B$2:$B$2000,"yyyy-mm-dd")=TEXT(($B$4+12),"yyyy-mm-dd"))*('Daily Checklist'!$F$2:$F$2000="Done"))&amp;"/"&amp;SUMPRODUCT(('Daily Checklist'!$D$2:$D$2000=$A28)*(TEXT('Daily Checklist'!$B$2:$B$2000,"yyyy-mm-dd")=TEXT(($B$4+12),"yyyy-mm-dd"))))))</f>
        <v/>
      </c>
      <c r="O28" s="25" t="str">
        <f aca="false">IF($A28="","",IF(SUMPRODUCT(('Daily Checklist'!$D$2:$D$2000=$A28)*(TEXT('Daily Checklist'!$B$2:$B$2000,"yyyy-mm-dd")=TEXT(($B$4+13),"yyyy-mm-dd")))=0,"-",IF(SUMPRODUCT(('Daily Checklist'!$D$2:$D$2000=$A28)*(TEXT('Daily Checklist'!$B$2:$B$2000,"yyyy-mm-dd")=TEXT(($B$4+13),"yyyy-mm-dd"))*('Daily Checklist'!$L$2:$L$2000="Y"))&gt;0,SUMPRODUCT(('Daily Checklist'!$D$2:$D$2000=$A28)*(TEXT('Daily Checklist'!$B$2:$B$2000,"yyyy-mm-dd")=TEXT(($B$4+13),"yyyy-mm-dd"))*('Daily Checklist'!$F$2:$F$2000="Done"))&amp;"/"&amp;SUMPRODUCT(('Daily Checklist'!$D$2:$D$2000=$A28)*(TEXT('Daily Checklist'!$B$2:$B$2000,"yyyy-mm-dd")=TEXT(($B$4+13),"yyyy-mm-dd")))&amp;" ESC",SUMPRODUCT(('Daily Checklist'!$D$2:$D$2000=$A28)*(TEXT('Daily Checklist'!$B$2:$B$2000,"yyyy-mm-dd")=TEXT(($B$4+13),"yyyy-mm-dd"))*('Daily Checklist'!$F$2:$F$2000="Done"))&amp;"/"&amp;SUMPRODUCT(('Daily Checklist'!$D$2:$D$2000=$A28)*(TEXT('Daily Checklist'!$B$2:$B$2000,"yyyy-mm-dd")=TEXT(($B$4+13),"yyyy-mm-dd"))))))</f>
        <v/>
      </c>
      <c r="P28" s="25" t="str">
        <f aca="false">IF($A28="","",IF(SUMPRODUCT(('Daily Checklist'!$D$2:$D$2000=$A28)*(TEXT('Daily Checklist'!$B$2:$B$2000,"yyyy-mm-dd")=TEXT(($B$4+14),"yyyy-mm-dd")))=0,"-",IF(SUMPRODUCT(('Daily Checklist'!$D$2:$D$2000=$A28)*(TEXT('Daily Checklist'!$B$2:$B$2000,"yyyy-mm-dd")=TEXT(($B$4+14),"yyyy-mm-dd"))*('Daily Checklist'!$L$2:$L$2000="Y"))&gt;0,SUMPRODUCT(('Daily Checklist'!$D$2:$D$2000=$A28)*(TEXT('Daily Checklist'!$B$2:$B$2000,"yyyy-mm-dd")=TEXT(($B$4+14),"yyyy-mm-dd"))*('Daily Checklist'!$F$2:$F$2000="Done"))&amp;"/"&amp;SUMPRODUCT(('Daily Checklist'!$D$2:$D$2000=$A28)*(TEXT('Daily Checklist'!$B$2:$B$2000,"yyyy-mm-dd")=TEXT(($B$4+14),"yyyy-mm-dd")))&amp;" ESC",SUMPRODUCT(('Daily Checklist'!$D$2:$D$2000=$A28)*(TEXT('Daily Checklist'!$B$2:$B$2000,"yyyy-mm-dd")=TEXT(($B$4+14),"yyyy-mm-dd"))*('Daily Checklist'!$F$2:$F$2000="Done"))&amp;"/"&amp;SUMPRODUCT(('Daily Checklist'!$D$2:$D$2000=$A28)*(TEXT('Daily Checklist'!$B$2:$B$2000,"yyyy-mm-dd")=TEXT(($B$4+14),"yyyy-mm-dd"))))))</f>
        <v/>
      </c>
      <c r="Q28" s="25" t="str">
        <f aca="false">IF($A28="","",IF(SUMPRODUCT(('Daily Checklist'!$D$2:$D$2000=$A28)*(TEXT('Daily Checklist'!$B$2:$B$2000,"yyyy-mm-dd")=TEXT(($B$4+15),"yyyy-mm-dd")))=0,"-",IF(SUMPRODUCT(('Daily Checklist'!$D$2:$D$2000=$A28)*(TEXT('Daily Checklist'!$B$2:$B$2000,"yyyy-mm-dd")=TEXT(($B$4+15),"yyyy-mm-dd"))*('Daily Checklist'!$L$2:$L$2000="Y"))&gt;0,SUMPRODUCT(('Daily Checklist'!$D$2:$D$2000=$A28)*(TEXT('Daily Checklist'!$B$2:$B$2000,"yyyy-mm-dd")=TEXT(($B$4+15),"yyyy-mm-dd"))*('Daily Checklist'!$F$2:$F$2000="Done"))&amp;"/"&amp;SUMPRODUCT(('Daily Checklist'!$D$2:$D$2000=$A28)*(TEXT('Daily Checklist'!$B$2:$B$2000,"yyyy-mm-dd")=TEXT(($B$4+15),"yyyy-mm-dd")))&amp;" ESC",SUMPRODUCT(('Daily Checklist'!$D$2:$D$2000=$A28)*(TEXT('Daily Checklist'!$B$2:$B$2000,"yyyy-mm-dd")=TEXT(($B$4+15),"yyyy-mm-dd"))*('Daily Checklist'!$F$2:$F$2000="Done"))&amp;"/"&amp;SUMPRODUCT(('Daily Checklist'!$D$2:$D$2000=$A28)*(TEXT('Daily Checklist'!$B$2:$B$2000,"yyyy-mm-dd")=TEXT(($B$4+15),"yyyy-mm-dd"))))))</f>
        <v/>
      </c>
      <c r="R28" s="25" t="str">
        <f aca="false">IF($A28="","",IF(SUMPRODUCT(('Daily Checklist'!$D$2:$D$2000=$A28)*(TEXT('Daily Checklist'!$B$2:$B$2000,"yyyy-mm-dd")=TEXT(($B$4+16),"yyyy-mm-dd")))=0,"-",IF(SUMPRODUCT(('Daily Checklist'!$D$2:$D$2000=$A28)*(TEXT('Daily Checklist'!$B$2:$B$2000,"yyyy-mm-dd")=TEXT(($B$4+16),"yyyy-mm-dd"))*('Daily Checklist'!$L$2:$L$2000="Y"))&gt;0,SUMPRODUCT(('Daily Checklist'!$D$2:$D$2000=$A28)*(TEXT('Daily Checklist'!$B$2:$B$2000,"yyyy-mm-dd")=TEXT(($B$4+16),"yyyy-mm-dd"))*('Daily Checklist'!$F$2:$F$2000="Done"))&amp;"/"&amp;SUMPRODUCT(('Daily Checklist'!$D$2:$D$2000=$A28)*(TEXT('Daily Checklist'!$B$2:$B$2000,"yyyy-mm-dd")=TEXT(($B$4+16),"yyyy-mm-dd")))&amp;" ESC",SUMPRODUCT(('Daily Checklist'!$D$2:$D$2000=$A28)*(TEXT('Daily Checklist'!$B$2:$B$2000,"yyyy-mm-dd")=TEXT(($B$4+16),"yyyy-mm-dd"))*('Daily Checklist'!$F$2:$F$2000="Done"))&amp;"/"&amp;SUMPRODUCT(('Daily Checklist'!$D$2:$D$2000=$A28)*(TEXT('Daily Checklist'!$B$2:$B$2000,"yyyy-mm-dd")=TEXT(($B$4+16),"yyyy-mm-dd"))))))</f>
        <v/>
      </c>
      <c r="S28" s="25" t="str">
        <f aca="false">IF($A28="","",IF(SUMPRODUCT(('Daily Checklist'!$D$2:$D$2000=$A28)*(TEXT('Daily Checklist'!$B$2:$B$2000,"yyyy-mm-dd")=TEXT(($B$4+17),"yyyy-mm-dd")))=0,"-",IF(SUMPRODUCT(('Daily Checklist'!$D$2:$D$2000=$A28)*(TEXT('Daily Checklist'!$B$2:$B$2000,"yyyy-mm-dd")=TEXT(($B$4+17),"yyyy-mm-dd"))*('Daily Checklist'!$L$2:$L$2000="Y"))&gt;0,SUMPRODUCT(('Daily Checklist'!$D$2:$D$2000=$A28)*(TEXT('Daily Checklist'!$B$2:$B$2000,"yyyy-mm-dd")=TEXT(($B$4+17),"yyyy-mm-dd"))*('Daily Checklist'!$F$2:$F$2000="Done"))&amp;"/"&amp;SUMPRODUCT(('Daily Checklist'!$D$2:$D$2000=$A28)*(TEXT('Daily Checklist'!$B$2:$B$2000,"yyyy-mm-dd")=TEXT(($B$4+17),"yyyy-mm-dd")))&amp;" ESC",SUMPRODUCT(('Daily Checklist'!$D$2:$D$2000=$A28)*(TEXT('Daily Checklist'!$B$2:$B$2000,"yyyy-mm-dd")=TEXT(($B$4+17),"yyyy-mm-dd"))*('Daily Checklist'!$F$2:$F$2000="Done"))&amp;"/"&amp;SUMPRODUCT(('Daily Checklist'!$D$2:$D$2000=$A28)*(TEXT('Daily Checklist'!$B$2:$B$2000,"yyyy-mm-dd")=TEXT(($B$4+17),"yyyy-mm-dd"))))))</f>
        <v/>
      </c>
      <c r="T28" s="25" t="str">
        <f aca="false">IF($A28="","",IF(SUMPRODUCT(('Daily Checklist'!$D$2:$D$2000=$A28)*(TEXT('Daily Checklist'!$B$2:$B$2000,"yyyy-mm-dd")=TEXT(($B$4+18),"yyyy-mm-dd")))=0,"-",IF(SUMPRODUCT(('Daily Checklist'!$D$2:$D$2000=$A28)*(TEXT('Daily Checklist'!$B$2:$B$2000,"yyyy-mm-dd")=TEXT(($B$4+18),"yyyy-mm-dd"))*('Daily Checklist'!$L$2:$L$2000="Y"))&gt;0,SUMPRODUCT(('Daily Checklist'!$D$2:$D$2000=$A28)*(TEXT('Daily Checklist'!$B$2:$B$2000,"yyyy-mm-dd")=TEXT(($B$4+18),"yyyy-mm-dd"))*('Daily Checklist'!$F$2:$F$2000="Done"))&amp;"/"&amp;SUMPRODUCT(('Daily Checklist'!$D$2:$D$2000=$A28)*(TEXT('Daily Checklist'!$B$2:$B$2000,"yyyy-mm-dd")=TEXT(($B$4+18),"yyyy-mm-dd")))&amp;" ESC",SUMPRODUCT(('Daily Checklist'!$D$2:$D$2000=$A28)*(TEXT('Daily Checklist'!$B$2:$B$2000,"yyyy-mm-dd")=TEXT(($B$4+18),"yyyy-mm-dd"))*('Daily Checklist'!$F$2:$F$2000="Done"))&amp;"/"&amp;SUMPRODUCT(('Daily Checklist'!$D$2:$D$2000=$A28)*(TEXT('Daily Checklist'!$B$2:$B$2000,"yyyy-mm-dd")=TEXT(($B$4+18),"yyyy-mm-dd"))))))</f>
        <v/>
      </c>
      <c r="U28" s="25" t="str">
        <f aca="false">IF($A28="","",IF(SUMPRODUCT(('Daily Checklist'!$D$2:$D$2000=$A28)*(TEXT('Daily Checklist'!$B$2:$B$2000,"yyyy-mm-dd")=TEXT(($B$4+19),"yyyy-mm-dd")))=0,"-",IF(SUMPRODUCT(('Daily Checklist'!$D$2:$D$2000=$A28)*(TEXT('Daily Checklist'!$B$2:$B$2000,"yyyy-mm-dd")=TEXT(($B$4+19),"yyyy-mm-dd"))*('Daily Checklist'!$L$2:$L$2000="Y"))&gt;0,SUMPRODUCT(('Daily Checklist'!$D$2:$D$2000=$A28)*(TEXT('Daily Checklist'!$B$2:$B$2000,"yyyy-mm-dd")=TEXT(($B$4+19),"yyyy-mm-dd"))*('Daily Checklist'!$F$2:$F$2000="Done"))&amp;"/"&amp;SUMPRODUCT(('Daily Checklist'!$D$2:$D$2000=$A28)*(TEXT('Daily Checklist'!$B$2:$B$2000,"yyyy-mm-dd")=TEXT(($B$4+19),"yyyy-mm-dd")))&amp;" ESC",SUMPRODUCT(('Daily Checklist'!$D$2:$D$2000=$A28)*(TEXT('Daily Checklist'!$B$2:$B$2000,"yyyy-mm-dd")=TEXT(($B$4+19),"yyyy-mm-dd"))*('Daily Checklist'!$F$2:$F$2000="Done"))&amp;"/"&amp;SUMPRODUCT(('Daily Checklist'!$D$2:$D$2000=$A28)*(TEXT('Daily Checklist'!$B$2:$B$2000,"yyyy-mm-dd")=TEXT(($B$4+19),"yyyy-mm-dd"))))))</f>
        <v/>
      </c>
      <c r="V28" s="25" t="str">
        <f aca="false">IF($A28="","",IF(SUMPRODUCT(('Daily Checklist'!$D$2:$D$2000=$A28)*(TEXT('Daily Checklist'!$B$2:$B$2000,"yyyy-mm-dd")=TEXT(($B$4+20),"yyyy-mm-dd")))=0,"-",IF(SUMPRODUCT(('Daily Checklist'!$D$2:$D$2000=$A28)*(TEXT('Daily Checklist'!$B$2:$B$2000,"yyyy-mm-dd")=TEXT(($B$4+20),"yyyy-mm-dd"))*('Daily Checklist'!$L$2:$L$2000="Y"))&gt;0,SUMPRODUCT(('Daily Checklist'!$D$2:$D$2000=$A28)*(TEXT('Daily Checklist'!$B$2:$B$2000,"yyyy-mm-dd")=TEXT(($B$4+20),"yyyy-mm-dd"))*('Daily Checklist'!$F$2:$F$2000="Done"))&amp;"/"&amp;SUMPRODUCT(('Daily Checklist'!$D$2:$D$2000=$A28)*(TEXT('Daily Checklist'!$B$2:$B$2000,"yyyy-mm-dd")=TEXT(($B$4+20),"yyyy-mm-dd")))&amp;" ESC",SUMPRODUCT(('Daily Checklist'!$D$2:$D$2000=$A28)*(TEXT('Daily Checklist'!$B$2:$B$2000,"yyyy-mm-dd")=TEXT(($B$4+20),"yyyy-mm-dd"))*('Daily Checklist'!$F$2:$F$2000="Done"))&amp;"/"&amp;SUMPRODUCT(('Daily Checklist'!$D$2:$D$2000=$A28)*(TEXT('Daily Checklist'!$B$2:$B$2000,"yyyy-mm-dd")=TEXT(($B$4+20),"yyyy-mm-dd"))))))</f>
        <v/>
      </c>
      <c r="W28" s="25" t="str">
        <f aca="false">IF($A28="","",IF(SUMPRODUCT(('Daily Checklist'!$D$2:$D$2000=$A28)*(TEXT('Daily Checklist'!$B$2:$B$2000,"yyyy-mm-dd")=TEXT(($B$4+21),"yyyy-mm-dd")))=0,"-",IF(SUMPRODUCT(('Daily Checklist'!$D$2:$D$2000=$A28)*(TEXT('Daily Checklist'!$B$2:$B$2000,"yyyy-mm-dd")=TEXT(($B$4+21),"yyyy-mm-dd"))*('Daily Checklist'!$L$2:$L$2000="Y"))&gt;0,SUMPRODUCT(('Daily Checklist'!$D$2:$D$2000=$A28)*(TEXT('Daily Checklist'!$B$2:$B$2000,"yyyy-mm-dd")=TEXT(($B$4+21),"yyyy-mm-dd"))*('Daily Checklist'!$F$2:$F$2000="Done"))&amp;"/"&amp;SUMPRODUCT(('Daily Checklist'!$D$2:$D$2000=$A28)*(TEXT('Daily Checklist'!$B$2:$B$2000,"yyyy-mm-dd")=TEXT(($B$4+21),"yyyy-mm-dd")))&amp;" ESC",SUMPRODUCT(('Daily Checklist'!$D$2:$D$2000=$A28)*(TEXT('Daily Checklist'!$B$2:$B$2000,"yyyy-mm-dd")=TEXT(($B$4+21),"yyyy-mm-dd"))*('Daily Checklist'!$F$2:$F$2000="Done"))&amp;"/"&amp;SUMPRODUCT(('Daily Checklist'!$D$2:$D$2000=$A28)*(TEXT('Daily Checklist'!$B$2:$B$2000,"yyyy-mm-dd")=TEXT(($B$4+21),"yyyy-mm-dd"))))))</f>
        <v/>
      </c>
      <c r="X28" s="25" t="str">
        <f aca="false">IF($A28="","",IF(SUMPRODUCT(('Daily Checklist'!$D$2:$D$2000=$A28)*(TEXT('Daily Checklist'!$B$2:$B$2000,"yyyy-mm-dd")=TEXT(($B$4+22),"yyyy-mm-dd")))=0,"-",IF(SUMPRODUCT(('Daily Checklist'!$D$2:$D$2000=$A28)*(TEXT('Daily Checklist'!$B$2:$B$2000,"yyyy-mm-dd")=TEXT(($B$4+22),"yyyy-mm-dd"))*('Daily Checklist'!$L$2:$L$2000="Y"))&gt;0,SUMPRODUCT(('Daily Checklist'!$D$2:$D$2000=$A28)*(TEXT('Daily Checklist'!$B$2:$B$2000,"yyyy-mm-dd")=TEXT(($B$4+22),"yyyy-mm-dd"))*('Daily Checklist'!$F$2:$F$2000="Done"))&amp;"/"&amp;SUMPRODUCT(('Daily Checklist'!$D$2:$D$2000=$A28)*(TEXT('Daily Checklist'!$B$2:$B$2000,"yyyy-mm-dd")=TEXT(($B$4+22),"yyyy-mm-dd")))&amp;" ESC",SUMPRODUCT(('Daily Checklist'!$D$2:$D$2000=$A28)*(TEXT('Daily Checklist'!$B$2:$B$2000,"yyyy-mm-dd")=TEXT(($B$4+22),"yyyy-mm-dd"))*('Daily Checklist'!$F$2:$F$2000="Done"))&amp;"/"&amp;SUMPRODUCT(('Daily Checklist'!$D$2:$D$2000=$A28)*(TEXT('Daily Checklist'!$B$2:$B$2000,"yyyy-mm-dd")=TEXT(($B$4+22),"yyyy-mm-dd"))))))</f>
        <v/>
      </c>
      <c r="Y28" s="25" t="str">
        <f aca="false">IF($A28="","",IF(SUMPRODUCT(('Daily Checklist'!$D$2:$D$2000=$A28)*(TEXT('Daily Checklist'!$B$2:$B$2000,"yyyy-mm-dd")=TEXT(($B$4+23),"yyyy-mm-dd")))=0,"-",IF(SUMPRODUCT(('Daily Checklist'!$D$2:$D$2000=$A28)*(TEXT('Daily Checklist'!$B$2:$B$2000,"yyyy-mm-dd")=TEXT(($B$4+23),"yyyy-mm-dd"))*('Daily Checklist'!$L$2:$L$2000="Y"))&gt;0,SUMPRODUCT(('Daily Checklist'!$D$2:$D$2000=$A28)*(TEXT('Daily Checklist'!$B$2:$B$2000,"yyyy-mm-dd")=TEXT(($B$4+23),"yyyy-mm-dd"))*('Daily Checklist'!$F$2:$F$2000="Done"))&amp;"/"&amp;SUMPRODUCT(('Daily Checklist'!$D$2:$D$2000=$A28)*(TEXT('Daily Checklist'!$B$2:$B$2000,"yyyy-mm-dd")=TEXT(($B$4+23),"yyyy-mm-dd")))&amp;" ESC",SUMPRODUCT(('Daily Checklist'!$D$2:$D$2000=$A28)*(TEXT('Daily Checklist'!$B$2:$B$2000,"yyyy-mm-dd")=TEXT(($B$4+23),"yyyy-mm-dd"))*('Daily Checklist'!$F$2:$F$2000="Done"))&amp;"/"&amp;SUMPRODUCT(('Daily Checklist'!$D$2:$D$2000=$A28)*(TEXT('Daily Checklist'!$B$2:$B$2000,"yyyy-mm-dd")=TEXT(($B$4+23),"yyyy-mm-dd"))))))</f>
        <v/>
      </c>
      <c r="Z28" s="25" t="str">
        <f aca="false">IF($A28="","",IF(SUMPRODUCT(('Daily Checklist'!$D$2:$D$2000=$A28)*(TEXT('Daily Checklist'!$B$2:$B$2000,"yyyy-mm-dd")=TEXT(($B$4+24),"yyyy-mm-dd")))=0,"-",IF(SUMPRODUCT(('Daily Checklist'!$D$2:$D$2000=$A28)*(TEXT('Daily Checklist'!$B$2:$B$2000,"yyyy-mm-dd")=TEXT(($B$4+24),"yyyy-mm-dd"))*('Daily Checklist'!$L$2:$L$2000="Y"))&gt;0,SUMPRODUCT(('Daily Checklist'!$D$2:$D$2000=$A28)*(TEXT('Daily Checklist'!$B$2:$B$2000,"yyyy-mm-dd")=TEXT(($B$4+24),"yyyy-mm-dd"))*('Daily Checklist'!$F$2:$F$2000="Done"))&amp;"/"&amp;SUMPRODUCT(('Daily Checklist'!$D$2:$D$2000=$A28)*(TEXT('Daily Checklist'!$B$2:$B$2000,"yyyy-mm-dd")=TEXT(($B$4+24),"yyyy-mm-dd")))&amp;" ESC",SUMPRODUCT(('Daily Checklist'!$D$2:$D$2000=$A28)*(TEXT('Daily Checklist'!$B$2:$B$2000,"yyyy-mm-dd")=TEXT(($B$4+24),"yyyy-mm-dd"))*('Daily Checklist'!$F$2:$F$2000="Done"))&amp;"/"&amp;SUMPRODUCT(('Daily Checklist'!$D$2:$D$2000=$A28)*(TEXT('Daily Checklist'!$B$2:$B$2000,"yyyy-mm-dd")=TEXT(($B$4+24),"yyyy-mm-dd"))))))</f>
        <v/>
      </c>
      <c r="AA28" s="25" t="str">
        <f aca="false">IF($A28="","",IF(SUMPRODUCT(('Daily Checklist'!$D$2:$D$2000=$A28)*(TEXT('Daily Checklist'!$B$2:$B$2000,"yyyy-mm-dd")=TEXT(($B$4+25),"yyyy-mm-dd")))=0,"-",IF(SUMPRODUCT(('Daily Checklist'!$D$2:$D$2000=$A28)*(TEXT('Daily Checklist'!$B$2:$B$2000,"yyyy-mm-dd")=TEXT(($B$4+25),"yyyy-mm-dd"))*('Daily Checklist'!$L$2:$L$2000="Y"))&gt;0,SUMPRODUCT(('Daily Checklist'!$D$2:$D$2000=$A28)*(TEXT('Daily Checklist'!$B$2:$B$2000,"yyyy-mm-dd")=TEXT(($B$4+25),"yyyy-mm-dd"))*('Daily Checklist'!$F$2:$F$2000="Done"))&amp;"/"&amp;SUMPRODUCT(('Daily Checklist'!$D$2:$D$2000=$A28)*(TEXT('Daily Checklist'!$B$2:$B$2000,"yyyy-mm-dd")=TEXT(($B$4+25),"yyyy-mm-dd")))&amp;" ESC",SUMPRODUCT(('Daily Checklist'!$D$2:$D$2000=$A28)*(TEXT('Daily Checklist'!$B$2:$B$2000,"yyyy-mm-dd")=TEXT(($B$4+25),"yyyy-mm-dd"))*('Daily Checklist'!$F$2:$F$2000="Done"))&amp;"/"&amp;SUMPRODUCT(('Daily Checklist'!$D$2:$D$2000=$A28)*(TEXT('Daily Checklist'!$B$2:$B$2000,"yyyy-mm-dd")=TEXT(($B$4+25),"yyyy-mm-dd"))))))</f>
        <v/>
      </c>
      <c r="AB28" s="25" t="str">
        <f aca="false">IF($A28="","",IF(SUMPRODUCT(('Daily Checklist'!$D$2:$D$2000=$A28)*(TEXT('Daily Checklist'!$B$2:$B$2000,"yyyy-mm-dd")=TEXT(($B$4+26),"yyyy-mm-dd")))=0,"-",IF(SUMPRODUCT(('Daily Checklist'!$D$2:$D$2000=$A28)*(TEXT('Daily Checklist'!$B$2:$B$2000,"yyyy-mm-dd")=TEXT(($B$4+26),"yyyy-mm-dd"))*('Daily Checklist'!$L$2:$L$2000="Y"))&gt;0,SUMPRODUCT(('Daily Checklist'!$D$2:$D$2000=$A28)*(TEXT('Daily Checklist'!$B$2:$B$2000,"yyyy-mm-dd")=TEXT(($B$4+26),"yyyy-mm-dd"))*('Daily Checklist'!$F$2:$F$2000="Done"))&amp;"/"&amp;SUMPRODUCT(('Daily Checklist'!$D$2:$D$2000=$A28)*(TEXT('Daily Checklist'!$B$2:$B$2000,"yyyy-mm-dd")=TEXT(($B$4+26),"yyyy-mm-dd")))&amp;" ESC",SUMPRODUCT(('Daily Checklist'!$D$2:$D$2000=$A28)*(TEXT('Daily Checklist'!$B$2:$B$2000,"yyyy-mm-dd")=TEXT(($B$4+26),"yyyy-mm-dd"))*('Daily Checklist'!$F$2:$F$2000="Done"))&amp;"/"&amp;SUMPRODUCT(('Daily Checklist'!$D$2:$D$2000=$A28)*(TEXT('Daily Checklist'!$B$2:$B$2000,"yyyy-mm-dd")=TEXT(($B$4+26),"yyyy-mm-dd"))))))</f>
        <v/>
      </c>
      <c r="AC28" s="25" t="str">
        <f aca="false">IF($A28="","",IF(SUMPRODUCT(('Daily Checklist'!$D$2:$D$2000=$A28)*(TEXT('Daily Checklist'!$B$2:$B$2000,"yyyy-mm-dd")=TEXT(($B$4+27),"yyyy-mm-dd")))=0,"-",IF(SUMPRODUCT(('Daily Checklist'!$D$2:$D$2000=$A28)*(TEXT('Daily Checklist'!$B$2:$B$2000,"yyyy-mm-dd")=TEXT(($B$4+27),"yyyy-mm-dd"))*('Daily Checklist'!$L$2:$L$2000="Y"))&gt;0,SUMPRODUCT(('Daily Checklist'!$D$2:$D$2000=$A28)*(TEXT('Daily Checklist'!$B$2:$B$2000,"yyyy-mm-dd")=TEXT(($B$4+27),"yyyy-mm-dd"))*('Daily Checklist'!$F$2:$F$2000="Done"))&amp;"/"&amp;SUMPRODUCT(('Daily Checklist'!$D$2:$D$2000=$A28)*(TEXT('Daily Checklist'!$B$2:$B$2000,"yyyy-mm-dd")=TEXT(($B$4+27),"yyyy-mm-dd")))&amp;" ESC",SUMPRODUCT(('Daily Checklist'!$D$2:$D$2000=$A28)*(TEXT('Daily Checklist'!$B$2:$B$2000,"yyyy-mm-dd")=TEXT(($B$4+27),"yyyy-mm-dd"))*('Daily Checklist'!$F$2:$F$2000="Done"))&amp;"/"&amp;SUMPRODUCT(('Daily Checklist'!$D$2:$D$2000=$A28)*(TEXT('Daily Checklist'!$B$2:$B$2000,"yyyy-mm-dd")=TEXT(($B$4+27),"yyyy-mm-dd"))))))</f>
        <v/>
      </c>
      <c r="AD28" s="25" t="str">
        <f aca="false">IF($A28="","",IF(SUMPRODUCT(('Daily Checklist'!$D$2:$D$2000=$A28)*(TEXT('Daily Checklist'!$B$2:$B$2000,"yyyy-mm-dd")=TEXT(($B$4+28),"yyyy-mm-dd")))=0,"-",IF(SUMPRODUCT(('Daily Checklist'!$D$2:$D$2000=$A28)*(TEXT('Daily Checklist'!$B$2:$B$2000,"yyyy-mm-dd")=TEXT(($B$4+28),"yyyy-mm-dd"))*('Daily Checklist'!$L$2:$L$2000="Y"))&gt;0,SUMPRODUCT(('Daily Checklist'!$D$2:$D$2000=$A28)*(TEXT('Daily Checklist'!$B$2:$B$2000,"yyyy-mm-dd")=TEXT(($B$4+28),"yyyy-mm-dd"))*('Daily Checklist'!$F$2:$F$2000="Done"))&amp;"/"&amp;SUMPRODUCT(('Daily Checklist'!$D$2:$D$2000=$A28)*(TEXT('Daily Checklist'!$B$2:$B$2000,"yyyy-mm-dd")=TEXT(($B$4+28),"yyyy-mm-dd")))&amp;" ESC",SUMPRODUCT(('Daily Checklist'!$D$2:$D$2000=$A28)*(TEXT('Daily Checklist'!$B$2:$B$2000,"yyyy-mm-dd")=TEXT(($B$4+28),"yyyy-mm-dd"))*('Daily Checklist'!$F$2:$F$2000="Done"))&amp;"/"&amp;SUMPRODUCT(('Daily Checklist'!$D$2:$D$2000=$A28)*(TEXT('Daily Checklist'!$B$2:$B$2000,"yyyy-mm-dd")=TEXT(($B$4+28),"yyyy-mm-dd"))))))</f>
        <v/>
      </c>
      <c r="AE28" s="25" t="str">
        <f aca="false">IF($A28="","",IF(SUMPRODUCT(('Daily Checklist'!$D$2:$D$2000=$A28)*(TEXT('Daily Checklist'!$B$2:$B$2000,"yyyy-mm-dd")=TEXT(($B$4+29),"yyyy-mm-dd")))=0,"-",IF(SUMPRODUCT(('Daily Checklist'!$D$2:$D$2000=$A28)*(TEXT('Daily Checklist'!$B$2:$B$2000,"yyyy-mm-dd")=TEXT(($B$4+29),"yyyy-mm-dd"))*('Daily Checklist'!$L$2:$L$2000="Y"))&gt;0,SUMPRODUCT(('Daily Checklist'!$D$2:$D$2000=$A28)*(TEXT('Daily Checklist'!$B$2:$B$2000,"yyyy-mm-dd")=TEXT(($B$4+29),"yyyy-mm-dd"))*('Daily Checklist'!$F$2:$F$2000="Done"))&amp;"/"&amp;SUMPRODUCT(('Daily Checklist'!$D$2:$D$2000=$A28)*(TEXT('Daily Checklist'!$B$2:$B$2000,"yyyy-mm-dd")=TEXT(($B$4+29),"yyyy-mm-dd")))&amp;" ESC",SUMPRODUCT(('Daily Checklist'!$D$2:$D$2000=$A28)*(TEXT('Daily Checklist'!$B$2:$B$2000,"yyyy-mm-dd")=TEXT(($B$4+29),"yyyy-mm-dd"))*('Daily Checklist'!$F$2:$F$2000="Done"))&amp;"/"&amp;SUMPRODUCT(('Daily Checklist'!$D$2:$D$2000=$A28)*(TEXT('Daily Checklist'!$B$2:$B$2000,"yyyy-mm-dd")=TEXT(($B$4+29),"yyyy-mm-dd"))))))</f>
        <v/>
      </c>
      <c r="AF28" s="25" t="str">
        <f aca="false">IF($A28="","",IF(SUMPRODUCT(('Daily Checklist'!$D$2:$D$2000=$A28)*(TEXT('Daily Checklist'!$B$2:$B$2000,"yyyy-mm-dd")=TEXT(($B$4+30),"yyyy-mm-dd")))=0,"-",IF(SUMPRODUCT(('Daily Checklist'!$D$2:$D$2000=$A28)*(TEXT('Daily Checklist'!$B$2:$B$2000,"yyyy-mm-dd")=TEXT(($B$4+30),"yyyy-mm-dd"))*('Daily Checklist'!$L$2:$L$2000="Y"))&gt;0,SUMPRODUCT(('Daily Checklist'!$D$2:$D$2000=$A28)*(TEXT('Daily Checklist'!$B$2:$B$2000,"yyyy-mm-dd")=TEXT(($B$4+30),"yyyy-mm-dd"))*('Daily Checklist'!$F$2:$F$2000="Done"))&amp;"/"&amp;SUMPRODUCT(('Daily Checklist'!$D$2:$D$2000=$A28)*(TEXT('Daily Checklist'!$B$2:$B$2000,"yyyy-mm-dd")=TEXT(($B$4+30),"yyyy-mm-dd")))&amp;" ESC",SUMPRODUCT(('Daily Checklist'!$D$2:$D$2000=$A28)*(TEXT('Daily Checklist'!$B$2:$B$2000,"yyyy-mm-dd")=TEXT(($B$4+30),"yyyy-mm-dd"))*('Daily Checklist'!$F$2:$F$2000="Done"))&amp;"/"&amp;SUMPRODUCT(('Daily Checklist'!$D$2:$D$2000=$A28)*(TEXT('Daily Checklist'!$B$2:$B$2000,"yyyy-mm-dd")=TEXT(($B$4+30),"yyyy-mm-dd"))))))</f>
        <v/>
      </c>
    </row>
    <row r="29" customFormat="false" ht="15" hidden="false" customHeight="true" outlineLevel="0" collapsed="false">
      <c r="A29" s="24" t="str">
        <f aca="false">IFERROR(IF(Employees!A24="","",Employees!A24),"")</f>
        <v/>
      </c>
      <c r="B29" s="25" t="str">
        <f aca="false">IF($A29="","",IF(SUMPRODUCT(('Daily Checklist'!$D$2:$D$2000=$A29)*(TEXT('Daily Checklist'!$B$2:$B$2000,"yyyy-mm-dd")=TEXT(($B$4+0),"yyyy-mm-dd")))=0,"-",IF(SUMPRODUCT(('Daily Checklist'!$D$2:$D$2000=$A29)*(TEXT('Daily Checklist'!$B$2:$B$2000,"yyyy-mm-dd")=TEXT(($B$4+0),"yyyy-mm-dd"))*('Daily Checklist'!$L$2:$L$2000="Y"))&gt;0,SUMPRODUCT(('Daily Checklist'!$D$2:$D$2000=$A29)*(TEXT('Daily Checklist'!$B$2:$B$2000,"yyyy-mm-dd")=TEXT(($B$4+0),"yyyy-mm-dd"))*('Daily Checklist'!$F$2:$F$2000="Done"))&amp;"/"&amp;SUMPRODUCT(('Daily Checklist'!$D$2:$D$2000=$A29)*(TEXT('Daily Checklist'!$B$2:$B$2000,"yyyy-mm-dd")=TEXT(($B$4+0),"yyyy-mm-dd")))&amp;" ESC",SUMPRODUCT(('Daily Checklist'!$D$2:$D$2000=$A29)*(TEXT('Daily Checklist'!$B$2:$B$2000,"yyyy-mm-dd")=TEXT(($B$4+0),"yyyy-mm-dd"))*('Daily Checklist'!$F$2:$F$2000="Done"))&amp;"/"&amp;SUMPRODUCT(('Daily Checklist'!$D$2:$D$2000=$A29)*(TEXT('Daily Checklist'!$B$2:$B$2000,"yyyy-mm-dd")=TEXT(($B$4+0),"yyyy-mm-dd"))))))</f>
        <v/>
      </c>
      <c r="C29" s="25" t="str">
        <f aca="false">IF($A29="","",IF(SUMPRODUCT(('Daily Checklist'!$D$2:$D$2000=$A29)*(TEXT('Daily Checklist'!$B$2:$B$2000,"yyyy-mm-dd")=TEXT(($B$4+1),"yyyy-mm-dd")))=0,"-",IF(SUMPRODUCT(('Daily Checklist'!$D$2:$D$2000=$A29)*(TEXT('Daily Checklist'!$B$2:$B$2000,"yyyy-mm-dd")=TEXT(($B$4+1),"yyyy-mm-dd"))*('Daily Checklist'!$L$2:$L$2000="Y"))&gt;0,SUMPRODUCT(('Daily Checklist'!$D$2:$D$2000=$A29)*(TEXT('Daily Checklist'!$B$2:$B$2000,"yyyy-mm-dd")=TEXT(($B$4+1),"yyyy-mm-dd"))*('Daily Checklist'!$F$2:$F$2000="Done"))&amp;"/"&amp;SUMPRODUCT(('Daily Checklist'!$D$2:$D$2000=$A29)*(TEXT('Daily Checklist'!$B$2:$B$2000,"yyyy-mm-dd")=TEXT(($B$4+1),"yyyy-mm-dd")))&amp;" ESC",SUMPRODUCT(('Daily Checklist'!$D$2:$D$2000=$A29)*(TEXT('Daily Checklist'!$B$2:$B$2000,"yyyy-mm-dd")=TEXT(($B$4+1),"yyyy-mm-dd"))*('Daily Checklist'!$F$2:$F$2000="Done"))&amp;"/"&amp;SUMPRODUCT(('Daily Checklist'!$D$2:$D$2000=$A29)*(TEXT('Daily Checklist'!$B$2:$B$2000,"yyyy-mm-dd")=TEXT(($B$4+1),"yyyy-mm-dd"))))))</f>
        <v/>
      </c>
      <c r="D29" s="25" t="str">
        <f aca="false">IF($A29="","",IF(SUMPRODUCT(('Daily Checklist'!$D$2:$D$2000=$A29)*(TEXT('Daily Checklist'!$B$2:$B$2000,"yyyy-mm-dd")=TEXT(($B$4+2),"yyyy-mm-dd")))=0,"-",IF(SUMPRODUCT(('Daily Checklist'!$D$2:$D$2000=$A29)*(TEXT('Daily Checklist'!$B$2:$B$2000,"yyyy-mm-dd")=TEXT(($B$4+2),"yyyy-mm-dd"))*('Daily Checklist'!$L$2:$L$2000="Y"))&gt;0,SUMPRODUCT(('Daily Checklist'!$D$2:$D$2000=$A29)*(TEXT('Daily Checklist'!$B$2:$B$2000,"yyyy-mm-dd")=TEXT(($B$4+2),"yyyy-mm-dd"))*('Daily Checklist'!$F$2:$F$2000="Done"))&amp;"/"&amp;SUMPRODUCT(('Daily Checklist'!$D$2:$D$2000=$A29)*(TEXT('Daily Checklist'!$B$2:$B$2000,"yyyy-mm-dd")=TEXT(($B$4+2),"yyyy-mm-dd")))&amp;" ESC",SUMPRODUCT(('Daily Checklist'!$D$2:$D$2000=$A29)*(TEXT('Daily Checklist'!$B$2:$B$2000,"yyyy-mm-dd")=TEXT(($B$4+2),"yyyy-mm-dd"))*('Daily Checklist'!$F$2:$F$2000="Done"))&amp;"/"&amp;SUMPRODUCT(('Daily Checklist'!$D$2:$D$2000=$A29)*(TEXT('Daily Checklist'!$B$2:$B$2000,"yyyy-mm-dd")=TEXT(($B$4+2),"yyyy-mm-dd"))))))</f>
        <v/>
      </c>
      <c r="E29" s="25" t="str">
        <f aca="false">IF($A29="","",IF(SUMPRODUCT(('Daily Checklist'!$D$2:$D$2000=$A29)*(TEXT('Daily Checklist'!$B$2:$B$2000,"yyyy-mm-dd")=TEXT(($B$4+3),"yyyy-mm-dd")))=0,"-",IF(SUMPRODUCT(('Daily Checklist'!$D$2:$D$2000=$A29)*(TEXT('Daily Checklist'!$B$2:$B$2000,"yyyy-mm-dd")=TEXT(($B$4+3),"yyyy-mm-dd"))*('Daily Checklist'!$L$2:$L$2000="Y"))&gt;0,SUMPRODUCT(('Daily Checklist'!$D$2:$D$2000=$A29)*(TEXT('Daily Checklist'!$B$2:$B$2000,"yyyy-mm-dd")=TEXT(($B$4+3),"yyyy-mm-dd"))*('Daily Checklist'!$F$2:$F$2000="Done"))&amp;"/"&amp;SUMPRODUCT(('Daily Checklist'!$D$2:$D$2000=$A29)*(TEXT('Daily Checklist'!$B$2:$B$2000,"yyyy-mm-dd")=TEXT(($B$4+3),"yyyy-mm-dd")))&amp;" ESC",SUMPRODUCT(('Daily Checklist'!$D$2:$D$2000=$A29)*(TEXT('Daily Checklist'!$B$2:$B$2000,"yyyy-mm-dd")=TEXT(($B$4+3),"yyyy-mm-dd"))*('Daily Checklist'!$F$2:$F$2000="Done"))&amp;"/"&amp;SUMPRODUCT(('Daily Checklist'!$D$2:$D$2000=$A29)*(TEXT('Daily Checklist'!$B$2:$B$2000,"yyyy-mm-dd")=TEXT(($B$4+3),"yyyy-mm-dd"))))))</f>
        <v/>
      </c>
      <c r="F29" s="25" t="str">
        <f aca="false">IF($A29="","",IF(SUMPRODUCT(('Daily Checklist'!$D$2:$D$2000=$A29)*(TEXT('Daily Checklist'!$B$2:$B$2000,"yyyy-mm-dd")=TEXT(($B$4+4),"yyyy-mm-dd")))=0,"-",IF(SUMPRODUCT(('Daily Checklist'!$D$2:$D$2000=$A29)*(TEXT('Daily Checklist'!$B$2:$B$2000,"yyyy-mm-dd")=TEXT(($B$4+4),"yyyy-mm-dd"))*('Daily Checklist'!$L$2:$L$2000="Y"))&gt;0,SUMPRODUCT(('Daily Checklist'!$D$2:$D$2000=$A29)*(TEXT('Daily Checklist'!$B$2:$B$2000,"yyyy-mm-dd")=TEXT(($B$4+4),"yyyy-mm-dd"))*('Daily Checklist'!$F$2:$F$2000="Done"))&amp;"/"&amp;SUMPRODUCT(('Daily Checklist'!$D$2:$D$2000=$A29)*(TEXT('Daily Checklist'!$B$2:$B$2000,"yyyy-mm-dd")=TEXT(($B$4+4),"yyyy-mm-dd")))&amp;" ESC",SUMPRODUCT(('Daily Checklist'!$D$2:$D$2000=$A29)*(TEXT('Daily Checklist'!$B$2:$B$2000,"yyyy-mm-dd")=TEXT(($B$4+4),"yyyy-mm-dd"))*('Daily Checklist'!$F$2:$F$2000="Done"))&amp;"/"&amp;SUMPRODUCT(('Daily Checklist'!$D$2:$D$2000=$A29)*(TEXT('Daily Checklist'!$B$2:$B$2000,"yyyy-mm-dd")=TEXT(($B$4+4),"yyyy-mm-dd"))))))</f>
        <v/>
      </c>
      <c r="G29" s="25" t="str">
        <f aca="false">IF($A29="","",IF(SUMPRODUCT(('Daily Checklist'!$D$2:$D$2000=$A29)*(TEXT('Daily Checklist'!$B$2:$B$2000,"yyyy-mm-dd")=TEXT(($B$4+5),"yyyy-mm-dd")))=0,"-",IF(SUMPRODUCT(('Daily Checklist'!$D$2:$D$2000=$A29)*(TEXT('Daily Checklist'!$B$2:$B$2000,"yyyy-mm-dd")=TEXT(($B$4+5),"yyyy-mm-dd"))*('Daily Checklist'!$L$2:$L$2000="Y"))&gt;0,SUMPRODUCT(('Daily Checklist'!$D$2:$D$2000=$A29)*(TEXT('Daily Checklist'!$B$2:$B$2000,"yyyy-mm-dd")=TEXT(($B$4+5),"yyyy-mm-dd"))*('Daily Checklist'!$F$2:$F$2000="Done"))&amp;"/"&amp;SUMPRODUCT(('Daily Checklist'!$D$2:$D$2000=$A29)*(TEXT('Daily Checklist'!$B$2:$B$2000,"yyyy-mm-dd")=TEXT(($B$4+5),"yyyy-mm-dd")))&amp;" ESC",SUMPRODUCT(('Daily Checklist'!$D$2:$D$2000=$A29)*(TEXT('Daily Checklist'!$B$2:$B$2000,"yyyy-mm-dd")=TEXT(($B$4+5),"yyyy-mm-dd"))*('Daily Checklist'!$F$2:$F$2000="Done"))&amp;"/"&amp;SUMPRODUCT(('Daily Checklist'!$D$2:$D$2000=$A29)*(TEXT('Daily Checklist'!$B$2:$B$2000,"yyyy-mm-dd")=TEXT(($B$4+5),"yyyy-mm-dd"))))))</f>
        <v/>
      </c>
      <c r="H29" s="25" t="str">
        <f aca="false">IF($A29="","",IF(SUMPRODUCT(('Daily Checklist'!$D$2:$D$2000=$A29)*(TEXT('Daily Checklist'!$B$2:$B$2000,"yyyy-mm-dd")=TEXT(($B$4+6),"yyyy-mm-dd")))=0,"-",IF(SUMPRODUCT(('Daily Checklist'!$D$2:$D$2000=$A29)*(TEXT('Daily Checklist'!$B$2:$B$2000,"yyyy-mm-dd")=TEXT(($B$4+6),"yyyy-mm-dd"))*('Daily Checklist'!$L$2:$L$2000="Y"))&gt;0,SUMPRODUCT(('Daily Checklist'!$D$2:$D$2000=$A29)*(TEXT('Daily Checklist'!$B$2:$B$2000,"yyyy-mm-dd")=TEXT(($B$4+6),"yyyy-mm-dd"))*('Daily Checklist'!$F$2:$F$2000="Done"))&amp;"/"&amp;SUMPRODUCT(('Daily Checklist'!$D$2:$D$2000=$A29)*(TEXT('Daily Checklist'!$B$2:$B$2000,"yyyy-mm-dd")=TEXT(($B$4+6),"yyyy-mm-dd")))&amp;" ESC",SUMPRODUCT(('Daily Checklist'!$D$2:$D$2000=$A29)*(TEXT('Daily Checklist'!$B$2:$B$2000,"yyyy-mm-dd")=TEXT(($B$4+6),"yyyy-mm-dd"))*('Daily Checklist'!$F$2:$F$2000="Done"))&amp;"/"&amp;SUMPRODUCT(('Daily Checklist'!$D$2:$D$2000=$A29)*(TEXT('Daily Checklist'!$B$2:$B$2000,"yyyy-mm-dd")=TEXT(($B$4+6),"yyyy-mm-dd"))))))</f>
        <v/>
      </c>
      <c r="I29" s="25" t="str">
        <f aca="false">IF($A29="","",IF(SUMPRODUCT(('Daily Checklist'!$D$2:$D$2000=$A29)*(TEXT('Daily Checklist'!$B$2:$B$2000,"yyyy-mm-dd")=TEXT(($B$4+7),"yyyy-mm-dd")))=0,"-",IF(SUMPRODUCT(('Daily Checklist'!$D$2:$D$2000=$A29)*(TEXT('Daily Checklist'!$B$2:$B$2000,"yyyy-mm-dd")=TEXT(($B$4+7),"yyyy-mm-dd"))*('Daily Checklist'!$L$2:$L$2000="Y"))&gt;0,SUMPRODUCT(('Daily Checklist'!$D$2:$D$2000=$A29)*(TEXT('Daily Checklist'!$B$2:$B$2000,"yyyy-mm-dd")=TEXT(($B$4+7),"yyyy-mm-dd"))*('Daily Checklist'!$F$2:$F$2000="Done"))&amp;"/"&amp;SUMPRODUCT(('Daily Checklist'!$D$2:$D$2000=$A29)*(TEXT('Daily Checklist'!$B$2:$B$2000,"yyyy-mm-dd")=TEXT(($B$4+7),"yyyy-mm-dd")))&amp;" ESC",SUMPRODUCT(('Daily Checklist'!$D$2:$D$2000=$A29)*(TEXT('Daily Checklist'!$B$2:$B$2000,"yyyy-mm-dd")=TEXT(($B$4+7),"yyyy-mm-dd"))*('Daily Checklist'!$F$2:$F$2000="Done"))&amp;"/"&amp;SUMPRODUCT(('Daily Checklist'!$D$2:$D$2000=$A29)*(TEXT('Daily Checklist'!$B$2:$B$2000,"yyyy-mm-dd")=TEXT(($B$4+7),"yyyy-mm-dd"))))))</f>
        <v/>
      </c>
      <c r="J29" s="25" t="str">
        <f aca="false">IF($A29="","",IF(SUMPRODUCT(('Daily Checklist'!$D$2:$D$2000=$A29)*(TEXT('Daily Checklist'!$B$2:$B$2000,"yyyy-mm-dd")=TEXT(($B$4+8),"yyyy-mm-dd")))=0,"-",IF(SUMPRODUCT(('Daily Checklist'!$D$2:$D$2000=$A29)*(TEXT('Daily Checklist'!$B$2:$B$2000,"yyyy-mm-dd")=TEXT(($B$4+8),"yyyy-mm-dd"))*('Daily Checklist'!$L$2:$L$2000="Y"))&gt;0,SUMPRODUCT(('Daily Checklist'!$D$2:$D$2000=$A29)*(TEXT('Daily Checklist'!$B$2:$B$2000,"yyyy-mm-dd")=TEXT(($B$4+8),"yyyy-mm-dd"))*('Daily Checklist'!$F$2:$F$2000="Done"))&amp;"/"&amp;SUMPRODUCT(('Daily Checklist'!$D$2:$D$2000=$A29)*(TEXT('Daily Checklist'!$B$2:$B$2000,"yyyy-mm-dd")=TEXT(($B$4+8),"yyyy-mm-dd")))&amp;" ESC",SUMPRODUCT(('Daily Checklist'!$D$2:$D$2000=$A29)*(TEXT('Daily Checklist'!$B$2:$B$2000,"yyyy-mm-dd")=TEXT(($B$4+8),"yyyy-mm-dd"))*('Daily Checklist'!$F$2:$F$2000="Done"))&amp;"/"&amp;SUMPRODUCT(('Daily Checklist'!$D$2:$D$2000=$A29)*(TEXT('Daily Checklist'!$B$2:$B$2000,"yyyy-mm-dd")=TEXT(($B$4+8),"yyyy-mm-dd"))))))</f>
        <v/>
      </c>
      <c r="K29" s="25" t="str">
        <f aca="false">IF($A29="","",IF(SUMPRODUCT(('Daily Checklist'!$D$2:$D$2000=$A29)*(TEXT('Daily Checklist'!$B$2:$B$2000,"yyyy-mm-dd")=TEXT(($B$4+9),"yyyy-mm-dd")))=0,"-",IF(SUMPRODUCT(('Daily Checklist'!$D$2:$D$2000=$A29)*(TEXT('Daily Checklist'!$B$2:$B$2000,"yyyy-mm-dd")=TEXT(($B$4+9),"yyyy-mm-dd"))*('Daily Checklist'!$L$2:$L$2000="Y"))&gt;0,SUMPRODUCT(('Daily Checklist'!$D$2:$D$2000=$A29)*(TEXT('Daily Checklist'!$B$2:$B$2000,"yyyy-mm-dd")=TEXT(($B$4+9),"yyyy-mm-dd"))*('Daily Checklist'!$F$2:$F$2000="Done"))&amp;"/"&amp;SUMPRODUCT(('Daily Checklist'!$D$2:$D$2000=$A29)*(TEXT('Daily Checklist'!$B$2:$B$2000,"yyyy-mm-dd")=TEXT(($B$4+9),"yyyy-mm-dd")))&amp;" ESC",SUMPRODUCT(('Daily Checklist'!$D$2:$D$2000=$A29)*(TEXT('Daily Checklist'!$B$2:$B$2000,"yyyy-mm-dd")=TEXT(($B$4+9),"yyyy-mm-dd"))*('Daily Checklist'!$F$2:$F$2000="Done"))&amp;"/"&amp;SUMPRODUCT(('Daily Checklist'!$D$2:$D$2000=$A29)*(TEXT('Daily Checklist'!$B$2:$B$2000,"yyyy-mm-dd")=TEXT(($B$4+9),"yyyy-mm-dd"))))))</f>
        <v/>
      </c>
      <c r="L29" s="25" t="str">
        <f aca="false">IF($A29="","",IF(SUMPRODUCT(('Daily Checklist'!$D$2:$D$2000=$A29)*(TEXT('Daily Checklist'!$B$2:$B$2000,"yyyy-mm-dd")=TEXT(($B$4+10),"yyyy-mm-dd")))=0,"-",IF(SUMPRODUCT(('Daily Checklist'!$D$2:$D$2000=$A29)*(TEXT('Daily Checklist'!$B$2:$B$2000,"yyyy-mm-dd")=TEXT(($B$4+10),"yyyy-mm-dd"))*('Daily Checklist'!$L$2:$L$2000="Y"))&gt;0,SUMPRODUCT(('Daily Checklist'!$D$2:$D$2000=$A29)*(TEXT('Daily Checklist'!$B$2:$B$2000,"yyyy-mm-dd")=TEXT(($B$4+10),"yyyy-mm-dd"))*('Daily Checklist'!$F$2:$F$2000="Done"))&amp;"/"&amp;SUMPRODUCT(('Daily Checklist'!$D$2:$D$2000=$A29)*(TEXT('Daily Checklist'!$B$2:$B$2000,"yyyy-mm-dd")=TEXT(($B$4+10),"yyyy-mm-dd")))&amp;" ESC",SUMPRODUCT(('Daily Checklist'!$D$2:$D$2000=$A29)*(TEXT('Daily Checklist'!$B$2:$B$2000,"yyyy-mm-dd")=TEXT(($B$4+10),"yyyy-mm-dd"))*('Daily Checklist'!$F$2:$F$2000="Done"))&amp;"/"&amp;SUMPRODUCT(('Daily Checklist'!$D$2:$D$2000=$A29)*(TEXT('Daily Checklist'!$B$2:$B$2000,"yyyy-mm-dd")=TEXT(($B$4+10),"yyyy-mm-dd"))))))</f>
        <v/>
      </c>
      <c r="M29" s="25" t="str">
        <f aca="false">IF($A29="","",IF(SUMPRODUCT(('Daily Checklist'!$D$2:$D$2000=$A29)*(TEXT('Daily Checklist'!$B$2:$B$2000,"yyyy-mm-dd")=TEXT(($B$4+11),"yyyy-mm-dd")))=0,"-",IF(SUMPRODUCT(('Daily Checklist'!$D$2:$D$2000=$A29)*(TEXT('Daily Checklist'!$B$2:$B$2000,"yyyy-mm-dd")=TEXT(($B$4+11),"yyyy-mm-dd"))*('Daily Checklist'!$L$2:$L$2000="Y"))&gt;0,SUMPRODUCT(('Daily Checklist'!$D$2:$D$2000=$A29)*(TEXT('Daily Checklist'!$B$2:$B$2000,"yyyy-mm-dd")=TEXT(($B$4+11),"yyyy-mm-dd"))*('Daily Checklist'!$F$2:$F$2000="Done"))&amp;"/"&amp;SUMPRODUCT(('Daily Checklist'!$D$2:$D$2000=$A29)*(TEXT('Daily Checklist'!$B$2:$B$2000,"yyyy-mm-dd")=TEXT(($B$4+11),"yyyy-mm-dd")))&amp;" ESC",SUMPRODUCT(('Daily Checklist'!$D$2:$D$2000=$A29)*(TEXT('Daily Checklist'!$B$2:$B$2000,"yyyy-mm-dd")=TEXT(($B$4+11),"yyyy-mm-dd"))*('Daily Checklist'!$F$2:$F$2000="Done"))&amp;"/"&amp;SUMPRODUCT(('Daily Checklist'!$D$2:$D$2000=$A29)*(TEXT('Daily Checklist'!$B$2:$B$2000,"yyyy-mm-dd")=TEXT(($B$4+11),"yyyy-mm-dd"))))))</f>
        <v/>
      </c>
      <c r="N29" s="25" t="str">
        <f aca="false">IF($A29="","",IF(SUMPRODUCT(('Daily Checklist'!$D$2:$D$2000=$A29)*(TEXT('Daily Checklist'!$B$2:$B$2000,"yyyy-mm-dd")=TEXT(($B$4+12),"yyyy-mm-dd")))=0,"-",IF(SUMPRODUCT(('Daily Checklist'!$D$2:$D$2000=$A29)*(TEXT('Daily Checklist'!$B$2:$B$2000,"yyyy-mm-dd")=TEXT(($B$4+12),"yyyy-mm-dd"))*('Daily Checklist'!$L$2:$L$2000="Y"))&gt;0,SUMPRODUCT(('Daily Checklist'!$D$2:$D$2000=$A29)*(TEXT('Daily Checklist'!$B$2:$B$2000,"yyyy-mm-dd")=TEXT(($B$4+12),"yyyy-mm-dd"))*('Daily Checklist'!$F$2:$F$2000="Done"))&amp;"/"&amp;SUMPRODUCT(('Daily Checklist'!$D$2:$D$2000=$A29)*(TEXT('Daily Checklist'!$B$2:$B$2000,"yyyy-mm-dd")=TEXT(($B$4+12),"yyyy-mm-dd")))&amp;" ESC",SUMPRODUCT(('Daily Checklist'!$D$2:$D$2000=$A29)*(TEXT('Daily Checklist'!$B$2:$B$2000,"yyyy-mm-dd")=TEXT(($B$4+12),"yyyy-mm-dd"))*('Daily Checklist'!$F$2:$F$2000="Done"))&amp;"/"&amp;SUMPRODUCT(('Daily Checklist'!$D$2:$D$2000=$A29)*(TEXT('Daily Checklist'!$B$2:$B$2000,"yyyy-mm-dd")=TEXT(($B$4+12),"yyyy-mm-dd"))))))</f>
        <v/>
      </c>
      <c r="O29" s="25" t="str">
        <f aca="false">IF($A29="","",IF(SUMPRODUCT(('Daily Checklist'!$D$2:$D$2000=$A29)*(TEXT('Daily Checklist'!$B$2:$B$2000,"yyyy-mm-dd")=TEXT(($B$4+13),"yyyy-mm-dd")))=0,"-",IF(SUMPRODUCT(('Daily Checklist'!$D$2:$D$2000=$A29)*(TEXT('Daily Checklist'!$B$2:$B$2000,"yyyy-mm-dd")=TEXT(($B$4+13),"yyyy-mm-dd"))*('Daily Checklist'!$L$2:$L$2000="Y"))&gt;0,SUMPRODUCT(('Daily Checklist'!$D$2:$D$2000=$A29)*(TEXT('Daily Checklist'!$B$2:$B$2000,"yyyy-mm-dd")=TEXT(($B$4+13),"yyyy-mm-dd"))*('Daily Checklist'!$F$2:$F$2000="Done"))&amp;"/"&amp;SUMPRODUCT(('Daily Checklist'!$D$2:$D$2000=$A29)*(TEXT('Daily Checklist'!$B$2:$B$2000,"yyyy-mm-dd")=TEXT(($B$4+13),"yyyy-mm-dd")))&amp;" ESC",SUMPRODUCT(('Daily Checklist'!$D$2:$D$2000=$A29)*(TEXT('Daily Checklist'!$B$2:$B$2000,"yyyy-mm-dd")=TEXT(($B$4+13),"yyyy-mm-dd"))*('Daily Checklist'!$F$2:$F$2000="Done"))&amp;"/"&amp;SUMPRODUCT(('Daily Checklist'!$D$2:$D$2000=$A29)*(TEXT('Daily Checklist'!$B$2:$B$2000,"yyyy-mm-dd")=TEXT(($B$4+13),"yyyy-mm-dd"))))))</f>
        <v/>
      </c>
      <c r="P29" s="25" t="str">
        <f aca="false">IF($A29="","",IF(SUMPRODUCT(('Daily Checklist'!$D$2:$D$2000=$A29)*(TEXT('Daily Checklist'!$B$2:$B$2000,"yyyy-mm-dd")=TEXT(($B$4+14),"yyyy-mm-dd")))=0,"-",IF(SUMPRODUCT(('Daily Checklist'!$D$2:$D$2000=$A29)*(TEXT('Daily Checklist'!$B$2:$B$2000,"yyyy-mm-dd")=TEXT(($B$4+14),"yyyy-mm-dd"))*('Daily Checklist'!$L$2:$L$2000="Y"))&gt;0,SUMPRODUCT(('Daily Checklist'!$D$2:$D$2000=$A29)*(TEXT('Daily Checklist'!$B$2:$B$2000,"yyyy-mm-dd")=TEXT(($B$4+14),"yyyy-mm-dd"))*('Daily Checklist'!$F$2:$F$2000="Done"))&amp;"/"&amp;SUMPRODUCT(('Daily Checklist'!$D$2:$D$2000=$A29)*(TEXT('Daily Checklist'!$B$2:$B$2000,"yyyy-mm-dd")=TEXT(($B$4+14),"yyyy-mm-dd")))&amp;" ESC",SUMPRODUCT(('Daily Checklist'!$D$2:$D$2000=$A29)*(TEXT('Daily Checklist'!$B$2:$B$2000,"yyyy-mm-dd")=TEXT(($B$4+14),"yyyy-mm-dd"))*('Daily Checklist'!$F$2:$F$2000="Done"))&amp;"/"&amp;SUMPRODUCT(('Daily Checklist'!$D$2:$D$2000=$A29)*(TEXT('Daily Checklist'!$B$2:$B$2000,"yyyy-mm-dd")=TEXT(($B$4+14),"yyyy-mm-dd"))))))</f>
        <v/>
      </c>
      <c r="Q29" s="25" t="str">
        <f aca="false">IF($A29="","",IF(SUMPRODUCT(('Daily Checklist'!$D$2:$D$2000=$A29)*(TEXT('Daily Checklist'!$B$2:$B$2000,"yyyy-mm-dd")=TEXT(($B$4+15),"yyyy-mm-dd")))=0,"-",IF(SUMPRODUCT(('Daily Checklist'!$D$2:$D$2000=$A29)*(TEXT('Daily Checklist'!$B$2:$B$2000,"yyyy-mm-dd")=TEXT(($B$4+15),"yyyy-mm-dd"))*('Daily Checklist'!$L$2:$L$2000="Y"))&gt;0,SUMPRODUCT(('Daily Checklist'!$D$2:$D$2000=$A29)*(TEXT('Daily Checklist'!$B$2:$B$2000,"yyyy-mm-dd")=TEXT(($B$4+15),"yyyy-mm-dd"))*('Daily Checklist'!$F$2:$F$2000="Done"))&amp;"/"&amp;SUMPRODUCT(('Daily Checklist'!$D$2:$D$2000=$A29)*(TEXT('Daily Checklist'!$B$2:$B$2000,"yyyy-mm-dd")=TEXT(($B$4+15),"yyyy-mm-dd")))&amp;" ESC",SUMPRODUCT(('Daily Checklist'!$D$2:$D$2000=$A29)*(TEXT('Daily Checklist'!$B$2:$B$2000,"yyyy-mm-dd")=TEXT(($B$4+15),"yyyy-mm-dd"))*('Daily Checklist'!$F$2:$F$2000="Done"))&amp;"/"&amp;SUMPRODUCT(('Daily Checklist'!$D$2:$D$2000=$A29)*(TEXT('Daily Checklist'!$B$2:$B$2000,"yyyy-mm-dd")=TEXT(($B$4+15),"yyyy-mm-dd"))))))</f>
        <v/>
      </c>
      <c r="R29" s="25" t="str">
        <f aca="false">IF($A29="","",IF(SUMPRODUCT(('Daily Checklist'!$D$2:$D$2000=$A29)*(TEXT('Daily Checklist'!$B$2:$B$2000,"yyyy-mm-dd")=TEXT(($B$4+16),"yyyy-mm-dd")))=0,"-",IF(SUMPRODUCT(('Daily Checklist'!$D$2:$D$2000=$A29)*(TEXT('Daily Checklist'!$B$2:$B$2000,"yyyy-mm-dd")=TEXT(($B$4+16),"yyyy-mm-dd"))*('Daily Checklist'!$L$2:$L$2000="Y"))&gt;0,SUMPRODUCT(('Daily Checklist'!$D$2:$D$2000=$A29)*(TEXT('Daily Checklist'!$B$2:$B$2000,"yyyy-mm-dd")=TEXT(($B$4+16),"yyyy-mm-dd"))*('Daily Checklist'!$F$2:$F$2000="Done"))&amp;"/"&amp;SUMPRODUCT(('Daily Checklist'!$D$2:$D$2000=$A29)*(TEXT('Daily Checklist'!$B$2:$B$2000,"yyyy-mm-dd")=TEXT(($B$4+16),"yyyy-mm-dd")))&amp;" ESC",SUMPRODUCT(('Daily Checklist'!$D$2:$D$2000=$A29)*(TEXT('Daily Checklist'!$B$2:$B$2000,"yyyy-mm-dd")=TEXT(($B$4+16),"yyyy-mm-dd"))*('Daily Checklist'!$F$2:$F$2000="Done"))&amp;"/"&amp;SUMPRODUCT(('Daily Checklist'!$D$2:$D$2000=$A29)*(TEXT('Daily Checklist'!$B$2:$B$2000,"yyyy-mm-dd")=TEXT(($B$4+16),"yyyy-mm-dd"))))))</f>
        <v/>
      </c>
      <c r="S29" s="25" t="str">
        <f aca="false">IF($A29="","",IF(SUMPRODUCT(('Daily Checklist'!$D$2:$D$2000=$A29)*(TEXT('Daily Checklist'!$B$2:$B$2000,"yyyy-mm-dd")=TEXT(($B$4+17),"yyyy-mm-dd")))=0,"-",IF(SUMPRODUCT(('Daily Checklist'!$D$2:$D$2000=$A29)*(TEXT('Daily Checklist'!$B$2:$B$2000,"yyyy-mm-dd")=TEXT(($B$4+17),"yyyy-mm-dd"))*('Daily Checklist'!$L$2:$L$2000="Y"))&gt;0,SUMPRODUCT(('Daily Checklist'!$D$2:$D$2000=$A29)*(TEXT('Daily Checklist'!$B$2:$B$2000,"yyyy-mm-dd")=TEXT(($B$4+17),"yyyy-mm-dd"))*('Daily Checklist'!$F$2:$F$2000="Done"))&amp;"/"&amp;SUMPRODUCT(('Daily Checklist'!$D$2:$D$2000=$A29)*(TEXT('Daily Checklist'!$B$2:$B$2000,"yyyy-mm-dd")=TEXT(($B$4+17),"yyyy-mm-dd")))&amp;" ESC",SUMPRODUCT(('Daily Checklist'!$D$2:$D$2000=$A29)*(TEXT('Daily Checklist'!$B$2:$B$2000,"yyyy-mm-dd")=TEXT(($B$4+17),"yyyy-mm-dd"))*('Daily Checklist'!$F$2:$F$2000="Done"))&amp;"/"&amp;SUMPRODUCT(('Daily Checklist'!$D$2:$D$2000=$A29)*(TEXT('Daily Checklist'!$B$2:$B$2000,"yyyy-mm-dd")=TEXT(($B$4+17),"yyyy-mm-dd"))))))</f>
        <v/>
      </c>
      <c r="T29" s="25" t="str">
        <f aca="false">IF($A29="","",IF(SUMPRODUCT(('Daily Checklist'!$D$2:$D$2000=$A29)*(TEXT('Daily Checklist'!$B$2:$B$2000,"yyyy-mm-dd")=TEXT(($B$4+18),"yyyy-mm-dd")))=0,"-",IF(SUMPRODUCT(('Daily Checklist'!$D$2:$D$2000=$A29)*(TEXT('Daily Checklist'!$B$2:$B$2000,"yyyy-mm-dd")=TEXT(($B$4+18),"yyyy-mm-dd"))*('Daily Checklist'!$L$2:$L$2000="Y"))&gt;0,SUMPRODUCT(('Daily Checklist'!$D$2:$D$2000=$A29)*(TEXT('Daily Checklist'!$B$2:$B$2000,"yyyy-mm-dd")=TEXT(($B$4+18),"yyyy-mm-dd"))*('Daily Checklist'!$F$2:$F$2000="Done"))&amp;"/"&amp;SUMPRODUCT(('Daily Checklist'!$D$2:$D$2000=$A29)*(TEXT('Daily Checklist'!$B$2:$B$2000,"yyyy-mm-dd")=TEXT(($B$4+18),"yyyy-mm-dd")))&amp;" ESC",SUMPRODUCT(('Daily Checklist'!$D$2:$D$2000=$A29)*(TEXT('Daily Checklist'!$B$2:$B$2000,"yyyy-mm-dd")=TEXT(($B$4+18),"yyyy-mm-dd"))*('Daily Checklist'!$F$2:$F$2000="Done"))&amp;"/"&amp;SUMPRODUCT(('Daily Checklist'!$D$2:$D$2000=$A29)*(TEXT('Daily Checklist'!$B$2:$B$2000,"yyyy-mm-dd")=TEXT(($B$4+18),"yyyy-mm-dd"))))))</f>
        <v/>
      </c>
      <c r="U29" s="25" t="str">
        <f aca="false">IF($A29="","",IF(SUMPRODUCT(('Daily Checklist'!$D$2:$D$2000=$A29)*(TEXT('Daily Checklist'!$B$2:$B$2000,"yyyy-mm-dd")=TEXT(($B$4+19),"yyyy-mm-dd")))=0,"-",IF(SUMPRODUCT(('Daily Checklist'!$D$2:$D$2000=$A29)*(TEXT('Daily Checklist'!$B$2:$B$2000,"yyyy-mm-dd")=TEXT(($B$4+19),"yyyy-mm-dd"))*('Daily Checklist'!$L$2:$L$2000="Y"))&gt;0,SUMPRODUCT(('Daily Checklist'!$D$2:$D$2000=$A29)*(TEXT('Daily Checklist'!$B$2:$B$2000,"yyyy-mm-dd")=TEXT(($B$4+19),"yyyy-mm-dd"))*('Daily Checklist'!$F$2:$F$2000="Done"))&amp;"/"&amp;SUMPRODUCT(('Daily Checklist'!$D$2:$D$2000=$A29)*(TEXT('Daily Checklist'!$B$2:$B$2000,"yyyy-mm-dd")=TEXT(($B$4+19),"yyyy-mm-dd")))&amp;" ESC",SUMPRODUCT(('Daily Checklist'!$D$2:$D$2000=$A29)*(TEXT('Daily Checklist'!$B$2:$B$2000,"yyyy-mm-dd")=TEXT(($B$4+19),"yyyy-mm-dd"))*('Daily Checklist'!$F$2:$F$2000="Done"))&amp;"/"&amp;SUMPRODUCT(('Daily Checklist'!$D$2:$D$2000=$A29)*(TEXT('Daily Checklist'!$B$2:$B$2000,"yyyy-mm-dd")=TEXT(($B$4+19),"yyyy-mm-dd"))))))</f>
        <v/>
      </c>
      <c r="V29" s="25" t="str">
        <f aca="false">IF($A29="","",IF(SUMPRODUCT(('Daily Checklist'!$D$2:$D$2000=$A29)*(TEXT('Daily Checklist'!$B$2:$B$2000,"yyyy-mm-dd")=TEXT(($B$4+20),"yyyy-mm-dd")))=0,"-",IF(SUMPRODUCT(('Daily Checklist'!$D$2:$D$2000=$A29)*(TEXT('Daily Checklist'!$B$2:$B$2000,"yyyy-mm-dd")=TEXT(($B$4+20),"yyyy-mm-dd"))*('Daily Checklist'!$L$2:$L$2000="Y"))&gt;0,SUMPRODUCT(('Daily Checklist'!$D$2:$D$2000=$A29)*(TEXT('Daily Checklist'!$B$2:$B$2000,"yyyy-mm-dd")=TEXT(($B$4+20),"yyyy-mm-dd"))*('Daily Checklist'!$F$2:$F$2000="Done"))&amp;"/"&amp;SUMPRODUCT(('Daily Checklist'!$D$2:$D$2000=$A29)*(TEXT('Daily Checklist'!$B$2:$B$2000,"yyyy-mm-dd")=TEXT(($B$4+20),"yyyy-mm-dd")))&amp;" ESC",SUMPRODUCT(('Daily Checklist'!$D$2:$D$2000=$A29)*(TEXT('Daily Checklist'!$B$2:$B$2000,"yyyy-mm-dd")=TEXT(($B$4+20),"yyyy-mm-dd"))*('Daily Checklist'!$F$2:$F$2000="Done"))&amp;"/"&amp;SUMPRODUCT(('Daily Checklist'!$D$2:$D$2000=$A29)*(TEXT('Daily Checklist'!$B$2:$B$2000,"yyyy-mm-dd")=TEXT(($B$4+20),"yyyy-mm-dd"))))))</f>
        <v/>
      </c>
      <c r="W29" s="25" t="str">
        <f aca="false">IF($A29="","",IF(SUMPRODUCT(('Daily Checklist'!$D$2:$D$2000=$A29)*(TEXT('Daily Checklist'!$B$2:$B$2000,"yyyy-mm-dd")=TEXT(($B$4+21),"yyyy-mm-dd")))=0,"-",IF(SUMPRODUCT(('Daily Checklist'!$D$2:$D$2000=$A29)*(TEXT('Daily Checklist'!$B$2:$B$2000,"yyyy-mm-dd")=TEXT(($B$4+21),"yyyy-mm-dd"))*('Daily Checklist'!$L$2:$L$2000="Y"))&gt;0,SUMPRODUCT(('Daily Checklist'!$D$2:$D$2000=$A29)*(TEXT('Daily Checklist'!$B$2:$B$2000,"yyyy-mm-dd")=TEXT(($B$4+21),"yyyy-mm-dd"))*('Daily Checklist'!$F$2:$F$2000="Done"))&amp;"/"&amp;SUMPRODUCT(('Daily Checklist'!$D$2:$D$2000=$A29)*(TEXT('Daily Checklist'!$B$2:$B$2000,"yyyy-mm-dd")=TEXT(($B$4+21),"yyyy-mm-dd")))&amp;" ESC",SUMPRODUCT(('Daily Checklist'!$D$2:$D$2000=$A29)*(TEXT('Daily Checklist'!$B$2:$B$2000,"yyyy-mm-dd")=TEXT(($B$4+21),"yyyy-mm-dd"))*('Daily Checklist'!$F$2:$F$2000="Done"))&amp;"/"&amp;SUMPRODUCT(('Daily Checklist'!$D$2:$D$2000=$A29)*(TEXT('Daily Checklist'!$B$2:$B$2000,"yyyy-mm-dd")=TEXT(($B$4+21),"yyyy-mm-dd"))))))</f>
        <v/>
      </c>
      <c r="X29" s="25" t="str">
        <f aca="false">IF($A29="","",IF(SUMPRODUCT(('Daily Checklist'!$D$2:$D$2000=$A29)*(TEXT('Daily Checklist'!$B$2:$B$2000,"yyyy-mm-dd")=TEXT(($B$4+22),"yyyy-mm-dd")))=0,"-",IF(SUMPRODUCT(('Daily Checklist'!$D$2:$D$2000=$A29)*(TEXT('Daily Checklist'!$B$2:$B$2000,"yyyy-mm-dd")=TEXT(($B$4+22),"yyyy-mm-dd"))*('Daily Checklist'!$L$2:$L$2000="Y"))&gt;0,SUMPRODUCT(('Daily Checklist'!$D$2:$D$2000=$A29)*(TEXT('Daily Checklist'!$B$2:$B$2000,"yyyy-mm-dd")=TEXT(($B$4+22),"yyyy-mm-dd"))*('Daily Checklist'!$F$2:$F$2000="Done"))&amp;"/"&amp;SUMPRODUCT(('Daily Checklist'!$D$2:$D$2000=$A29)*(TEXT('Daily Checklist'!$B$2:$B$2000,"yyyy-mm-dd")=TEXT(($B$4+22),"yyyy-mm-dd")))&amp;" ESC",SUMPRODUCT(('Daily Checklist'!$D$2:$D$2000=$A29)*(TEXT('Daily Checklist'!$B$2:$B$2000,"yyyy-mm-dd")=TEXT(($B$4+22),"yyyy-mm-dd"))*('Daily Checklist'!$F$2:$F$2000="Done"))&amp;"/"&amp;SUMPRODUCT(('Daily Checklist'!$D$2:$D$2000=$A29)*(TEXT('Daily Checklist'!$B$2:$B$2000,"yyyy-mm-dd")=TEXT(($B$4+22),"yyyy-mm-dd"))))))</f>
        <v/>
      </c>
      <c r="Y29" s="25" t="str">
        <f aca="false">IF($A29="","",IF(SUMPRODUCT(('Daily Checklist'!$D$2:$D$2000=$A29)*(TEXT('Daily Checklist'!$B$2:$B$2000,"yyyy-mm-dd")=TEXT(($B$4+23),"yyyy-mm-dd")))=0,"-",IF(SUMPRODUCT(('Daily Checklist'!$D$2:$D$2000=$A29)*(TEXT('Daily Checklist'!$B$2:$B$2000,"yyyy-mm-dd")=TEXT(($B$4+23),"yyyy-mm-dd"))*('Daily Checklist'!$L$2:$L$2000="Y"))&gt;0,SUMPRODUCT(('Daily Checklist'!$D$2:$D$2000=$A29)*(TEXT('Daily Checklist'!$B$2:$B$2000,"yyyy-mm-dd")=TEXT(($B$4+23),"yyyy-mm-dd"))*('Daily Checklist'!$F$2:$F$2000="Done"))&amp;"/"&amp;SUMPRODUCT(('Daily Checklist'!$D$2:$D$2000=$A29)*(TEXT('Daily Checklist'!$B$2:$B$2000,"yyyy-mm-dd")=TEXT(($B$4+23),"yyyy-mm-dd")))&amp;" ESC",SUMPRODUCT(('Daily Checklist'!$D$2:$D$2000=$A29)*(TEXT('Daily Checklist'!$B$2:$B$2000,"yyyy-mm-dd")=TEXT(($B$4+23),"yyyy-mm-dd"))*('Daily Checklist'!$F$2:$F$2000="Done"))&amp;"/"&amp;SUMPRODUCT(('Daily Checklist'!$D$2:$D$2000=$A29)*(TEXT('Daily Checklist'!$B$2:$B$2000,"yyyy-mm-dd")=TEXT(($B$4+23),"yyyy-mm-dd"))))))</f>
        <v/>
      </c>
      <c r="Z29" s="25" t="str">
        <f aca="false">IF($A29="","",IF(SUMPRODUCT(('Daily Checklist'!$D$2:$D$2000=$A29)*(TEXT('Daily Checklist'!$B$2:$B$2000,"yyyy-mm-dd")=TEXT(($B$4+24),"yyyy-mm-dd")))=0,"-",IF(SUMPRODUCT(('Daily Checklist'!$D$2:$D$2000=$A29)*(TEXT('Daily Checklist'!$B$2:$B$2000,"yyyy-mm-dd")=TEXT(($B$4+24),"yyyy-mm-dd"))*('Daily Checklist'!$L$2:$L$2000="Y"))&gt;0,SUMPRODUCT(('Daily Checklist'!$D$2:$D$2000=$A29)*(TEXT('Daily Checklist'!$B$2:$B$2000,"yyyy-mm-dd")=TEXT(($B$4+24),"yyyy-mm-dd"))*('Daily Checklist'!$F$2:$F$2000="Done"))&amp;"/"&amp;SUMPRODUCT(('Daily Checklist'!$D$2:$D$2000=$A29)*(TEXT('Daily Checklist'!$B$2:$B$2000,"yyyy-mm-dd")=TEXT(($B$4+24),"yyyy-mm-dd")))&amp;" ESC",SUMPRODUCT(('Daily Checklist'!$D$2:$D$2000=$A29)*(TEXT('Daily Checklist'!$B$2:$B$2000,"yyyy-mm-dd")=TEXT(($B$4+24),"yyyy-mm-dd"))*('Daily Checklist'!$F$2:$F$2000="Done"))&amp;"/"&amp;SUMPRODUCT(('Daily Checklist'!$D$2:$D$2000=$A29)*(TEXT('Daily Checklist'!$B$2:$B$2000,"yyyy-mm-dd")=TEXT(($B$4+24),"yyyy-mm-dd"))))))</f>
        <v/>
      </c>
      <c r="AA29" s="25" t="str">
        <f aca="false">IF($A29="","",IF(SUMPRODUCT(('Daily Checklist'!$D$2:$D$2000=$A29)*(TEXT('Daily Checklist'!$B$2:$B$2000,"yyyy-mm-dd")=TEXT(($B$4+25),"yyyy-mm-dd")))=0,"-",IF(SUMPRODUCT(('Daily Checklist'!$D$2:$D$2000=$A29)*(TEXT('Daily Checklist'!$B$2:$B$2000,"yyyy-mm-dd")=TEXT(($B$4+25),"yyyy-mm-dd"))*('Daily Checklist'!$L$2:$L$2000="Y"))&gt;0,SUMPRODUCT(('Daily Checklist'!$D$2:$D$2000=$A29)*(TEXT('Daily Checklist'!$B$2:$B$2000,"yyyy-mm-dd")=TEXT(($B$4+25),"yyyy-mm-dd"))*('Daily Checklist'!$F$2:$F$2000="Done"))&amp;"/"&amp;SUMPRODUCT(('Daily Checklist'!$D$2:$D$2000=$A29)*(TEXT('Daily Checklist'!$B$2:$B$2000,"yyyy-mm-dd")=TEXT(($B$4+25),"yyyy-mm-dd")))&amp;" ESC",SUMPRODUCT(('Daily Checklist'!$D$2:$D$2000=$A29)*(TEXT('Daily Checklist'!$B$2:$B$2000,"yyyy-mm-dd")=TEXT(($B$4+25),"yyyy-mm-dd"))*('Daily Checklist'!$F$2:$F$2000="Done"))&amp;"/"&amp;SUMPRODUCT(('Daily Checklist'!$D$2:$D$2000=$A29)*(TEXT('Daily Checklist'!$B$2:$B$2000,"yyyy-mm-dd")=TEXT(($B$4+25),"yyyy-mm-dd"))))))</f>
        <v/>
      </c>
      <c r="AB29" s="25" t="str">
        <f aca="false">IF($A29="","",IF(SUMPRODUCT(('Daily Checklist'!$D$2:$D$2000=$A29)*(TEXT('Daily Checklist'!$B$2:$B$2000,"yyyy-mm-dd")=TEXT(($B$4+26),"yyyy-mm-dd")))=0,"-",IF(SUMPRODUCT(('Daily Checklist'!$D$2:$D$2000=$A29)*(TEXT('Daily Checklist'!$B$2:$B$2000,"yyyy-mm-dd")=TEXT(($B$4+26),"yyyy-mm-dd"))*('Daily Checklist'!$L$2:$L$2000="Y"))&gt;0,SUMPRODUCT(('Daily Checklist'!$D$2:$D$2000=$A29)*(TEXT('Daily Checklist'!$B$2:$B$2000,"yyyy-mm-dd")=TEXT(($B$4+26),"yyyy-mm-dd"))*('Daily Checklist'!$F$2:$F$2000="Done"))&amp;"/"&amp;SUMPRODUCT(('Daily Checklist'!$D$2:$D$2000=$A29)*(TEXT('Daily Checklist'!$B$2:$B$2000,"yyyy-mm-dd")=TEXT(($B$4+26),"yyyy-mm-dd")))&amp;" ESC",SUMPRODUCT(('Daily Checklist'!$D$2:$D$2000=$A29)*(TEXT('Daily Checklist'!$B$2:$B$2000,"yyyy-mm-dd")=TEXT(($B$4+26),"yyyy-mm-dd"))*('Daily Checklist'!$F$2:$F$2000="Done"))&amp;"/"&amp;SUMPRODUCT(('Daily Checklist'!$D$2:$D$2000=$A29)*(TEXT('Daily Checklist'!$B$2:$B$2000,"yyyy-mm-dd")=TEXT(($B$4+26),"yyyy-mm-dd"))))))</f>
        <v/>
      </c>
      <c r="AC29" s="25" t="str">
        <f aca="false">IF($A29="","",IF(SUMPRODUCT(('Daily Checklist'!$D$2:$D$2000=$A29)*(TEXT('Daily Checklist'!$B$2:$B$2000,"yyyy-mm-dd")=TEXT(($B$4+27),"yyyy-mm-dd")))=0,"-",IF(SUMPRODUCT(('Daily Checklist'!$D$2:$D$2000=$A29)*(TEXT('Daily Checklist'!$B$2:$B$2000,"yyyy-mm-dd")=TEXT(($B$4+27),"yyyy-mm-dd"))*('Daily Checklist'!$L$2:$L$2000="Y"))&gt;0,SUMPRODUCT(('Daily Checklist'!$D$2:$D$2000=$A29)*(TEXT('Daily Checklist'!$B$2:$B$2000,"yyyy-mm-dd")=TEXT(($B$4+27),"yyyy-mm-dd"))*('Daily Checklist'!$F$2:$F$2000="Done"))&amp;"/"&amp;SUMPRODUCT(('Daily Checklist'!$D$2:$D$2000=$A29)*(TEXT('Daily Checklist'!$B$2:$B$2000,"yyyy-mm-dd")=TEXT(($B$4+27),"yyyy-mm-dd")))&amp;" ESC",SUMPRODUCT(('Daily Checklist'!$D$2:$D$2000=$A29)*(TEXT('Daily Checklist'!$B$2:$B$2000,"yyyy-mm-dd")=TEXT(($B$4+27),"yyyy-mm-dd"))*('Daily Checklist'!$F$2:$F$2000="Done"))&amp;"/"&amp;SUMPRODUCT(('Daily Checklist'!$D$2:$D$2000=$A29)*(TEXT('Daily Checklist'!$B$2:$B$2000,"yyyy-mm-dd")=TEXT(($B$4+27),"yyyy-mm-dd"))))))</f>
        <v/>
      </c>
      <c r="AD29" s="25" t="str">
        <f aca="false">IF($A29="","",IF(SUMPRODUCT(('Daily Checklist'!$D$2:$D$2000=$A29)*(TEXT('Daily Checklist'!$B$2:$B$2000,"yyyy-mm-dd")=TEXT(($B$4+28),"yyyy-mm-dd")))=0,"-",IF(SUMPRODUCT(('Daily Checklist'!$D$2:$D$2000=$A29)*(TEXT('Daily Checklist'!$B$2:$B$2000,"yyyy-mm-dd")=TEXT(($B$4+28),"yyyy-mm-dd"))*('Daily Checklist'!$L$2:$L$2000="Y"))&gt;0,SUMPRODUCT(('Daily Checklist'!$D$2:$D$2000=$A29)*(TEXT('Daily Checklist'!$B$2:$B$2000,"yyyy-mm-dd")=TEXT(($B$4+28),"yyyy-mm-dd"))*('Daily Checklist'!$F$2:$F$2000="Done"))&amp;"/"&amp;SUMPRODUCT(('Daily Checklist'!$D$2:$D$2000=$A29)*(TEXT('Daily Checklist'!$B$2:$B$2000,"yyyy-mm-dd")=TEXT(($B$4+28),"yyyy-mm-dd")))&amp;" ESC",SUMPRODUCT(('Daily Checklist'!$D$2:$D$2000=$A29)*(TEXT('Daily Checklist'!$B$2:$B$2000,"yyyy-mm-dd")=TEXT(($B$4+28),"yyyy-mm-dd"))*('Daily Checklist'!$F$2:$F$2000="Done"))&amp;"/"&amp;SUMPRODUCT(('Daily Checklist'!$D$2:$D$2000=$A29)*(TEXT('Daily Checklist'!$B$2:$B$2000,"yyyy-mm-dd")=TEXT(($B$4+28),"yyyy-mm-dd"))))))</f>
        <v/>
      </c>
      <c r="AE29" s="25" t="str">
        <f aca="false">IF($A29="","",IF(SUMPRODUCT(('Daily Checklist'!$D$2:$D$2000=$A29)*(TEXT('Daily Checklist'!$B$2:$B$2000,"yyyy-mm-dd")=TEXT(($B$4+29),"yyyy-mm-dd")))=0,"-",IF(SUMPRODUCT(('Daily Checklist'!$D$2:$D$2000=$A29)*(TEXT('Daily Checklist'!$B$2:$B$2000,"yyyy-mm-dd")=TEXT(($B$4+29),"yyyy-mm-dd"))*('Daily Checklist'!$L$2:$L$2000="Y"))&gt;0,SUMPRODUCT(('Daily Checklist'!$D$2:$D$2000=$A29)*(TEXT('Daily Checklist'!$B$2:$B$2000,"yyyy-mm-dd")=TEXT(($B$4+29),"yyyy-mm-dd"))*('Daily Checklist'!$F$2:$F$2000="Done"))&amp;"/"&amp;SUMPRODUCT(('Daily Checklist'!$D$2:$D$2000=$A29)*(TEXT('Daily Checklist'!$B$2:$B$2000,"yyyy-mm-dd")=TEXT(($B$4+29),"yyyy-mm-dd")))&amp;" ESC",SUMPRODUCT(('Daily Checklist'!$D$2:$D$2000=$A29)*(TEXT('Daily Checklist'!$B$2:$B$2000,"yyyy-mm-dd")=TEXT(($B$4+29),"yyyy-mm-dd"))*('Daily Checklist'!$F$2:$F$2000="Done"))&amp;"/"&amp;SUMPRODUCT(('Daily Checklist'!$D$2:$D$2000=$A29)*(TEXT('Daily Checklist'!$B$2:$B$2000,"yyyy-mm-dd")=TEXT(($B$4+29),"yyyy-mm-dd"))))))</f>
        <v/>
      </c>
      <c r="AF29" s="25" t="str">
        <f aca="false">IF($A29="","",IF(SUMPRODUCT(('Daily Checklist'!$D$2:$D$2000=$A29)*(TEXT('Daily Checklist'!$B$2:$B$2000,"yyyy-mm-dd")=TEXT(($B$4+30),"yyyy-mm-dd")))=0,"-",IF(SUMPRODUCT(('Daily Checklist'!$D$2:$D$2000=$A29)*(TEXT('Daily Checklist'!$B$2:$B$2000,"yyyy-mm-dd")=TEXT(($B$4+30),"yyyy-mm-dd"))*('Daily Checklist'!$L$2:$L$2000="Y"))&gt;0,SUMPRODUCT(('Daily Checklist'!$D$2:$D$2000=$A29)*(TEXT('Daily Checklist'!$B$2:$B$2000,"yyyy-mm-dd")=TEXT(($B$4+30),"yyyy-mm-dd"))*('Daily Checklist'!$F$2:$F$2000="Done"))&amp;"/"&amp;SUMPRODUCT(('Daily Checklist'!$D$2:$D$2000=$A29)*(TEXT('Daily Checklist'!$B$2:$B$2000,"yyyy-mm-dd")=TEXT(($B$4+30),"yyyy-mm-dd")))&amp;" ESC",SUMPRODUCT(('Daily Checklist'!$D$2:$D$2000=$A29)*(TEXT('Daily Checklist'!$B$2:$B$2000,"yyyy-mm-dd")=TEXT(($B$4+30),"yyyy-mm-dd"))*('Daily Checklist'!$F$2:$F$2000="Done"))&amp;"/"&amp;SUMPRODUCT(('Daily Checklist'!$D$2:$D$2000=$A29)*(TEXT('Daily Checklist'!$B$2:$B$2000,"yyyy-mm-dd")=TEXT(($B$4+30),"yyyy-mm-dd"))))))</f>
        <v/>
      </c>
    </row>
    <row r="30" customFormat="false" ht="15" hidden="false" customHeight="true" outlineLevel="0" collapsed="false">
      <c r="A30" s="24" t="str">
        <f aca="false">IFERROR(IF(Employees!A25="","",Employees!A25),"")</f>
        <v/>
      </c>
      <c r="B30" s="25" t="str">
        <f aca="false">IF($A30="","",IF(SUMPRODUCT(('Daily Checklist'!$D$2:$D$2000=$A30)*(TEXT('Daily Checklist'!$B$2:$B$2000,"yyyy-mm-dd")=TEXT(($B$4+0),"yyyy-mm-dd")))=0,"-",IF(SUMPRODUCT(('Daily Checklist'!$D$2:$D$2000=$A30)*(TEXT('Daily Checklist'!$B$2:$B$2000,"yyyy-mm-dd")=TEXT(($B$4+0),"yyyy-mm-dd"))*('Daily Checklist'!$L$2:$L$2000="Y"))&gt;0,SUMPRODUCT(('Daily Checklist'!$D$2:$D$2000=$A30)*(TEXT('Daily Checklist'!$B$2:$B$2000,"yyyy-mm-dd")=TEXT(($B$4+0),"yyyy-mm-dd"))*('Daily Checklist'!$F$2:$F$2000="Done"))&amp;"/"&amp;SUMPRODUCT(('Daily Checklist'!$D$2:$D$2000=$A30)*(TEXT('Daily Checklist'!$B$2:$B$2000,"yyyy-mm-dd")=TEXT(($B$4+0),"yyyy-mm-dd")))&amp;" ESC",SUMPRODUCT(('Daily Checklist'!$D$2:$D$2000=$A30)*(TEXT('Daily Checklist'!$B$2:$B$2000,"yyyy-mm-dd")=TEXT(($B$4+0),"yyyy-mm-dd"))*('Daily Checklist'!$F$2:$F$2000="Done"))&amp;"/"&amp;SUMPRODUCT(('Daily Checklist'!$D$2:$D$2000=$A30)*(TEXT('Daily Checklist'!$B$2:$B$2000,"yyyy-mm-dd")=TEXT(($B$4+0),"yyyy-mm-dd"))))))</f>
        <v/>
      </c>
      <c r="C30" s="25" t="str">
        <f aca="false">IF($A30="","",IF(SUMPRODUCT(('Daily Checklist'!$D$2:$D$2000=$A30)*(TEXT('Daily Checklist'!$B$2:$B$2000,"yyyy-mm-dd")=TEXT(($B$4+1),"yyyy-mm-dd")))=0,"-",IF(SUMPRODUCT(('Daily Checklist'!$D$2:$D$2000=$A30)*(TEXT('Daily Checklist'!$B$2:$B$2000,"yyyy-mm-dd")=TEXT(($B$4+1),"yyyy-mm-dd"))*('Daily Checklist'!$L$2:$L$2000="Y"))&gt;0,SUMPRODUCT(('Daily Checklist'!$D$2:$D$2000=$A30)*(TEXT('Daily Checklist'!$B$2:$B$2000,"yyyy-mm-dd")=TEXT(($B$4+1),"yyyy-mm-dd"))*('Daily Checklist'!$F$2:$F$2000="Done"))&amp;"/"&amp;SUMPRODUCT(('Daily Checklist'!$D$2:$D$2000=$A30)*(TEXT('Daily Checklist'!$B$2:$B$2000,"yyyy-mm-dd")=TEXT(($B$4+1),"yyyy-mm-dd")))&amp;" ESC",SUMPRODUCT(('Daily Checklist'!$D$2:$D$2000=$A30)*(TEXT('Daily Checklist'!$B$2:$B$2000,"yyyy-mm-dd")=TEXT(($B$4+1),"yyyy-mm-dd"))*('Daily Checklist'!$F$2:$F$2000="Done"))&amp;"/"&amp;SUMPRODUCT(('Daily Checklist'!$D$2:$D$2000=$A30)*(TEXT('Daily Checklist'!$B$2:$B$2000,"yyyy-mm-dd")=TEXT(($B$4+1),"yyyy-mm-dd"))))))</f>
        <v/>
      </c>
      <c r="D30" s="25" t="str">
        <f aca="false">IF($A30="","",IF(SUMPRODUCT(('Daily Checklist'!$D$2:$D$2000=$A30)*(TEXT('Daily Checklist'!$B$2:$B$2000,"yyyy-mm-dd")=TEXT(($B$4+2),"yyyy-mm-dd")))=0,"-",IF(SUMPRODUCT(('Daily Checklist'!$D$2:$D$2000=$A30)*(TEXT('Daily Checklist'!$B$2:$B$2000,"yyyy-mm-dd")=TEXT(($B$4+2),"yyyy-mm-dd"))*('Daily Checklist'!$L$2:$L$2000="Y"))&gt;0,SUMPRODUCT(('Daily Checklist'!$D$2:$D$2000=$A30)*(TEXT('Daily Checklist'!$B$2:$B$2000,"yyyy-mm-dd")=TEXT(($B$4+2),"yyyy-mm-dd"))*('Daily Checklist'!$F$2:$F$2000="Done"))&amp;"/"&amp;SUMPRODUCT(('Daily Checklist'!$D$2:$D$2000=$A30)*(TEXT('Daily Checklist'!$B$2:$B$2000,"yyyy-mm-dd")=TEXT(($B$4+2),"yyyy-mm-dd")))&amp;" ESC",SUMPRODUCT(('Daily Checklist'!$D$2:$D$2000=$A30)*(TEXT('Daily Checklist'!$B$2:$B$2000,"yyyy-mm-dd")=TEXT(($B$4+2),"yyyy-mm-dd"))*('Daily Checklist'!$F$2:$F$2000="Done"))&amp;"/"&amp;SUMPRODUCT(('Daily Checklist'!$D$2:$D$2000=$A30)*(TEXT('Daily Checklist'!$B$2:$B$2000,"yyyy-mm-dd")=TEXT(($B$4+2),"yyyy-mm-dd"))))))</f>
        <v/>
      </c>
      <c r="E30" s="25" t="str">
        <f aca="false">IF($A30="","",IF(SUMPRODUCT(('Daily Checklist'!$D$2:$D$2000=$A30)*(TEXT('Daily Checklist'!$B$2:$B$2000,"yyyy-mm-dd")=TEXT(($B$4+3),"yyyy-mm-dd")))=0,"-",IF(SUMPRODUCT(('Daily Checklist'!$D$2:$D$2000=$A30)*(TEXT('Daily Checklist'!$B$2:$B$2000,"yyyy-mm-dd")=TEXT(($B$4+3),"yyyy-mm-dd"))*('Daily Checklist'!$L$2:$L$2000="Y"))&gt;0,SUMPRODUCT(('Daily Checklist'!$D$2:$D$2000=$A30)*(TEXT('Daily Checklist'!$B$2:$B$2000,"yyyy-mm-dd")=TEXT(($B$4+3),"yyyy-mm-dd"))*('Daily Checklist'!$F$2:$F$2000="Done"))&amp;"/"&amp;SUMPRODUCT(('Daily Checklist'!$D$2:$D$2000=$A30)*(TEXT('Daily Checklist'!$B$2:$B$2000,"yyyy-mm-dd")=TEXT(($B$4+3),"yyyy-mm-dd")))&amp;" ESC",SUMPRODUCT(('Daily Checklist'!$D$2:$D$2000=$A30)*(TEXT('Daily Checklist'!$B$2:$B$2000,"yyyy-mm-dd")=TEXT(($B$4+3),"yyyy-mm-dd"))*('Daily Checklist'!$F$2:$F$2000="Done"))&amp;"/"&amp;SUMPRODUCT(('Daily Checklist'!$D$2:$D$2000=$A30)*(TEXT('Daily Checklist'!$B$2:$B$2000,"yyyy-mm-dd")=TEXT(($B$4+3),"yyyy-mm-dd"))))))</f>
        <v/>
      </c>
      <c r="F30" s="25" t="str">
        <f aca="false">IF($A30="","",IF(SUMPRODUCT(('Daily Checklist'!$D$2:$D$2000=$A30)*(TEXT('Daily Checklist'!$B$2:$B$2000,"yyyy-mm-dd")=TEXT(($B$4+4),"yyyy-mm-dd")))=0,"-",IF(SUMPRODUCT(('Daily Checklist'!$D$2:$D$2000=$A30)*(TEXT('Daily Checklist'!$B$2:$B$2000,"yyyy-mm-dd")=TEXT(($B$4+4),"yyyy-mm-dd"))*('Daily Checklist'!$L$2:$L$2000="Y"))&gt;0,SUMPRODUCT(('Daily Checklist'!$D$2:$D$2000=$A30)*(TEXT('Daily Checklist'!$B$2:$B$2000,"yyyy-mm-dd")=TEXT(($B$4+4),"yyyy-mm-dd"))*('Daily Checklist'!$F$2:$F$2000="Done"))&amp;"/"&amp;SUMPRODUCT(('Daily Checklist'!$D$2:$D$2000=$A30)*(TEXT('Daily Checklist'!$B$2:$B$2000,"yyyy-mm-dd")=TEXT(($B$4+4),"yyyy-mm-dd")))&amp;" ESC",SUMPRODUCT(('Daily Checklist'!$D$2:$D$2000=$A30)*(TEXT('Daily Checklist'!$B$2:$B$2000,"yyyy-mm-dd")=TEXT(($B$4+4),"yyyy-mm-dd"))*('Daily Checklist'!$F$2:$F$2000="Done"))&amp;"/"&amp;SUMPRODUCT(('Daily Checklist'!$D$2:$D$2000=$A30)*(TEXT('Daily Checklist'!$B$2:$B$2000,"yyyy-mm-dd")=TEXT(($B$4+4),"yyyy-mm-dd"))))))</f>
        <v/>
      </c>
      <c r="G30" s="25" t="str">
        <f aca="false">IF($A30="","",IF(SUMPRODUCT(('Daily Checklist'!$D$2:$D$2000=$A30)*(TEXT('Daily Checklist'!$B$2:$B$2000,"yyyy-mm-dd")=TEXT(($B$4+5),"yyyy-mm-dd")))=0,"-",IF(SUMPRODUCT(('Daily Checklist'!$D$2:$D$2000=$A30)*(TEXT('Daily Checklist'!$B$2:$B$2000,"yyyy-mm-dd")=TEXT(($B$4+5),"yyyy-mm-dd"))*('Daily Checklist'!$L$2:$L$2000="Y"))&gt;0,SUMPRODUCT(('Daily Checklist'!$D$2:$D$2000=$A30)*(TEXT('Daily Checklist'!$B$2:$B$2000,"yyyy-mm-dd")=TEXT(($B$4+5),"yyyy-mm-dd"))*('Daily Checklist'!$F$2:$F$2000="Done"))&amp;"/"&amp;SUMPRODUCT(('Daily Checklist'!$D$2:$D$2000=$A30)*(TEXT('Daily Checklist'!$B$2:$B$2000,"yyyy-mm-dd")=TEXT(($B$4+5),"yyyy-mm-dd")))&amp;" ESC",SUMPRODUCT(('Daily Checklist'!$D$2:$D$2000=$A30)*(TEXT('Daily Checklist'!$B$2:$B$2000,"yyyy-mm-dd")=TEXT(($B$4+5),"yyyy-mm-dd"))*('Daily Checklist'!$F$2:$F$2000="Done"))&amp;"/"&amp;SUMPRODUCT(('Daily Checklist'!$D$2:$D$2000=$A30)*(TEXT('Daily Checklist'!$B$2:$B$2000,"yyyy-mm-dd")=TEXT(($B$4+5),"yyyy-mm-dd"))))))</f>
        <v/>
      </c>
      <c r="H30" s="25" t="str">
        <f aca="false">IF($A30="","",IF(SUMPRODUCT(('Daily Checklist'!$D$2:$D$2000=$A30)*(TEXT('Daily Checklist'!$B$2:$B$2000,"yyyy-mm-dd")=TEXT(($B$4+6),"yyyy-mm-dd")))=0,"-",IF(SUMPRODUCT(('Daily Checklist'!$D$2:$D$2000=$A30)*(TEXT('Daily Checklist'!$B$2:$B$2000,"yyyy-mm-dd")=TEXT(($B$4+6),"yyyy-mm-dd"))*('Daily Checklist'!$L$2:$L$2000="Y"))&gt;0,SUMPRODUCT(('Daily Checklist'!$D$2:$D$2000=$A30)*(TEXT('Daily Checklist'!$B$2:$B$2000,"yyyy-mm-dd")=TEXT(($B$4+6),"yyyy-mm-dd"))*('Daily Checklist'!$F$2:$F$2000="Done"))&amp;"/"&amp;SUMPRODUCT(('Daily Checklist'!$D$2:$D$2000=$A30)*(TEXT('Daily Checklist'!$B$2:$B$2000,"yyyy-mm-dd")=TEXT(($B$4+6),"yyyy-mm-dd")))&amp;" ESC",SUMPRODUCT(('Daily Checklist'!$D$2:$D$2000=$A30)*(TEXT('Daily Checklist'!$B$2:$B$2000,"yyyy-mm-dd")=TEXT(($B$4+6),"yyyy-mm-dd"))*('Daily Checklist'!$F$2:$F$2000="Done"))&amp;"/"&amp;SUMPRODUCT(('Daily Checklist'!$D$2:$D$2000=$A30)*(TEXT('Daily Checklist'!$B$2:$B$2000,"yyyy-mm-dd")=TEXT(($B$4+6),"yyyy-mm-dd"))))))</f>
        <v/>
      </c>
      <c r="I30" s="25" t="str">
        <f aca="false">IF($A30="","",IF(SUMPRODUCT(('Daily Checklist'!$D$2:$D$2000=$A30)*(TEXT('Daily Checklist'!$B$2:$B$2000,"yyyy-mm-dd")=TEXT(($B$4+7),"yyyy-mm-dd")))=0,"-",IF(SUMPRODUCT(('Daily Checklist'!$D$2:$D$2000=$A30)*(TEXT('Daily Checklist'!$B$2:$B$2000,"yyyy-mm-dd")=TEXT(($B$4+7),"yyyy-mm-dd"))*('Daily Checklist'!$L$2:$L$2000="Y"))&gt;0,SUMPRODUCT(('Daily Checklist'!$D$2:$D$2000=$A30)*(TEXT('Daily Checklist'!$B$2:$B$2000,"yyyy-mm-dd")=TEXT(($B$4+7),"yyyy-mm-dd"))*('Daily Checklist'!$F$2:$F$2000="Done"))&amp;"/"&amp;SUMPRODUCT(('Daily Checklist'!$D$2:$D$2000=$A30)*(TEXT('Daily Checklist'!$B$2:$B$2000,"yyyy-mm-dd")=TEXT(($B$4+7),"yyyy-mm-dd")))&amp;" ESC",SUMPRODUCT(('Daily Checklist'!$D$2:$D$2000=$A30)*(TEXT('Daily Checklist'!$B$2:$B$2000,"yyyy-mm-dd")=TEXT(($B$4+7),"yyyy-mm-dd"))*('Daily Checklist'!$F$2:$F$2000="Done"))&amp;"/"&amp;SUMPRODUCT(('Daily Checklist'!$D$2:$D$2000=$A30)*(TEXT('Daily Checklist'!$B$2:$B$2000,"yyyy-mm-dd")=TEXT(($B$4+7),"yyyy-mm-dd"))))))</f>
        <v/>
      </c>
      <c r="J30" s="25" t="str">
        <f aca="false">IF($A30="","",IF(SUMPRODUCT(('Daily Checklist'!$D$2:$D$2000=$A30)*(TEXT('Daily Checklist'!$B$2:$B$2000,"yyyy-mm-dd")=TEXT(($B$4+8),"yyyy-mm-dd")))=0,"-",IF(SUMPRODUCT(('Daily Checklist'!$D$2:$D$2000=$A30)*(TEXT('Daily Checklist'!$B$2:$B$2000,"yyyy-mm-dd")=TEXT(($B$4+8),"yyyy-mm-dd"))*('Daily Checklist'!$L$2:$L$2000="Y"))&gt;0,SUMPRODUCT(('Daily Checklist'!$D$2:$D$2000=$A30)*(TEXT('Daily Checklist'!$B$2:$B$2000,"yyyy-mm-dd")=TEXT(($B$4+8),"yyyy-mm-dd"))*('Daily Checklist'!$F$2:$F$2000="Done"))&amp;"/"&amp;SUMPRODUCT(('Daily Checklist'!$D$2:$D$2000=$A30)*(TEXT('Daily Checklist'!$B$2:$B$2000,"yyyy-mm-dd")=TEXT(($B$4+8),"yyyy-mm-dd")))&amp;" ESC",SUMPRODUCT(('Daily Checklist'!$D$2:$D$2000=$A30)*(TEXT('Daily Checklist'!$B$2:$B$2000,"yyyy-mm-dd")=TEXT(($B$4+8),"yyyy-mm-dd"))*('Daily Checklist'!$F$2:$F$2000="Done"))&amp;"/"&amp;SUMPRODUCT(('Daily Checklist'!$D$2:$D$2000=$A30)*(TEXT('Daily Checklist'!$B$2:$B$2000,"yyyy-mm-dd")=TEXT(($B$4+8),"yyyy-mm-dd"))))))</f>
        <v/>
      </c>
      <c r="K30" s="25" t="str">
        <f aca="false">IF($A30="","",IF(SUMPRODUCT(('Daily Checklist'!$D$2:$D$2000=$A30)*(TEXT('Daily Checklist'!$B$2:$B$2000,"yyyy-mm-dd")=TEXT(($B$4+9),"yyyy-mm-dd")))=0,"-",IF(SUMPRODUCT(('Daily Checklist'!$D$2:$D$2000=$A30)*(TEXT('Daily Checklist'!$B$2:$B$2000,"yyyy-mm-dd")=TEXT(($B$4+9),"yyyy-mm-dd"))*('Daily Checklist'!$L$2:$L$2000="Y"))&gt;0,SUMPRODUCT(('Daily Checklist'!$D$2:$D$2000=$A30)*(TEXT('Daily Checklist'!$B$2:$B$2000,"yyyy-mm-dd")=TEXT(($B$4+9),"yyyy-mm-dd"))*('Daily Checklist'!$F$2:$F$2000="Done"))&amp;"/"&amp;SUMPRODUCT(('Daily Checklist'!$D$2:$D$2000=$A30)*(TEXT('Daily Checklist'!$B$2:$B$2000,"yyyy-mm-dd")=TEXT(($B$4+9),"yyyy-mm-dd")))&amp;" ESC",SUMPRODUCT(('Daily Checklist'!$D$2:$D$2000=$A30)*(TEXT('Daily Checklist'!$B$2:$B$2000,"yyyy-mm-dd")=TEXT(($B$4+9),"yyyy-mm-dd"))*('Daily Checklist'!$F$2:$F$2000="Done"))&amp;"/"&amp;SUMPRODUCT(('Daily Checklist'!$D$2:$D$2000=$A30)*(TEXT('Daily Checklist'!$B$2:$B$2000,"yyyy-mm-dd")=TEXT(($B$4+9),"yyyy-mm-dd"))))))</f>
        <v/>
      </c>
      <c r="L30" s="25" t="str">
        <f aca="false">IF($A30="","",IF(SUMPRODUCT(('Daily Checklist'!$D$2:$D$2000=$A30)*(TEXT('Daily Checklist'!$B$2:$B$2000,"yyyy-mm-dd")=TEXT(($B$4+10),"yyyy-mm-dd")))=0,"-",IF(SUMPRODUCT(('Daily Checklist'!$D$2:$D$2000=$A30)*(TEXT('Daily Checklist'!$B$2:$B$2000,"yyyy-mm-dd")=TEXT(($B$4+10),"yyyy-mm-dd"))*('Daily Checklist'!$L$2:$L$2000="Y"))&gt;0,SUMPRODUCT(('Daily Checklist'!$D$2:$D$2000=$A30)*(TEXT('Daily Checklist'!$B$2:$B$2000,"yyyy-mm-dd")=TEXT(($B$4+10),"yyyy-mm-dd"))*('Daily Checklist'!$F$2:$F$2000="Done"))&amp;"/"&amp;SUMPRODUCT(('Daily Checklist'!$D$2:$D$2000=$A30)*(TEXT('Daily Checklist'!$B$2:$B$2000,"yyyy-mm-dd")=TEXT(($B$4+10),"yyyy-mm-dd")))&amp;" ESC",SUMPRODUCT(('Daily Checklist'!$D$2:$D$2000=$A30)*(TEXT('Daily Checklist'!$B$2:$B$2000,"yyyy-mm-dd")=TEXT(($B$4+10),"yyyy-mm-dd"))*('Daily Checklist'!$F$2:$F$2000="Done"))&amp;"/"&amp;SUMPRODUCT(('Daily Checklist'!$D$2:$D$2000=$A30)*(TEXT('Daily Checklist'!$B$2:$B$2000,"yyyy-mm-dd")=TEXT(($B$4+10),"yyyy-mm-dd"))))))</f>
        <v/>
      </c>
      <c r="M30" s="25" t="str">
        <f aca="false">IF($A30="","",IF(SUMPRODUCT(('Daily Checklist'!$D$2:$D$2000=$A30)*(TEXT('Daily Checklist'!$B$2:$B$2000,"yyyy-mm-dd")=TEXT(($B$4+11),"yyyy-mm-dd")))=0,"-",IF(SUMPRODUCT(('Daily Checklist'!$D$2:$D$2000=$A30)*(TEXT('Daily Checklist'!$B$2:$B$2000,"yyyy-mm-dd")=TEXT(($B$4+11),"yyyy-mm-dd"))*('Daily Checklist'!$L$2:$L$2000="Y"))&gt;0,SUMPRODUCT(('Daily Checklist'!$D$2:$D$2000=$A30)*(TEXT('Daily Checklist'!$B$2:$B$2000,"yyyy-mm-dd")=TEXT(($B$4+11),"yyyy-mm-dd"))*('Daily Checklist'!$F$2:$F$2000="Done"))&amp;"/"&amp;SUMPRODUCT(('Daily Checklist'!$D$2:$D$2000=$A30)*(TEXT('Daily Checklist'!$B$2:$B$2000,"yyyy-mm-dd")=TEXT(($B$4+11),"yyyy-mm-dd")))&amp;" ESC",SUMPRODUCT(('Daily Checklist'!$D$2:$D$2000=$A30)*(TEXT('Daily Checklist'!$B$2:$B$2000,"yyyy-mm-dd")=TEXT(($B$4+11),"yyyy-mm-dd"))*('Daily Checklist'!$F$2:$F$2000="Done"))&amp;"/"&amp;SUMPRODUCT(('Daily Checklist'!$D$2:$D$2000=$A30)*(TEXT('Daily Checklist'!$B$2:$B$2000,"yyyy-mm-dd")=TEXT(($B$4+11),"yyyy-mm-dd"))))))</f>
        <v/>
      </c>
      <c r="N30" s="25" t="str">
        <f aca="false">IF($A30="","",IF(SUMPRODUCT(('Daily Checklist'!$D$2:$D$2000=$A30)*(TEXT('Daily Checklist'!$B$2:$B$2000,"yyyy-mm-dd")=TEXT(($B$4+12),"yyyy-mm-dd")))=0,"-",IF(SUMPRODUCT(('Daily Checklist'!$D$2:$D$2000=$A30)*(TEXT('Daily Checklist'!$B$2:$B$2000,"yyyy-mm-dd")=TEXT(($B$4+12),"yyyy-mm-dd"))*('Daily Checklist'!$L$2:$L$2000="Y"))&gt;0,SUMPRODUCT(('Daily Checklist'!$D$2:$D$2000=$A30)*(TEXT('Daily Checklist'!$B$2:$B$2000,"yyyy-mm-dd")=TEXT(($B$4+12),"yyyy-mm-dd"))*('Daily Checklist'!$F$2:$F$2000="Done"))&amp;"/"&amp;SUMPRODUCT(('Daily Checklist'!$D$2:$D$2000=$A30)*(TEXT('Daily Checklist'!$B$2:$B$2000,"yyyy-mm-dd")=TEXT(($B$4+12),"yyyy-mm-dd")))&amp;" ESC",SUMPRODUCT(('Daily Checklist'!$D$2:$D$2000=$A30)*(TEXT('Daily Checklist'!$B$2:$B$2000,"yyyy-mm-dd")=TEXT(($B$4+12),"yyyy-mm-dd"))*('Daily Checklist'!$F$2:$F$2000="Done"))&amp;"/"&amp;SUMPRODUCT(('Daily Checklist'!$D$2:$D$2000=$A30)*(TEXT('Daily Checklist'!$B$2:$B$2000,"yyyy-mm-dd")=TEXT(($B$4+12),"yyyy-mm-dd"))))))</f>
        <v/>
      </c>
      <c r="O30" s="25" t="str">
        <f aca="false">IF($A30="","",IF(SUMPRODUCT(('Daily Checklist'!$D$2:$D$2000=$A30)*(TEXT('Daily Checklist'!$B$2:$B$2000,"yyyy-mm-dd")=TEXT(($B$4+13),"yyyy-mm-dd")))=0,"-",IF(SUMPRODUCT(('Daily Checklist'!$D$2:$D$2000=$A30)*(TEXT('Daily Checklist'!$B$2:$B$2000,"yyyy-mm-dd")=TEXT(($B$4+13),"yyyy-mm-dd"))*('Daily Checklist'!$L$2:$L$2000="Y"))&gt;0,SUMPRODUCT(('Daily Checklist'!$D$2:$D$2000=$A30)*(TEXT('Daily Checklist'!$B$2:$B$2000,"yyyy-mm-dd")=TEXT(($B$4+13),"yyyy-mm-dd"))*('Daily Checklist'!$F$2:$F$2000="Done"))&amp;"/"&amp;SUMPRODUCT(('Daily Checklist'!$D$2:$D$2000=$A30)*(TEXT('Daily Checklist'!$B$2:$B$2000,"yyyy-mm-dd")=TEXT(($B$4+13),"yyyy-mm-dd")))&amp;" ESC",SUMPRODUCT(('Daily Checklist'!$D$2:$D$2000=$A30)*(TEXT('Daily Checklist'!$B$2:$B$2000,"yyyy-mm-dd")=TEXT(($B$4+13),"yyyy-mm-dd"))*('Daily Checklist'!$F$2:$F$2000="Done"))&amp;"/"&amp;SUMPRODUCT(('Daily Checklist'!$D$2:$D$2000=$A30)*(TEXT('Daily Checklist'!$B$2:$B$2000,"yyyy-mm-dd")=TEXT(($B$4+13),"yyyy-mm-dd"))))))</f>
        <v/>
      </c>
      <c r="P30" s="25" t="str">
        <f aca="false">IF($A30="","",IF(SUMPRODUCT(('Daily Checklist'!$D$2:$D$2000=$A30)*(TEXT('Daily Checklist'!$B$2:$B$2000,"yyyy-mm-dd")=TEXT(($B$4+14),"yyyy-mm-dd")))=0,"-",IF(SUMPRODUCT(('Daily Checklist'!$D$2:$D$2000=$A30)*(TEXT('Daily Checklist'!$B$2:$B$2000,"yyyy-mm-dd")=TEXT(($B$4+14),"yyyy-mm-dd"))*('Daily Checklist'!$L$2:$L$2000="Y"))&gt;0,SUMPRODUCT(('Daily Checklist'!$D$2:$D$2000=$A30)*(TEXT('Daily Checklist'!$B$2:$B$2000,"yyyy-mm-dd")=TEXT(($B$4+14),"yyyy-mm-dd"))*('Daily Checklist'!$F$2:$F$2000="Done"))&amp;"/"&amp;SUMPRODUCT(('Daily Checklist'!$D$2:$D$2000=$A30)*(TEXT('Daily Checklist'!$B$2:$B$2000,"yyyy-mm-dd")=TEXT(($B$4+14),"yyyy-mm-dd")))&amp;" ESC",SUMPRODUCT(('Daily Checklist'!$D$2:$D$2000=$A30)*(TEXT('Daily Checklist'!$B$2:$B$2000,"yyyy-mm-dd")=TEXT(($B$4+14),"yyyy-mm-dd"))*('Daily Checklist'!$F$2:$F$2000="Done"))&amp;"/"&amp;SUMPRODUCT(('Daily Checklist'!$D$2:$D$2000=$A30)*(TEXT('Daily Checklist'!$B$2:$B$2000,"yyyy-mm-dd")=TEXT(($B$4+14),"yyyy-mm-dd"))))))</f>
        <v/>
      </c>
      <c r="Q30" s="25" t="str">
        <f aca="false">IF($A30="","",IF(SUMPRODUCT(('Daily Checklist'!$D$2:$D$2000=$A30)*(TEXT('Daily Checklist'!$B$2:$B$2000,"yyyy-mm-dd")=TEXT(($B$4+15),"yyyy-mm-dd")))=0,"-",IF(SUMPRODUCT(('Daily Checklist'!$D$2:$D$2000=$A30)*(TEXT('Daily Checklist'!$B$2:$B$2000,"yyyy-mm-dd")=TEXT(($B$4+15),"yyyy-mm-dd"))*('Daily Checklist'!$L$2:$L$2000="Y"))&gt;0,SUMPRODUCT(('Daily Checklist'!$D$2:$D$2000=$A30)*(TEXT('Daily Checklist'!$B$2:$B$2000,"yyyy-mm-dd")=TEXT(($B$4+15),"yyyy-mm-dd"))*('Daily Checklist'!$F$2:$F$2000="Done"))&amp;"/"&amp;SUMPRODUCT(('Daily Checklist'!$D$2:$D$2000=$A30)*(TEXT('Daily Checklist'!$B$2:$B$2000,"yyyy-mm-dd")=TEXT(($B$4+15),"yyyy-mm-dd")))&amp;" ESC",SUMPRODUCT(('Daily Checklist'!$D$2:$D$2000=$A30)*(TEXT('Daily Checklist'!$B$2:$B$2000,"yyyy-mm-dd")=TEXT(($B$4+15),"yyyy-mm-dd"))*('Daily Checklist'!$F$2:$F$2000="Done"))&amp;"/"&amp;SUMPRODUCT(('Daily Checklist'!$D$2:$D$2000=$A30)*(TEXT('Daily Checklist'!$B$2:$B$2000,"yyyy-mm-dd")=TEXT(($B$4+15),"yyyy-mm-dd"))))))</f>
        <v/>
      </c>
      <c r="R30" s="25" t="str">
        <f aca="false">IF($A30="","",IF(SUMPRODUCT(('Daily Checklist'!$D$2:$D$2000=$A30)*(TEXT('Daily Checklist'!$B$2:$B$2000,"yyyy-mm-dd")=TEXT(($B$4+16),"yyyy-mm-dd")))=0,"-",IF(SUMPRODUCT(('Daily Checklist'!$D$2:$D$2000=$A30)*(TEXT('Daily Checklist'!$B$2:$B$2000,"yyyy-mm-dd")=TEXT(($B$4+16),"yyyy-mm-dd"))*('Daily Checklist'!$L$2:$L$2000="Y"))&gt;0,SUMPRODUCT(('Daily Checklist'!$D$2:$D$2000=$A30)*(TEXT('Daily Checklist'!$B$2:$B$2000,"yyyy-mm-dd")=TEXT(($B$4+16),"yyyy-mm-dd"))*('Daily Checklist'!$F$2:$F$2000="Done"))&amp;"/"&amp;SUMPRODUCT(('Daily Checklist'!$D$2:$D$2000=$A30)*(TEXT('Daily Checklist'!$B$2:$B$2000,"yyyy-mm-dd")=TEXT(($B$4+16),"yyyy-mm-dd")))&amp;" ESC",SUMPRODUCT(('Daily Checklist'!$D$2:$D$2000=$A30)*(TEXT('Daily Checklist'!$B$2:$B$2000,"yyyy-mm-dd")=TEXT(($B$4+16),"yyyy-mm-dd"))*('Daily Checklist'!$F$2:$F$2000="Done"))&amp;"/"&amp;SUMPRODUCT(('Daily Checklist'!$D$2:$D$2000=$A30)*(TEXT('Daily Checklist'!$B$2:$B$2000,"yyyy-mm-dd")=TEXT(($B$4+16),"yyyy-mm-dd"))))))</f>
        <v/>
      </c>
      <c r="S30" s="25" t="str">
        <f aca="false">IF($A30="","",IF(SUMPRODUCT(('Daily Checklist'!$D$2:$D$2000=$A30)*(TEXT('Daily Checklist'!$B$2:$B$2000,"yyyy-mm-dd")=TEXT(($B$4+17),"yyyy-mm-dd")))=0,"-",IF(SUMPRODUCT(('Daily Checklist'!$D$2:$D$2000=$A30)*(TEXT('Daily Checklist'!$B$2:$B$2000,"yyyy-mm-dd")=TEXT(($B$4+17),"yyyy-mm-dd"))*('Daily Checklist'!$L$2:$L$2000="Y"))&gt;0,SUMPRODUCT(('Daily Checklist'!$D$2:$D$2000=$A30)*(TEXT('Daily Checklist'!$B$2:$B$2000,"yyyy-mm-dd")=TEXT(($B$4+17),"yyyy-mm-dd"))*('Daily Checklist'!$F$2:$F$2000="Done"))&amp;"/"&amp;SUMPRODUCT(('Daily Checklist'!$D$2:$D$2000=$A30)*(TEXT('Daily Checklist'!$B$2:$B$2000,"yyyy-mm-dd")=TEXT(($B$4+17),"yyyy-mm-dd")))&amp;" ESC",SUMPRODUCT(('Daily Checklist'!$D$2:$D$2000=$A30)*(TEXT('Daily Checklist'!$B$2:$B$2000,"yyyy-mm-dd")=TEXT(($B$4+17),"yyyy-mm-dd"))*('Daily Checklist'!$F$2:$F$2000="Done"))&amp;"/"&amp;SUMPRODUCT(('Daily Checklist'!$D$2:$D$2000=$A30)*(TEXT('Daily Checklist'!$B$2:$B$2000,"yyyy-mm-dd")=TEXT(($B$4+17),"yyyy-mm-dd"))))))</f>
        <v/>
      </c>
      <c r="T30" s="25" t="str">
        <f aca="false">IF($A30="","",IF(SUMPRODUCT(('Daily Checklist'!$D$2:$D$2000=$A30)*(TEXT('Daily Checklist'!$B$2:$B$2000,"yyyy-mm-dd")=TEXT(($B$4+18),"yyyy-mm-dd")))=0,"-",IF(SUMPRODUCT(('Daily Checklist'!$D$2:$D$2000=$A30)*(TEXT('Daily Checklist'!$B$2:$B$2000,"yyyy-mm-dd")=TEXT(($B$4+18),"yyyy-mm-dd"))*('Daily Checklist'!$L$2:$L$2000="Y"))&gt;0,SUMPRODUCT(('Daily Checklist'!$D$2:$D$2000=$A30)*(TEXT('Daily Checklist'!$B$2:$B$2000,"yyyy-mm-dd")=TEXT(($B$4+18),"yyyy-mm-dd"))*('Daily Checklist'!$F$2:$F$2000="Done"))&amp;"/"&amp;SUMPRODUCT(('Daily Checklist'!$D$2:$D$2000=$A30)*(TEXT('Daily Checklist'!$B$2:$B$2000,"yyyy-mm-dd")=TEXT(($B$4+18),"yyyy-mm-dd")))&amp;" ESC",SUMPRODUCT(('Daily Checklist'!$D$2:$D$2000=$A30)*(TEXT('Daily Checklist'!$B$2:$B$2000,"yyyy-mm-dd")=TEXT(($B$4+18),"yyyy-mm-dd"))*('Daily Checklist'!$F$2:$F$2000="Done"))&amp;"/"&amp;SUMPRODUCT(('Daily Checklist'!$D$2:$D$2000=$A30)*(TEXT('Daily Checklist'!$B$2:$B$2000,"yyyy-mm-dd")=TEXT(($B$4+18),"yyyy-mm-dd"))))))</f>
        <v/>
      </c>
      <c r="U30" s="25" t="str">
        <f aca="false">IF($A30="","",IF(SUMPRODUCT(('Daily Checklist'!$D$2:$D$2000=$A30)*(TEXT('Daily Checklist'!$B$2:$B$2000,"yyyy-mm-dd")=TEXT(($B$4+19),"yyyy-mm-dd")))=0,"-",IF(SUMPRODUCT(('Daily Checklist'!$D$2:$D$2000=$A30)*(TEXT('Daily Checklist'!$B$2:$B$2000,"yyyy-mm-dd")=TEXT(($B$4+19),"yyyy-mm-dd"))*('Daily Checklist'!$L$2:$L$2000="Y"))&gt;0,SUMPRODUCT(('Daily Checklist'!$D$2:$D$2000=$A30)*(TEXT('Daily Checklist'!$B$2:$B$2000,"yyyy-mm-dd")=TEXT(($B$4+19),"yyyy-mm-dd"))*('Daily Checklist'!$F$2:$F$2000="Done"))&amp;"/"&amp;SUMPRODUCT(('Daily Checklist'!$D$2:$D$2000=$A30)*(TEXT('Daily Checklist'!$B$2:$B$2000,"yyyy-mm-dd")=TEXT(($B$4+19),"yyyy-mm-dd")))&amp;" ESC",SUMPRODUCT(('Daily Checklist'!$D$2:$D$2000=$A30)*(TEXT('Daily Checklist'!$B$2:$B$2000,"yyyy-mm-dd")=TEXT(($B$4+19),"yyyy-mm-dd"))*('Daily Checklist'!$F$2:$F$2000="Done"))&amp;"/"&amp;SUMPRODUCT(('Daily Checklist'!$D$2:$D$2000=$A30)*(TEXT('Daily Checklist'!$B$2:$B$2000,"yyyy-mm-dd")=TEXT(($B$4+19),"yyyy-mm-dd"))))))</f>
        <v/>
      </c>
      <c r="V30" s="25" t="str">
        <f aca="false">IF($A30="","",IF(SUMPRODUCT(('Daily Checklist'!$D$2:$D$2000=$A30)*(TEXT('Daily Checklist'!$B$2:$B$2000,"yyyy-mm-dd")=TEXT(($B$4+20),"yyyy-mm-dd")))=0,"-",IF(SUMPRODUCT(('Daily Checklist'!$D$2:$D$2000=$A30)*(TEXT('Daily Checklist'!$B$2:$B$2000,"yyyy-mm-dd")=TEXT(($B$4+20),"yyyy-mm-dd"))*('Daily Checklist'!$L$2:$L$2000="Y"))&gt;0,SUMPRODUCT(('Daily Checklist'!$D$2:$D$2000=$A30)*(TEXT('Daily Checklist'!$B$2:$B$2000,"yyyy-mm-dd")=TEXT(($B$4+20),"yyyy-mm-dd"))*('Daily Checklist'!$F$2:$F$2000="Done"))&amp;"/"&amp;SUMPRODUCT(('Daily Checklist'!$D$2:$D$2000=$A30)*(TEXT('Daily Checklist'!$B$2:$B$2000,"yyyy-mm-dd")=TEXT(($B$4+20),"yyyy-mm-dd")))&amp;" ESC",SUMPRODUCT(('Daily Checklist'!$D$2:$D$2000=$A30)*(TEXT('Daily Checklist'!$B$2:$B$2000,"yyyy-mm-dd")=TEXT(($B$4+20),"yyyy-mm-dd"))*('Daily Checklist'!$F$2:$F$2000="Done"))&amp;"/"&amp;SUMPRODUCT(('Daily Checklist'!$D$2:$D$2000=$A30)*(TEXT('Daily Checklist'!$B$2:$B$2000,"yyyy-mm-dd")=TEXT(($B$4+20),"yyyy-mm-dd"))))))</f>
        <v/>
      </c>
      <c r="W30" s="25" t="str">
        <f aca="false">IF($A30="","",IF(SUMPRODUCT(('Daily Checklist'!$D$2:$D$2000=$A30)*(TEXT('Daily Checklist'!$B$2:$B$2000,"yyyy-mm-dd")=TEXT(($B$4+21),"yyyy-mm-dd")))=0,"-",IF(SUMPRODUCT(('Daily Checklist'!$D$2:$D$2000=$A30)*(TEXT('Daily Checklist'!$B$2:$B$2000,"yyyy-mm-dd")=TEXT(($B$4+21),"yyyy-mm-dd"))*('Daily Checklist'!$L$2:$L$2000="Y"))&gt;0,SUMPRODUCT(('Daily Checklist'!$D$2:$D$2000=$A30)*(TEXT('Daily Checklist'!$B$2:$B$2000,"yyyy-mm-dd")=TEXT(($B$4+21),"yyyy-mm-dd"))*('Daily Checklist'!$F$2:$F$2000="Done"))&amp;"/"&amp;SUMPRODUCT(('Daily Checklist'!$D$2:$D$2000=$A30)*(TEXT('Daily Checklist'!$B$2:$B$2000,"yyyy-mm-dd")=TEXT(($B$4+21),"yyyy-mm-dd")))&amp;" ESC",SUMPRODUCT(('Daily Checklist'!$D$2:$D$2000=$A30)*(TEXT('Daily Checklist'!$B$2:$B$2000,"yyyy-mm-dd")=TEXT(($B$4+21),"yyyy-mm-dd"))*('Daily Checklist'!$F$2:$F$2000="Done"))&amp;"/"&amp;SUMPRODUCT(('Daily Checklist'!$D$2:$D$2000=$A30)*(TEXT('Daily Checklist'!$B$2:$B$2000,"yyyy-mm-dd")=TEXT(($B$4+21),"yyyy-mm-dd"))))))</f>
        <v/>
      </c>
      <c r="X30" s="25" t="str">
        <f aca="false">IF($A30="","",IF(SUMPRODUCT(('Daily Checklist'!$D$2:$D$2000=$A30)*(TEXT('Daily Checklist'!$B$2:$B$2000,"yyyy-mm-dd")=TEXT(($B$4+22),"yyyy-mm-dd")))=0,"-",IF(SUMPRODUCT(('Daily Checklist'!$D$2:$D$2000=$A30)*(TEXT('Daily Checklist'!$B$2:$B$2000,"yyyy-mm-dd")=TEXT(($B$4+22),"yyyy-mm-dd"))*('Daily Checklist'!$L$2:$L$2000="Y"))&gt;0,SUMPRODUCT(('Daily Checklist'!$D$2:$D$2000=$A30)*(TEXT('Daily Checklist'!$B$2:$B$2000,"yyyy-mm-dd")=TEXT(($B$4+22),"yyyy-mm-dd"))*('Daily Checklist'!$F$2:$F$2000="Done"))&amp;"/"&amp;SUMPRODUCT(('Daily Checklist'!$D$2:$D$2000=$A30)*(TEXT('Daily Checklist'!$B$2:$B$2000,"yyyy-mm-dd")=TEXT(($B$4+22),"yyyy-mm-dd")))&amp;" ESC",SUMPRODUCT(('Daily Checklist'!$D$2:$D$2000=$A30)*(TEXT('Daily Checklist'!$B$2:$B$2000,"yyyy-mm-dd")=TEXT(($B$4+22),"yyyy-mm-dd"))*('Daily Checklist'!$F$2:$F$2000="Done"))&amp;"/"&amp;SUMPRODUCT(('Daily Checklist'!$D$2:$D$2000=$A30)*(TEXT('Daily Checklist'!$B$2:$B$2000,"yyyy-mm-dd")=TEXT(($B$4+22),"yyyy-mm-dd"))))))</f>
        <v/>
      </c>
      <c r="Y30" s="25" t="str">
        <f aca="false">IF($A30="","",IF(SUMPRODUCT(('Daily Checklist'!$D$2:$D$2000=$A30)*(TEXT('Daily Checklist'!$B$2:$B$2000,"yyyy-mm-dd")=TEXT(($B$4+23),"yyyy-mm-dd")))=0,"-",IF(SUMPRODUCT(('Daily Checklist'!$D$2:$D$2000=$A30)*(TEXT('Daily Checklist'!$B$2:$B$2000,"yyyy-mm-dd")=TEXT(($B$4+23),"yyyy-mm-dd"))*('Daily Checklist'!$L$2:$L$2000="Y"))&gt;0,SUMPRODUCT(('Daily Checklist'!$D$2:$D$2000=$A30)*(TEXT('Daily Checklist'!$B$2:$B$2000,"yyyy-mm-dd")=TEXT(($B$4+23),"yyyy-mm-dd"))*('Daily Checklist'!$F$2:$F$2000="Done"))&amp;"/"&amp;SUMPRODUCT(('Daily Checklist'!$D$2:$D$2000=$A30)*(TEXT('Daily Checklist'!$B$2:$B$2000,"yyyy-mm-dd")=TEXT(($B$4+23),"yyyy-mm-dd")))&amp;" ESC",SUMPRODUCT(('Daily Checklist'!$D$2:$D$2000=$A30)*(TEXT('Daily Checklist'!$B$2:$B$2000,"yyyy-mm-dd")=TEXT(($B$4+23),"yyyy-mm-dd"))*('Daily Checklist'!$F$2:$F$2000="Done"))&amp;"/"&amp;SUMPRODUCT(('Daily Checklist'!$D$2:$D$2000=$A30)*(TEXT('Daily Checklist'!$B$2:$B$2000,"yyyy-mm-dd")=TEXT(($B$4+23),"yyyy-mm-dd"))))))</f>
        <v/>
      </c>
      <c r="Z30" s="25" t="str">
        <f aca="false">IF($A30="","",IF(SUMPRODUCT(('Daily Checklist'!$D$2:$D$2000=$A30)*(TEXT('Daily Checklist'!$B$2:$B$2000,"yyyy-mm-dd")=TEXT(($B$4+24),"yyyy-mm-dd")))=0,"-",IF(SUMPRODUCT(('Daily Checklist'!$D$2:$D$2000=$A30)*(TEXT('Daily Checklist'!$B$2:$B$2000,"yyyy-mm-dd")=TEXT(($B$4+24),"yyyy-mm-dd"))*('Daily Checklist'!$L$2:$L$2000="Y"))&gt;0,SUMPRODUCT(('Daily Checklist'!$D$2:$D$2000=$A30)*(TEXT('Daily Checklist'!$B$2:$B$2000,"yyyy-mm-dd")=TEXT(($B$4+24),"yyyy-mm-dd"))*('Daily Checklist'!$F$2:$F$2000="Done"))&amp;"/"&amp;SUMPRODUCT(('Daily Checklist'!$D$2:$D$2000=$A30)*(TEXT('Daily Checklist'!$B$2:$B$2000,"yyyy-mm-dd")=TEXT(($B$4+24),"yyyy-mm-dd")))&amp;" ESC",SUMPRODUCT(('Daily Checklist'!$D$2:$D$2000=$A30)*(TEXT('Daily Checklist'!$B$2:$B$2000,"yyyy-mm-dd")=TEXT(($B$4+24),"yyyy-mm-dd"))*('Daily Checklist'!$F$2:$F$2000="Done"))&amp;"/"&amp;SUMPRODUCT(('Daily Checklist'!$D$2:$D$2000=$A30)*(TEXT('Daily Checklist'!$B$2:$B$2000,"yyyy-mm-dd")=TEXT(($B$4+24),"yyyy-mm-dd"))))))</f>
        <v/>
      </c>
      <c r="AA30" s="25" t="str">
        <f aca="false">IF($A30="","",IF(SUMPRODUCT(('Daily Checklist'!$D$2:$D$2000=$A30)*(TEXT('Daily Checklist'!$B$2:$B$2000,"yyyy-mm-dd")=TEXT(($B$4+25),"yyyy-mm-dd")))=0,"-",IF(SUMPRODUCT(('Daily Checklist'!$D$2:$D$2000=$A30)*(TEXT('Daily Checklist'!$B$2:$B$2000,"yyyy-mm-dd")=TEXT(($B$4+25),"yyyy-mm-dd"))*('Daily Checklist'!$L$2:$L$2000="Y"))&gt;0,SUMPRODUCT(('Daily Checklist'!$D$2:$D$2000=$A30)*(TEXT('Daily Checklist'!$B$2:$B$2000,"yyyy-mm-dd")=TEXT(($B$4+25),"yyyy-mm-dd"))*('Daily Checklist'!$F$2:$F$2000="Done"))&amp;"/"&amp;SUMPRODUCT(('Daily Checklist'!$D$2:$D$2000=$A30)*(TEXT('Daily Checklist'!$B$2:$B$2000,"yyyy-mm-dd")=TEXT(($B$4+25),"yyyy-mm-dd")))&amp;" ESC",SUMPRODUCT(('Daily Checklist'!$D$2:$D$2000=$A30)*(TEXT('Daily Checklist'!$B$2:$B$2000,"yyyy-mm-dd")=TEXT(($B$4+25),"yyyy-mm-dd"))*('Daily Checklist'!$F$2:$F$2000="Done"))&amp;"/"&amp;SUMPRODUCT(('Daily Checklist'!$D$2:$D$2000=$A30)*(TEXT('Daily Checklist'!$B$2:$B$2000,"yyyy-mm-dd")=TEXT(($B$4+25),"yyyy-mm-dd"))))))</f>
        <v/>
      </c>
      <c r="AB30" s="25" t="str">
        <f aca="false">IF($A30="","",IF(SUMPRODUCT(('Daily Checklist'!$D$2:$D$2000=$A30)*(TEXT('Daily Checklist'!$B$2:$B$2000,"yyyy-mm-dd")=TEXT(($B$4+26),"yyyy-mm-dd")))=0,"-",IF(SUMPRODUCT(('Daily Checklist'!$D$2:$D$2000=$A30)*(TEXT('Daily Checklist'!$B$2:$B$2000,"yyyy-mm-dd")=TEXT(($B$4+26),"yyyy-mm-dd"))*('Daily Checklist'!$L$2:$L$2000="Y"))&gt;0,SUMPRODUCT(('Daily Checklist'!$D$2:$D$2000=$A30)*(TEXT('Daily Checklist'!$B$2:$B$2000,"yyyy-mm-dd")=TEXT(($B$4+26),"yyyy-mm-dd"))*('Daily Checklist'!$F$2:$F$2000="Done"))&amp;"/"&amp;SUMPRODUCT(('Daily Checklist'!$D$2:$D$2000=$A30)*(TEXT('Daily Checklist'!$B$2:$B$2000,"yyyy-mm-dd")=TEXT(($B$4+26),"yyyy-mm-dd")))&amp;" ESC",SUMPRODUCT(('Daily Checklist'!$D$2:$D$2000=$A30)*(TEXT('Daily Checklist'!$B$2:$B$2000,"yyyy-mm-dd")=TEXT(($B$4+26),"yyyy-mm-dd"))*('Daily Checklist'!$F$2:$F$2000="Done"))&amp;"/"&amp;SUMPRODUCT(('Daily Checklist'!$D$2:$D$2000=$A30)*(TEXT('Daily Checklist'!$B$2:$B$2000,"yyyy-mm-dd")=TEXT(($B$4+26),"yyyy-mm-dd"))))))</f>
        <v/>
      </c>
      <c r="AC30" s="25" t="str">
        <f aca="false">IF($A30="","",IF(SUMPRODUCT(('Daily Checklist'!$D$2:$D$2000=$A30)*(TEXT('Daily Checklist'!$B$2:$B$2000,"yyyy-mm-dd")=TEXT(($B$4+27),"yyyy-mm-dd")))=0,"-",IF(SUMPRODUCT(('Daily Checklist'!$D$2:$D$2000=$A30)*(TEXT('Daily Checklist'!$B$2:$B$2000,"yyyy-mm-dd")=TEXT(($B$4+27),"yyyy-mm-dd"))*('Daily Checklist'!$L$2:$L$2000="Y"))&gt;0,SUMPRODUCT(('Daily Checklist'!$D$2:$D$2000=$A30)*(TEXT('Daily Checklist'!$B$2:$B$2000,"yyyy-mm-dd")=TEXT(($B$4+27),"yyyy-mm-dd"))*('Daily Checklist'!$F$2:$F$2000="Done"))&amp;"/"&amp;SUMPRODUCT(('Daily Checklist'!$D$2:$D$2000=$A30)*(TEXT('Daily Checklist'!$B$2:$B$2000,"yyyy-mm-dd")=TEXT(($B$4+27),"yyyy-mm-dd")))&amp;" ESC",SUMPRODUCT(('Daily Checklist'!$D$2:$D$2000=$A30)*(TEXT('Daily Checklist'!$B$2:$B$2000,"yyyy-mm-dd")=TEXT(($B$4+27),"yyyy-mm-dd"))*('Daily Checklist'!$F$2:$F$2000="Done"))&amp;"/"&amp;SUMPRODUCT(('Daily Checklist'!$D$2:$D$2000=$A30)*(TEXT('Daily Checklist'!$B$2:$B$2000,"yyyy-mm-dd")=TEXT(($B$4+27),"yyyy-mm-dd"))))))</f>
        <v/>
      </c>
      <c r="AD30" s="25" t="str">
        <f aca="false">IF($A30="","",IF(SUMPRODUCT(('Daily Checklist'!$D$2:$D$2000=$A30)*(TEXT('Daily Checklist'!$B$2:$B$2000,"yyyy-mm-dd")=TEXT(($B$4+28),"yyyy-mm-dd")))=0,"-",IF(SUMPRODUCT(('Daily Checklist'!$D$2:$D$2000=$A30)*(TEXT('Daily Checklist'!$B$2:$B$2000,"yyyy-mm-dd")=TEXT(($B$4+28),"yyyy-mm-dd"))*('Daily Checklist'!$L$2:$L$2000="Y"))&gt;0,SUMPRODUCT(('Daily Checklist'!$D$2:$D$2000=$A30)*(TEXT('Daily Checklist'!$B$2:$B$2000,"yyyy-mm-dd")=TEXT(($B$4+28),"yyyy-mm-dd"))*('Daily Checklist'!$F$2:$F$2000="Done"))&amp;"/"&amp;SUMPRODUCT(('Daily Checklist'!$D$2:$D$2000=$A30)*(TEXT('Daily Checklist'!$B$2:$B$2000,"yyyy-mm-dd")=TEXT(($B$4+28),"yyyy-mm-dd")))&amp;" ESC",SUMPRODUCT(('Daily Checklist'!$D$2:$D$2000=$A30)*(TEXT('Daily Checklist'!$B$2:$B$2000,"yyyy-mm-dd")=TEXT(($B$4+28),"yyyy-mm-dd"))*('Daily Checklist'!$F$2:$F$2000="Done"))&amp;"/"&amp;SUMPRODUCT(('Daily Checklist'!$D$2:$D$2000=$A30)*(TEXT('Daily Checklist'!$B$2:$B$2000,"yyyy-mm-dd")=TEXT(($B$4+28),"yyyy-mm-dd"))))))</f>
        <v/>
      </c>
      <c r="AE30" s="25" t="str">
        <f aca="false">IF($A30="","",IF(SUMPRODUCT(('Daily Checklist'!$D$2:$D$2000=$A30)*(TEXT('Daily Checklist'!$B$2:$B$2000,"yyyy-mm-dd")=TEXT(($B$4+29),"yyyy-mm-dd")))=0,"-",IF(SUMPRODUCT(('Daily Checklist'!$D$2:$D$2000=$A30)*(TEXT('Daily Checklist'!$B$2:$B$2000,"yyyy-mm-dd")=TEXT(($B$4+29),"yyyy-mm-dd"))*('Daily Checklist'!$L$2:$L$2000="Y"))&gt;0,SUMPRODUCT(('Daily Checklist'!$D$2:$D$2000=$A30)*(TEXT('Daily Checklist'!$B$2:$B$2000,"yyyy-mm-dd")=TEXT(($B$4+29),"yyyy-mm-dd"))*('Daily Checklist'!$F$2:$F$2000="Done"))&amp;"/"&amp;SUMPRODUCT(('Daily Checklist'!$D$2:$D$2000=$A30)*(TEXT('Daily Checklist'!$B$2:$B$2000,"yyyy-mm-dd")=TEXT(($B$4+29),"yyyy-mm-dd")))&amp;" ESC",SUMPRODUCT(('Daily Checklist'!$D$2:$D$2000=$A30)*(TEXT('Daily Checklist'!$B$2:$B$2000,"yyyy-mm-dd")=TEXT(($B$4+29),"yyyy-mm-dd"))*('Daily Checklist'!$F$2:$F$2000="Done"))&amp;"/"&amp;SUMPRODUCT(('Daily Checklist'!$D$2:$D$2000=$A30)*(TEXT('Daily Checklist'!$B$2:$B$2000,"yyyy-mm-dd")=TEXT(($B$4+29),"yyyy-mm-dd"))))))</f>
        <v/>
      </c>
      <c r="AF30" s="25" t="str">
        <f aca="false">IF($A30="","",IF(SUMPRODUCT(('Daily Checklist'!$D$2:$D$2000=$A30)*(TEXT('Daily Checklist'!$B$2:$B$2000,"yyyy-mm-dd")=TEXT(($B$4+30),"yyyy-mm-dd")))=0,"-",IF(SUMPRODUCT(('Daily Checklist'!$D$2:$D$2000=$A30)*(TEXT('Daily Checklist'!$B$2:$B$2000,"yyyy-mm-dd")=TEXT(($B$4+30),"yyyy-mm-dd"))*('Daily Checklist'!$L$2:$L$2000="Y"))&gt;0,SUMPRODUCT(('Daily Checklist'!$D$2:$D$2000=$A30)*(TEXT('Daily Checklist'!$B$2:$B$2000,"yyyy-mm-dd")=TEXT(($B$4+30),"yyyy-mm-dd"))*('Daily Checklist'!$F$2:$F$2000="Done"))&amp;"/"&amp;SUMPRODUCT(('Daily Checklist'!$D$2:$D$2000=$A30)*(TEXT('Daily Checklist'!$B$2:$B$2000,"yyyy-mm-dd")=TEXT(($B$4+30),"yyyy-mm-dd")))&amp;" ESC",SUMPRODUCT(('Daily Checklist'!$D$2:$D$2000=$A30)*(TEXT('Daily Checklist'!$B$2:$B$2000,"yyyy-mm-dd")=TEXT(($B$4+30),"yyyy-mm-dd"))*('Daily Checklist'!$F$2:$F$2000="Done"))&amp;"/"&amp;SUMPRODUCT(('Daily Checklist'!$D$2:$D$2000=$A30)*(TEXT('Daily Checklist'!$B$2:$B$2000,"yyyy-mm-dd")=TEXT(($B$4+30),"yyyy-mm-dd"))))))</f>
        <v/>
      </c>
    </row>
    <row r="31" customFormat="false" ht="15" hidden="false" customHeight="true" outlineLevel="0" collapsed="false">
      <c r="A31" s="24" t="str">
        <f aca="false">IFERROR(IF(Employees!A26="","",Employees!A26),"")</f>
        <v/>
      </c>
      <c r="B31" s="25" t="str">
        <f aca="false">IF($A31="","",IF(SUMPRODUCT(('Daily Checklist'!$D$2:$D$2000=$A31)*(TEXT('Daily Checklist'!$B$2:$B$2000,"yyyy-mm-dd")=TEXT(($B$4+0),"yyyy-mm-dd")))=0,"-",IF(SUMPRODUCT(('Daily Checklist'!$D$2:$D$2000=$A31)*(TEXT('Daily Checklist'!$B$2:$B$2000,"yyyy-mm-dd")=TEXT(($B$4+0),"yyyy-mm-dd"))*('Daily Checklist'!$L$2:$L$2000="Y"))&gt;0,SUMPRODUCT(('Daily Checklist'!$D$2:$D$2000=$A31)*(TEXT('Daily Checklist'!$B$2:$B$2000,"yyyy-mm-dd")=TEXT(($B$4+0),"yyyy-mm-dd"))*('Daily Checklist'!$F$2:$F$2000="Done"))&amp;"/"&amp;SUMPRODUCT(('Daily Checklist'!$D$2:$D$2000=$A31)*(TEXT('Daily Checklist'!$B$2:$B$2000,"yyyy-mm-dd")=TEXT(($B$4+0),"yyyy-mm-dd")))&amp;" ESC",SUMPRODUCT(('Daily Checklist'!$D$2:$D$2000=$A31)*(TEXT('Daily Checklist'!$B$2:$B$2000,"yyyy-mm-dd")=TEXT(($B$4+0),"yyyy-mm-dd"))*('Daily Checklist'!$F$2:$F$2000="Done"))&amp;"/"&amp;SUMPRODUCT(('Daily Checklist'!$D$2:$D$2000=$A31)*(TEXT('Daily Checklist'!$B$2:$B$2000,"yyyy-mm-dd")=TEXT(($B$4+0),"yyyy-mm-dd"))))))</f>
        <v/>
      </c>
      <c r="C31" s="25" t="str">
        <f aca="false">IF($A31="","",IF(SUMPRODUCT(('Daily Checklist'!$D$2:$D$2000=$A31)*(TEXT('Daily Checklist'!$B$2:$B$2000,"yyyy-mm-dd")=TEXT(($B$4+1),"yyyy-mm-dd")))=0,"-",IF(SUMPRODUCT(('Daily Checklist'!$D$2:$D$2000=$A31)*(TEXT('Daily Checklist'!$B$2:$B$2000,"yyyy-mm-dd")=TEXT(($B$4+1),"yyyy-mm-dd"))*('Daily Checklist'!$L$2:$L$2000="Y"))&gt;0,SUMPRODUCT(('Daily Checklist'!$D$2:$D$2000=$A31)*(TEXT('Daily Checklist'!$B$2:$B$2000,"yyyy-mm-dd")=TEXT(($B$4+1),"yyyy-mm-dd"))*('Daily Checklist'!$F$2:$F$2000="Done"))&amp;"/"&amp;SUMPRODUCT(('Daily Checklist'!$D$2:$D$2000=$A31)*(TEXT('Daily Checklist'!$B$2:$B$2000,"yyyy-mm-dd")=TEXT(($B$4+1),"yyyy-mm-dd")))&amp;" ESC",SUMPRODUCT(('Daily Checklist'!$D$2:$D$2000=$A31)*(TEXT('Daily Checklist'!$B$2:$B$2000,"yyyy-mm-dd")=TEXT(($B$4+1),"yyyy-mm-dd"))*('Daily Checklist'!$F$2:$F$2000="Done"))&amp;"/"&amp;SUMPRODUCT(('Daily Checklist'!$D$2:$D$2000=$A31)*(TEXT('Daily Checklist'!$B$2:$B$2000,"yyyy-mm-dd")=TEXT(($B$4+1),"yyyy-mm-dd"))))))</f>
        <v/>
      </c>
      <c r="D31" s="25" t="str">
        <f aca="false">IF($A31="","",IF(SUMPRODUCT(('Daily Checklist'!$D$2:$D$2000=$A31)*(TEXT('Daily Checklist'!$B$2:$B$2000,"yyyy-mm-dd")=TEXT(($B$4+2),"yyyy-mm-dd")))=0,"-",IF(SUMPRODUCT(('Daily Checklist'!$D$2:$D$2000=$A31)*(TEXT('Daily Checklist'!$B$2:$B$2000,"yyyy-mm-dd")=TEXT(($B$4+2),"yyyy-mm-dd"))*('Daily Checklist'!$L$2:$L$2000="Y"))&gt;0,SUMPRODUCT(('Daily Checklist'!$D$2:$D$2000=$A31)*(TEXT('Daily Checklist'!$B$2:$B$2000,"yyyy-mm-dd")=TEXT(($B$4+2),"yyyy-mm-dd"))*('Daily Checklist'!$F$2:$F$2000="Done"))&amp;"/"&amp;SUMPRODUCT(('Daily Checklist'!$D$2:$D$2000=$A31)*(TEXT('Daily Checklist'!$B$2:$B$2000,"yyyy-mm-dd")=TEXT(($B$4+2),"yyyy-mm-dd")))&amp;" ESC",SUMPRODUCT(('Daily Checklist'!$D$2:$D$2000=$A31)*(TEXT('Daily Checklist'!$B$2:$B$2000,"yyyy-mm-dd")=TEXT(($B$4+2),"yyyy-mm-dd"))*('Daily Checklist'!$F$2:$F$2000="Done"))&amp;"/"&amp;SUMPRODUCT(('Daily Checklist'!$D$2:$D$2000=$A31)*(TEXT('Daily Checklist'!$B$2:$B$2000,"yyyy-mm-dd")=TEXT(($B$4+2),"yyyy-mm-dd"))))))</f>
        <v/>
      </c>
      <c r="E31" s="25" t="str">
        <f aca="false">IF($A31="","",IF(SUMPRODUCT(('Daily Checklist'!$D$2:$D$2000=$A31)*(TEXT('Daily Checklist'!$B$2:$B$2000,"yyyy-mm-dd")=TEXT(($B$4+3),"yyyy-mm-dd")))=0,"-",IF(SUMPRODUCT(('Daily Checklist'!$D$2:$D$2000=$A31)*(TEXT('Daily Checklist'!$B$2:$B$2000,"yyyy-mm-dd")=TEXT(($B$4+3),"yyyy-mm-dd"))*('Daily Checklist'!$L$2:$L$2000="Y"))&gt;0,SUMPRODUCT(('Daily Checklist'!$D$2:$D$2000=$A31)*(TEXT('Daily Checklist'!$B$2:$B$2000,"yyyy-mm-dd")=TEXT(($B$4+3),"yyyy-mm-dd"))*('Daily Checklist'!$F$2:$F$2000="Done"))&amp;"/"&amp;SUMPRODUCT(('Daily Checklist'!$D$2:$D$2000=$A31)*(TEXT('Daily Checklist'!$B$2:$B$2000,"yyyy-mm-dd")=TEXT(($B$4+3),"yyyy-mm-dd")))&amp;" ESC",SUMPRODUCT(('Daily Checklist'!$D$2:$D$2000=$A31)*(TEXT('Daily Checklist'!$B$2:$B$2000,"yyyy-mm-dd")=TEXT(($B$4+3),"yyyy-mm-dd"))*('Daily Checklist'!$F$2:$F$2000="Done"))&amp;"/"&amp;SUMPRODUCT(('Daily Checklist'!$D$2:$D$2000=$A31)*(TEXT('Daily Checklist'!$B$2:$B$2000,"yyyy-mm-dd")=TEXT(($B$4+3),"yyyy-mm-dd"))))))</f>
        <v/>
      </c>
      <c r="F31" s="25" t="str">
        <f aca="false">IF($A31="","",IF(SUMPRODUCT(('Daily Checklist'!$D$2:$D$2000=$A31)*(TEXT('Daily Checklist'!$B$2:$B$2000,"yyyy-mm-dd")=TEXT(($B$4+4),"yyyy-mm-dd")))=0,"-",IF(SUMPRODUCT(('Daily Checklist'!$D$2:$D$2000=$A31)*(TEXT('Daily Checklist'!$B$2:$B$2000,"yyyy-mm-dd")=TEXT(($B$4+4),"yyyy-mm-dd"))*('Daily Checklist'!$L$2:$L$2000="Y"))&gt;0,SUMPRODUCT(('Daily Checklist'!$D$2:$D$2000=$A31)*(TEXT('Daily Checklist'!$B$2:$B$2000,"yyyy-mm-dd")=TEXT(($B$4+4),"yyyy-mm-dd"))*('Daily Checklist'!$F$2:$F$2000="Done"))&amp;"/"&amp;SUMPRODUCT(('Daily Checklist'!$D$2:$D$2000=$A31)*(TEXT('Daily Checklist'!$B$2:$B$2000,"yyyy-mm-dd")=TEXT(($B$4+4),"yyyy-mm-dd")))&amp;" ESC",SUMPRODUCT(('Daily Checklist'!$D$2:$D$2000=$A31)*(TEXT('Daily Checklist'!$B$2:$B$2000,"yyyy-mm-dd")=TEXT(($B$4+4),"yyyy-mm-dd"))*('Daily Checklist'!$F$2:$F$2000="Done"))&amp;"/"&amp;SUMPRODUCT(('Daily Checklist'!$D$2:$D$2000=$A31)*(TEXT('Daily Checklist'!$B$2:$B$2000,"yyyy-mm-dd")=TEXT(($B$4+4),"yyyy-mm-dd"))))))</f>
        <v/>
      </c>
      <c r="G31" s="25" t="str">
        <f aca="false">IF($A31="","",IF(SUMPRODUCT(('Daily Checklist'!$D$2:$D$2000=$A31)*(TEXT('Daily Checklist'!$B$2:$B$2000,"yyyy-mm-dd")=TEXT(($B$4+5),"yyyy-mm-dd")))=0,"-",IF(SUMPRODUCT(('Daily Checklist'!$D$2:$D$2000=$A31)*(TEXT('Daily Checklist'!$B$2:$B$2000,"yyyy-mm-dd")=TEXT(($B$4+5),"yyyy-mm-dd"))*('Daily Checklist'!$L$2:$L$2000="Y"))&gt;0,SUMPRODUCT(('Daily Checklist'!$D$2:$D$2000=$A31)*(TEXT('Daily Checklist'!$B$2:$B$2000,"yyyy-mm-dd")=TEXT(($B$4+5),"yyyy-mm-dd"))*('Daily Checklist'!$F$2:$F$2000="Done"))&amp;"/"&amp;SUMPRODUCT(('Daily Checklist'!$D$2:$D$2000=$A31)*(TEXT('Daily Checklist'!$B$2:$B$2000,"yyyy-mm-dd")=TEXT(($B$4+5),"yyyy-mm-dd")))&amp;" ESC",SUMPRODUCT(('Daily Checklist'!$D$2:$D$2000=$A31)*(TEXT('Daily Checklist'!$B$2:$B$2000,"yyyy-mm-dd")=TEXT(($B$4+5),"yyyy-mm-dd"))*('Daily Checklist'!$F$2:$F$2000="Done"))&amp;"/"&amp;SUMPRODUCT(('Daily Checklist'!$D$2:$D$2000=$A31)*(TEXT('Daily Checklist'!$B$2:$B$2000,"yyyy-mm-dd")=TEXT(($B$4+5),"yyyy-mm-dd"))))))</f>
        <v/>
      </c>
      <c r="H31" s="25" t="str">
        <f aca="false">IF($A31="","",IF(SUMPRODUCT(('Daily Checklist'!$D$2:$D$2000=$A31)*(TEXT('Daily Checklist'!$B$2:$B$2000,"yyyy-mm-dd")=TEXT(($B$4+6),"yyyy-mm-dd")))=0,"-",IF(SUMPRODUCT(('Daily Checklist'!$D$2:$D$2000=$A31)*(TEXT('Daily Checklist'!$B$2:$B$2000,"yyyy-mm-dd")=TEXT(($B$4+6),"yyyy-mm-dd"))*('Daily Checklist'!$L$2:$L$2000="Y"))&gt;0,SUMPRODUCT(('Daily Checklist'!$D$2:$D$2000=$A31)*(TEXT('Daily Checklist'!$B$2:$B$2000,"yyyy-mm-dd")=TEXT(($B$4+6),"yyyy-mm-dd"))*('Daily Checklist'!$F$2:$F$2000="Done"))&amp;"/"&amp;SUMPRODUCT(('Daily Checklist'!$D$2:$D$2000=$A31)*(TEXT('Daily Checklist'!$B$2:$B$2000,"yyyy-mm-dd")=TEXT(($B$4+6),"yyyy-mm-dd")))&amp;" ESC",SUMPRODUCT(('Daily Checklist'!$D$2:$D$2000=$A31)*(TEXT('Daily Checklist'!$B$2:$B$2000,"yyyy-mm-dd")=TEXT(($B$4+6),"yyyy-mm-dd"))*('Daily Checklist'!$F$2:$F$2000="Done"))&amp;"/"&amp;SUMPRODUCT(('Daily Checklist'!$D$2:$D$2000=$A31)*(TEXT('Daily Checklist'!$B$2:$B$2000,"yyyy-mm-dd")=TEXT(($B$4+6),"yyyy-mm-dd"))))))</f>
        <v/>
      </c>
      <c r="I31" s="25" t="str">
        <f aca="false">IF($A31="","",IF(SUMPRODUCT(('Daily Checklist'!$D$2:$D$2000=$A31)*(TEXT('Daily Checklist'!$B$2:$B$2000,"yyyy-mm-dd")=TEXT(($B$4+7),"yyyy-mm-dd")))=0,"-",IF(SUMPRODUCT(('Daily Checklist'!$D$2:$D$2000=$A31)*(TEXT('Daily Checklist'!$B$2:$B$2000,"yyyy-mm-dd")=TEXT(($B$4+7),"yyyy-mm-dd"))*('Daily Checklist'!$L$2:$L$2000="Y"))&gt;0,SUMPRODUCT(('Daily Checklist'!$D$2:$D$2000=$A31)*(TEXT('Daily Checklist'!$B$2:$B$2000,"yyyy-mm-dd")=TEXT(($B$4+7),"yyyy-mm-dd"))*('Daily Checklist'!$F$2:$F$2000="Done"))&amp;"/"&amp;SUMPRODUCT(('Daily Checklist'!$D$2:$D$2000=$A31)*(TEXT('Daily Checklist'!$B$2:$B$2000,"yyyy-mm-dd")=TEXT(($B$4+7),"yyyy-mm-dd")))&amp;" ESC",SUMPRODUCT(('Daily Checklist'!$D$2:$D$2000=$A31)*(TEXT('Daily Checklist'!$B$2:$B$2000,"yyyy-mm-dd")=TEXT(($B$4+7),"yyyy-mm-dd"))*('Daily Checklist'!$F$2:$F$2000="Done"))&amp;"/"&amp;SUMPRODUCT(('Daily Checklist'!$D$2:$D$2000=$A31)*(TEXT('Daily Checklist'!$B$2:$B$2000,"yyyy-mm-dd")=TEXT(($B$4+7),"yyyy-mm-dd"))))))</f>
        <v/>
      </c>
      <c r="J31" s="25" t="str">
        <f aca="false">IF($A31="","",IF(SUMPRODUCT(('Daily Checklist'!$D$2:$D$2000=$A31)*(TEXT('Daily Checklist'!$B$2:$B$2000,"yyyy-mm-dd")=TEXT(($B$4+8),"yyyy-mm-dd")))=0,"-",IF(SUMPRODUCT(('Daily Checklist'!$D$2:$D$2000=$A31)*(TEXT('Daily Checklist'!$B$2:$B$2000,"yyyy-mm-dd")=TEXT(($B$4+8),"yyyy-mm-dd"))*('Daily Checklist'!$L$2:$L$2000="Y"))&gt;0,SUMPRODUCT(('Daily Checklist'!$D$2:$D$2000=$A31)*(TEXT('Daily Checklist'!$B$2:$B$2000,"yyyy-mm-dd")=TEXT(($B$4+8),"yyyy-mm-dd"))*('Daily Checklist'!$F$2:$F$2000="Done"))&amp;"/"&amp;SUMPRODUCT(('Daily Checklist'!$D$2:$D$2000=$A31)*(TEXT('Daily Checklist'!$B$2:$B$2000,"yyyy-mm-dd")=TEXT(($B$4+8),"yyyy-mm-dd")))&amp;" ESC",SUMPRODUCT(('Daily Checklist'!$D$2:$D$2000=$A31)*(TEXT('Daily Checklist'!$B$2:$B$2000,"yyyy-mm-dd")=TEXT(($B$4+8),"yyyy-mm-dd"))*('Daily Checklist'!$F$2:$F$2000="Done"))&amp;"/"&amp;SUMPRODUCT(('Daily Checklist'!$D$2:$D$2000=$A31)*(TEXT('Daily Checklist'!$B$2:$B$2000,"yyyy-mm-dd")=TEXT(($B$4+8),"yyyy-mm-dd"))))))</f>
        <v/>
      </c>
      <c r="K31" s="25" t="str">
        <f aca="false">IF($A31="","",IF(SUMPRODUCT(('Daily Checklist'!$D$2:$D$2000=$A31)*(TEXT('Daily Checklist'!$B$2:$B$2000,"yyyy-mm-dd")=TEXT(($B$4+9),"yyyy-mm-dd")))=0,"-",IF(SUMPRODUCT(('Daily Checklist'!$D$2:$D$2000=$A31)*(TEXT('Daily Checklist'!$B$2:$B$2000,"yyyy-mm-dd")=TEXT(($B$4+9),"yyyy-mm-dd"))*('Daily Checklist'!$L$2:$L$2000="Y"))&gt;0,SUMPRODUCT(('Daily Checklist'!$D$2:$D$2000=$A31)*(TEXT('Daily Checklist'!$B$2:$B$2000,"yyyy-mm-dd")=TEXT(($B$4+9),"yyyy-mm-dd"))*('Daily Checklist'!$F$2:$F$2000="Done"))&amp;"/"&amp;SUMPRODUCT(('Daily Checklist'!$D$2:$D$2000=$A31)*(TEXT('Daily Checklist'!$B$2:$B$2000,"yyyy-mm-dd")=TEXT(($B$4+9),"yyyy-mm-dd")))&amp;" ESC",SUMPRODUCT(('Daily Checklist'!$D$2:$D$2000=$A31)*(TEXT('Daily Checklist'!$B$2:$B$2000,"yyyy-mm-dd")=TEXT(($B$4+9),"yyyy-mm-dd"))*('Daily Checklist'!$F$2:$F$2000="Done"))&amp;"/"&amp;SUMPRODUCT(('Daily Checklist'!$D$2:$D$2000=$A31)*(TEXT('Daily Checklist'!$B$2:$B$2000,"yyyy-mm-dd")=TEXT(($B$4+9),"yyyy-mm-dd"))))))</f>
        <v/>
      </c>
      <c r="L31" s="25" t="str">
        <f aca="false">IF($A31="","",IF(SUMPRODUCT(('Daily Checklist'!$D$2:$D$2000=$A31)*(TEXT('Daily Checklist'!$B$2:$B$2000,"yyyy-mm-dd")=TEXT(($B$4+10),"yyyy-mm-dd")))=0,"-",IF(SUMPRODUCT(('Daily Checklist'!$D$2:$D$2000=$A31)*(TEXT('Daily Checklist'!$B$2:$B$2000,"yyyy-mm-dd")=TEXT(($B$4+10),"yyyy-mm-dd"))*('Daily Checklist'!$L$2:$L$2000="Y"))&gt;0,SUMPRODUCT(('Daily Checklist'!$D$2:$D$2000=$A31)*(TEXT('Daily Checklist'!$B$2:$B$2000,"yyyy-mm-dd")=TEXT(($B$4+10),"yyyy-mm-dd"))*('Daily Checklist'!$F$2:$F$2000="Done"))&amp;"/"&amp;SUMPRODUCT(('Daily Checklist'!$D$2:$D$2000=$A31)*(TEXT('Daily Checklist'!$B$2:$B$2000,"yyyy-mm-dd")=TEXT(($B$4+10),"yyyy-mm-dd")))&amp;" ESC",SUMPRODUCT(('Daily Checklist'!$D$2:$D$2000=$A31)*(TEXT('Daily Checklist'!$B$2:$B$2000,"yyyy-mm-dd")=TEXT(($B$4+10),"yyyy-mm-dd"))*('Daily Checklist'!$F$2:$F$2000="Done"))&amp;"/"&amp;SUMPRODUCT(('Daily Checklist'!$D$2:$D$2000=$A31)*(TEXT('Daily Checklist'!$B$2:$B$2000,"yyyy-mm-dd")=TEXT(($B$4+10),"yyyy-mm-dd"))))))</f>
        <v/>
      </c>
      <c r="M31" s="25" t="str">
        <f aca="false">IF($A31="","",IF(SUMPRODUCT(('Daily Checklist'!$D$2:$D$2000=$A31)*(TEXT('Daily Checklist'!$B$2:$B$2000,"yyyy-mm-dd")=TEXT(($B$4+11),"yyyy-mm-dd")))=0,"-",IF(SUMPRODUCT(('Daily Checklist'!$D$2:$D$2000=$A31)*(TEXT('Daily Checklist'!$B$2:$B$2000,"yyyy-mm-dd")=TEXT(($B$4+11),"yyyy-mm-dd"))*('Daily Checklist'!$L$2:$L$2000="Y"))&gt;0,SUMPRODUCT(('Daily Checklist'!$D$2:$D$2000=$A31)*(TEXT('Daily Checklist'!$B$2:$B$2000,"yyyy-mm-dd")=TEXT(($B$4+11),"yyyy-mm-dd"))*('Daily Checklist'!$F$2:$F$2000="Done"))&amp;"/"&amp;SUMPRODUCT(('Daily Checklist'!$D$2:$D$2000=$A31)*(TEXT('Daily Checklist'!$B$2:$B$2000,"yyyy-mm-dd")=TEXT(($B$4+11),"yyyy-mm-dd")))&amp;" ESC",SUMPRODUCT(('Daily Checklist'!$D$2:$D$2000=$A31)*(TEXT('Daily Checklist'!$B$2:$B$2000,"yyyy-mm-dd")=TEXT(($B$4+11),"yyyy-mm-dd"))*('Daily Checklist'!$F$2:$F$2000="Done"))&amp;"/"&amp;SUMPRODUCT(('Daily Checklist'!$D$2:$D$2000=$A31)*(TEXT('Daily Checklist'!$B$2:$B$2000,"yyyy-mm-dd")=TEXT(($B$4+11),"yyyy-mm-dd"))))))</f>
        <v/>
      </c>
      <c r="N31" s="25" t="str">
        <f aca="false">IF($A31="","",IF(SUMPRODUCT(('Daily Checklist'!$D$2:$D$2000=$A31)*(TEXT('Daily Checklist'!$B$2:$B$2000,"yyyy-mm-dd")=TEXT(($B$4+12),"yyyy-mm-dd")))=0,"-",IF(SUMPRODUCT(('Daily Checklist'!$D$2:$D$2000=$A31)*(TEXT('Daily Checklist'!$B$2:$B$2000,"yyyy-mm-dd")=TEXT(($B$4+12),"yyyy-mm-dd"))*('Daily Checklist'!$L$2:$L$2000="Y"))&gt;0,SUMPRODUCT(('Daily Checklist'!$D$2:$D$2000=$A31)*(TEXT('Daily Checklist'!$B$2:$B$2000,"yyyy-mm-dd")=TEXT(($B$4+12),"yyyy-mm-dd"))*('Daily Checklist'!$F$2:$F$2000="Done"))&amp;"/"&amp;SUMPRODUCT(('Daily Checklist'!$D$2:$D$2000=$A31)*(TEXT('Daily Checklist'!$B$2:$B$2000,"yyyy-mm-dd")=TEXT(($B$4+12),"yyyy-mm-dd")))&amp;" ESC",SUMPRODUCT(('Daily Checklist'!$D$2:$D$2000=$A31)*(TEXT('Daily Checklist'!$B$2:$B$2000,"yyyy-mm-dd")=TEXT(($B$4+12),"yyyy-mm-dd"))*('Daily Checklist'!$F$2:$F$2000="Done"))&amp;"/"&amp;SUMPRODUCT(('Daily Checklist'!$D$2:$D$2000=$A31)*(TEXT('Daily Checklist'!$B$2:$B$2000,"yyyy-mm-dd")=TEXT(($B$4+12),"yyyy-mm-dd"))))))</f>
        <v/>
      </c>
      <c r="O31" s="25" t="str">
        <f aca="false">IF($A31="","",IF(SUMPRODUCT(('Daily Checklist'!$D$2:$D$2000=$A31)*(TEXT('Daily Checklist'!$B$2:$B$2000,"yyyy-mm-dd")=TEXT(($B$4+13),"yyyy-mm-dd")))=0,"-",IF(SUMPRODUCT(('Daily Checklist'!$D$2:$D$2000=$A31)*(TEXT('Daily Checklist'!$B$2:$B$2000,"yyyy-mm-dd")=TEXT(($B$4+13),"yyyy-mm-dd"))*('Daily Checklist'!$L$2:$L$2000="Y"))&gt;0,SUMPRODUCT(('Daily Checklist'!$D$2:$D$2000=$A31)*(TEXT('Daily Checklist'!$B$2:$B$2000,"yyyy-mm-dd")=TEXT(($B$4+13),"yyyy-mm-dd"))*('Daily Checklist'!$F$2:$F$2000="Done"))&amp;"/"&amp;SUMPRODUCT(('Daily Checklist'!$D$2:$D$2000=$A31)*(TEXT('Daily Checklist'!$B$2:$B$2000,"yyyy-mm-dd")=TEXT(($B$4+13),"yyyy-mm-dd")))&amp;" ESC",SUMPRODUCT(('Daily Checklist'!$D$2:$D$2000=$A31)*(TEXT('Daily Checklist'!$B$2:$B$2000,"yyyy-mm-dd")=TEXT(($B$4+13),"yyyy-mm-dd"))*('Daily Checklist'!$F$2:$F$2000="Done"))&amp;"/"&amp;SUMPRODUCT(('Daily Checklist'!$D$2:$D$2000=$A31)*(TEXT('Daily Checklist'!$B$2:$B$2000,"yyyy-mm-dd")=TEXT(($B$4+13),"yyyy-mm-dd"))))))</f>
        <v/>
      </c>
      <c r="P31" s="25" t="str">
        <f aca="false">IF($A31="","",IF(SUMPRODUCT(('Daily Checklist'!$D$2:$D$2000=$A31)*(TEXT('Daily Checklist'!$B$2:$B$2000,"yyyy-mm-dd")=TEXT(($B$4+14),"yyyy-mm-dd")))=0,"-",IF(SUMPRODUCT(('Daily Checklist'!$D$2:$D$2000=$A31)*(TEXT('Daily Checklist'!$B$2:$B$2000,"yyyy-mm-dd")=TEXT(($B$4+14),"yyyy-mm-dd"))*('Daily Checklist'!$L$2:$L$2000="Y"))&gt;0,SUMPRODUCT(('Daily Checklist'!$D$2:$D$2000=$A31)*(TEXT('Daily Checklist'!$B$2:$B$2000,"yyyy-mm-dd")=TEXT(($B$4+14),"yyyy-mm-dd"))*('Daily Checklist'!$F$2:$F$2000="Done"))&amp;"/"&amp;SUMPRODUCT(('Daily Checklist'!$D$2:$D$2000=$A31)*(TEXT('Daily Checklist'!$B$2:$B$2000,"yyyy-mm-dd")=TEXT(($B$4+14),"yyyy-mm-dd")))&amp;" ESC",SUMPRODUCT(('Daily Checklist'!$D$2:$D$2000=$A31)*(TEXT('Daily Checklist'!$B$2:$B$2000,"yyyy-mm-dd")=TEXT(($B$4+14),"yyyy-mm-dd"))*('Daily Checklist'!$F$2:$F$2000="Done"))&amp;"/"&amp;SUMPRODUCT(('Daily Checklist'!$D$2:$D$2000=$A31)*(TEXT('Daily Checklist'!$B$2:$B$2000,"yyyy-mm-dd")=TEXT(($B$4+14),"yyyy-mm-dd"))))))</f>
        <v/>
      </c>
      <c r="Q31" s="25" t="str">
        <f aca="false">IF($A31="","",IF(SUMPRODUCT(('Daily Checklist'!$D$2:$D$2000=$A31)*(TEXT('Daily Checklist'!$B$2:$B$2000,"yyyy-mm-dd")=TEXT(($B$4+15),"yyyy-mm-dd")))=0,"-",IF(SUMPRODUCT(('Daily Checklist'!$D$2:$D$2000=$A31)*(TEXT('Daily Checklist'!$B$2:$B$2000,"yyyy-mm-dd")=TEXT(($B$4+15),"yyyy-mm-dd"))*('Daily Checklist'!$L$2:$L$2000="Y"))&gt;0,SUMPRODUCT(('Daily Checklist'!$D$2:$D$2000=$A31)*(TEXT('Daily Checklist'!$B$2:$B$2000,"yyyy-mm-dd")=TEXT(($B$4+15),"yyyy-mm-dd"))*('Daily Checklist'!$F$2:$F$2000="Done"))&amp;"/"&amp;SUMPRODUCT(('Daily Checklist'!$D$2:$D$2000=$A31)*(TEXT('Daily Checklist'!$B$2:$B$2000,"yyyy-mm-dd")=TEXT(($B$4+15),"yyyy-mm-dd")))&amp;" ESC",SUMPRODUCT(('Daily Checklist'!$D$2:$D$2000=$A31)*(TEXT('Daily Checklist'!$B$2:$B$2000,"yyyy-mm-dd")=TEXT(($B$4+15),"yyyy-mm-dd"))*('Daily Checklist'!$F$2:$F$2000="Done"))&amp;"/"&amp;SUMPRODUCT(('Daily Checklist'!$D$2:$D$2000=$A31)*(TEXT('Daily Checklist'!$B$2:$B$2000,"yyyy-mm-dd")=TEXT(($B$4+15),"yyyy-mm-dd"))))))</f>
        <v/>
      </c>
      <c r="R31" s="25" t="str">
        <f aca="false">IF($A31="","",IF(SUMPRODUCT(('Daily Checklist'!$D$2:$D$2000=$A31)*(TEXT('Daily Checklist'!$B$2:$B$2000,"yyyy-mm-dd")=TEXT(($B$4+16),"yyyy-mm-dd")))=0,"-",IF(SUMPRODUCT(('Daily Checklist'!$D$2:$D$2000=$A31)*(TEXT('Daily Checklist'!$B$2:$B$2000,"yyyy-mm-dd")=TEXT(($B$4+16),"yyyy-mm-dd"))*('Daily Checklist'!$L$2:$L$2000="Y"))&gt;0,SUMPRODUCT(('Daily Checklist'!$D$2:$D$2000=$A31)*(TEXT('Daily Checklist'!$B$2:$B$2000,"yyyy-mm-dd")=TEXT(($B$4+16),"yyyy-mm-dd"))*('Daily Checklist'!$F$2:$F$2000="Done"))&amp;"/"&amp;SUMPRODUCT(('Daily Checklist'!$D$2:$D$2000=$A31)*(TEXT('Daily Checklist'!$B$2:$B$2000,"yyyy-mm-dd")=TEXT(($B$4+16),"yyyy-mm-dd")))&amp;" ESC",SUMPRODUCT(('Daily Checklist'!$D$2:$D$2000=$A31)*(TEXT('Daily Checklist'!$B$2:$B$2000,"yyyy-mm-dd")=TEXT(($B$4+16),"yyyy-mm-dd"))*('Daily Checklist'!$F$2:$F$2000="Done"))&amp;"/"&amp;SUMPRODUCT(('Daily Checklist'!$D$2:$D$2000=$A31)*(TEXT('Daily Checklist'!$B$2:$B$2000,"yyyy-mm-dd")=TEXT(($B$4+16),"yyyy-mm-dd"))))))</f>
        <v/>
      </c>
      <c r="S31" s="25" t="str">
        <f aca="false">IF($A31="","",IF(SUMPRODUCT(('Daily Checklist'!$D$2:$D$2000=$A31)*(TEXT('Daily Checklist'!$B$2:$B$2000,"yyyy-mm-dd")=TEXT(($B$4+17),"yyyy-mm-dd")))=0,"-",IF(SUMPRODUCT(('Daily Checklist'!$D$2:$D$2000=$A31)*(TEXT('Daily Checklist'!$B$2:$B$2000,"yyyy-mm-dd")=TEXT(($B$4+17),"yyyy-mm-dd"))*('Daily Checklist'!$L$2:$L$2000="Y"))&gt;0,SUMPRODUCT(('Daily Checklist'!$D$2:$D$2000=$A31)*(TEXT('Daily Checklist'!$B$2:$B$2000,"yyyy-mm-dd")=TEXT(($B$4+17),"yyyy-mm-dd"))*('Daily Checklist'!$F$2:$F$2000="Done"))&amp;"/"&amp;SUMPRODUCT(('Daily Checklist'!$D$2:$D$2000=$A31)*(TEXT('Daily Checklist'!$B$2:$B$2000,"yyyy-mm-dd")=TEXT(($B$4+17),"yyyy-mm-dd")))&amp;" ESC",SUMPRODUCT(('Daily Checklist'!$D$2:$D$2000=$A31)*(TEXT('Daily Checklist'!$B$2:$B$2000,"yyyy-mm-dd")=TEXT(($B$4+17),"yyyy-mm-dd"))*('Daily Checklist'!$F$2:$F$2000="Done"))&amp;"/"&amp;SUMPRODUCT(('Daily Checklist'!$D$2:$D$2000=$A31)*(TEXT('Daily Checklist'!$B$2:$B$2000,"yyyy-mm-dd")=TEXT(($B$4+17),"yyyy-mm-dd"))))))</f>
        <v/>
      </c>
      <c r="T31" s="25" t="str">
        <f aca="false">IF($A31="","",IF(SUMPRODUCT(('Daily Checklist'!$D$2:$D$2000=$A31)*(TEXT('Daily Checklist'!$B$2:$B$2000,"yyyy-mm-dd")=TEXT(($B$4+18),"yyyy-mm-dd")))=0,"-",IF(SUMPRODUCT(('Daily Checklist'!$D$2:$D$2000=$A31)*(TEXT('Daily Checklist'!$B$2:$B$2000,"yyyy-mm-dd")=TEXT(($B$4+18),"yyyy-mm-dd"))*('Daily Checklist'!$L$2:$L$2000="Y"))&gt;0,SUMPRODUCT(('Daily Checklist'!$D$2:$D$2000=$A31)*(TEXT('Daily Checklist'!$B$2:$B$2000,"yyyy-mm-dd")=TEXT(($B$4+18),"yyyy-mm-dd"))*('Daily Checklist'!$F$2:$F$2000="Done"))&amp;"/"&amp;SUMPRODUCT(('Daily Checklist'!$D$2:$D$2000=$A31)*(TEXT('Daily Checklist'!$B$2:$B$2000,"yyyy-mm-dd")=TEXT(($B$4+18),"yyyy-mm-dd")))&amp;" ESC",SUMPRODUCT(('Daily Checklist'!$D$2:$D$2000=$A31)*(TEXT('Daily Checklist'!$B$2:$B$2000,"yyyy-mm-dd")=TEXT(($B$4+18),"yyyy-mm-dd"))*('Daily Checklist'!$F$2:$F$2000="Done"))&amp;"/"&amp;SUMPRODUCT(('Daily Checklist'!$D$2:$D$2000=$A31)*(TEXT('Daily Checklist'!$B$2:$B$2000,"yyyy-mm-dd")=TEXT(($B$4+18),"yyyy-mm-dd"))))))</f>
        <v/>
      </c>
      <c r="U31" s="25" t="str">
        <f aca="false">IF($A31="","",IF(SUMPRODUCT(('Daily Checklist'!$D$2:$D$2000=$A31)*(TEXT('Daily Checklist'!$B$2:$B$2000,"yyyy-mm-dd")=TEXT(($B$4+19),"yyyy-mm-dd")))=0,"-",IF(SUMPRODUCT(('Daily Checklist'!$D$2:$D$2000=$A31)*(TEXT('Daily Checklist'!$B$2:$B$2000,"yyyy-mm-dd")=TEXT(($B$4+19),"yyyy-mm-dd"))*('Daily Checklist'!$L$2:$L$2000="Y"))&gt;0,SUMPRODUCT(('Daily Checklist'!$D$2:$D$2000=$A31)*(TEXT('Daily Checklist'!$B$2:$B$2000,"yyyy-mm-dd")=TEXT(($B$4+19),"yyyy-mm-dd"))*('Daily Checklist'!$F$2:$F$2000="Done"))&amp;"/"&amp;SUMPRODUCT(('Daily Checklist'!$D$2:$D$2000=$A31)*(TEXT('Daily Checklist'!$B$2:$B$2000,"yyyy-mm-dd")=TEXT(($B$4+19),"yyyy-mm-dd")))&amp;" ESC",SUMPRODUCT(('Daily Checklist'!$D$2:$D$2000=$A31)*(TEXT('Daily Checklist'!$B$2:$B$2000,"yyyy-mm-dd")=TEXT(($B$4+19),"yyyy-mm-dd"))*('Daily Checklist'!$F$2:$F$2000="Done"))&amp;"/"&amp;SUMPRODUCT(('Daily Checklist'!$D$2:$D$2000=$A31)*(TEXT('Daily Checklist'!$B$2:$B$2000,"yyyy-mm-dd")=TEXT(($B$4+19),"yyyy-mm-dd"))))))</f>
        <v/>
      </c>
      <c r="V31" s="25" t="str">
        <f aca="false">IF($A31="","",IF(SUMPRODUCT(('Daily Checklist'!$D$2:$D$2000=$A31)*(TEXT('Daily Checklist'!$B$2:$B$2000,"yyyy-mm-dd")=TEXT(($B$4+20),"yyyy-mm-dd")))=0,"-",IF(SUMPRODUCT(('Daily Checklist'!$D$2:$D$2000=$A31)*(TEXT('Daily Checklist'!$B$2:$B$2000,"yyyy-mm-dd")=TEXT(($B$4+20),"yyyy-mm-dd"))*('Daily Checklist'!$L$2:$L$2000="Y"))&gt;0,SUMPRODUCT(('Daily Checklist'!$D$2:$D$2000=$A31)*(TEXT('Daily Checklist'!$B$2:$B$2000,"yyyy-mm-dd")=TEXT(($B$4+20),"yyyy-mm-dd"))*('Daily Checklist'!$F$2:$F$2000="Done"))&amp;"/"&amp;SUMPRODUCT(('Daily Checklist'!$D$2:$D$2000=$A31)*(TEXT('Daily Checklist'!$B$2:$B$2000,"yyyy-mm-dd")=TEXT(($B$4+20),"yyyy-mm-dd")))&amp;" ESC",SUMPRODUCT(('Daily Checklist'!$D$2:$D$2000=$A31)*(TEXT('Daily Checklist'!$B$2:$B$2000,"yyyy-mm-dd")=TEXT(($B$4+20),"yyyy-mm-dd"))*('Daily Checklist'!$F$2:$F$2000="Done"))&amp;"/"&amp;SUMPRODUCT(('Daily Checklist'!$D$2:$D$2000=$A31)*(TEXT('Daily Checklist'!$B$2:$B$2000,"yyyy-mm-dd")=TEXT(($B$4+20),"yyyy-mm-dd"))))))</f>
        <v/>
      </c>
      <c r="W31" s="25" t="str">
        <f aca="false">IF($A31="","",IF(SUMPRODUCT(('Daily Checklist'!$D$2:$D$2000=$A31)*(TEXT('Daily Checklist'!$B$2:$B$2000,"yyyy-mm-dd")=TEXT(($B$4+21),"yyyy-mm-dd")))=0,"-",IF(SUMPRODUCT(('Daily Checklist'!$D$2:$D$2000=$A31)*(TEXT('Daily Checklist'!$B$2:$B$2000,"yyyy-mm-dd")=TEXT(($B$4+21),"yyyy-mm-dd"))*('Daily Checklist'!$L$2:$L$2000="Y"))&gt;0,SUMPRODUCT(('Daily Checklist'!$D$2:$D$2000=$A31)*(TEXT('Daily Checklist'!$B$2:$B$2000,"yyyy-mm-dd")=TEXT(($B$4+21),"yyyy-mm-dd"))*('Daily Checklist'!$F$2:$F$2000="Done"))&amp;"/"&amp;SUMPRODUCT(('Daily Checklist'!$D$2:$D$2000=$A31)*(TEXT('Daily Checklist'!$B$2:$B$2000,"yyyy-mm-dd")=TEXT(($B$4+21),"yyyy-mm-dd")))&amp;" ESC",SUMPRODUCT(('Daily Checklist'!$D$2:$D$2000=$A31)*(TEXT('Daily Checklist'!$B$2:$B$2000,"yyyy-mm-dd")=TEXT(($B$4+21),"yyyy-mm-dd"))*('Daily Checklist'!$F$2:$F$2000="Done"))&amp;"/"&amp;SUMPRODUCT(('Daily Checklist'!$D$2:$D$2000=$A31)*(TEXT('Daily Checklist'!$B$2:$B$2000,"yyyy-mm-dd")=TEXT(($B$4+21),"yyyy-mm-dd"))))))</f>
        <v/>
      </c>
      <c r="X31" s="25" t="str">
        <f aca="false">IF($A31="","",IF(SUMPRODUCT(('Daily Checklist'!$D$2:$D$2000=$A31)*(TEXT('Daily Checklist'!$B$2:$B$2000,"yyyy-mm-dd")=TEXT(($B$4+22),"yyyy-mm-dd")))=0,"-",IF(SUMPRODUCT(('Daily Checklist'!$D$2:$D$2000=$A31)*(TEXT('Daily Checklist'!$B$2:$B$2000,"yyyy-mm-dd")=TEXT(($B$4+22),"yyyy-mm-dd"))*('Daily Checklist'!$L$2:$L$2000="Y"))&gt;0,SUMPRODUCT(('Daily Checklist'!$D$2:$D$2000=$A31)*(TEXT('Daily Checklist'!$B$2:$B$2000,"yyyy-mm-dd")=TEXT(($B$4+22),"yyyy-mm-dd"))*('Daily Checklist'!$F$2:$F$2000="Done"))&amp;"/"&amp;SUMPRODUCT(('Daily Checklist'!$D$2:$D$2000=$A31)*(TEXT('Daily Checklist'!$B$2:$B$2000,"yyyy-mm-dd")=TEXT(($B$4+22),"yyyy-mm-dd")))&amp;" ESC",SUMPRODUCT(('Daily Checklist'!$D$2:$D$2000=$A31)*(TEXT('Daily Checklist'!$B$2:$B$2000,"yyyy-mm-dd")=TEXT(($B$4+22),"yyyy-mm-dd"))*('Daily Checklist'!$F$2:$F$2000="Done"))&amp;"/"&amp;SUMPRODUCT(('Daily Checklist'!$D$2:$D$2000=$A31)*(TEXT('Daily Checklist'!$B$2:$B$2000,"yyyy-mm-dd")=TEXT(($B$4+22),"yyyy-mm-dd"))))))</f>
        <v/>
      </c>
      <c r="Y31" s="25" t="str">
        <f aca="false">IF($A31="","",IF(SUMPRODUCT(('Daily Checklist'!$D$2:$D$2000=$A31)*(TEXT('Daily Checklist'!$B$2:$B$2000,"yyyy-mm-dd")=TEXT(($B$4+23),"yyyy-mm-dd")))=0,"-",IF(SUMPRODUCT(('Daily Checklist'!$D$2:$D$2000=$A31)*(TEXT('Daily Checklist'!$B$2:$B$2000,"yyyy-mm-dd")=TEXT(($B$4+23),"yyyy-mm-dd"))*('Daily Checklist'!$L$2:$L$2000="Y"))&gt;0,SUMPRODUCT(('Daily Checklist'!$D$2:$D$2000=$A31)*(TEXT('Daily Checklist'!$B$2:$B$2000,"yyyy-mm-dd")=TEXT(($B$4+23),"yyyy-mm-dd"))*('Daily Checklist'!$F$2:$F$2000="Done"))&amp;"/"&amp;SUMPRODUCT(('Daily Checklist'!$D$2:$D$2000=$A31)*(TEXT('Daily Checklist'!$B$2:$B$2000,"yyyy-mm-dd")=TEXT(($B$4+23),"yyyy-mm-dd")))&amp;" ESC",SUMPRODUCT(('Daily Checklist'!$D$2:$D$2000=$A31)*(TEXT('Daily Checklist'!$B$2:$B$2000,"yyyy-mm-dd")=TEXT(($B$4+23),"yyyy-mm-dd"))*('Daily Checklist'!$F$2:$F$2000="Done"))&amp;"/"&amp;SUMPRODUCT(('Daily Checklist'!$D$2:$D$2000=$A31)*(TEXT('Daily Checklist'!$B$2:$B$2000,"yyyy-mm-dd")=TEXT(($B$4+23),"yyyy-mm-dd"))))))</f>
        <v/>
      </c>
      <c r="Z31" s="25" t="str">
        <f aca="false">IF($A31="","",IF(SUMPRODUCT(('Daily Checklist'!$D$2:$D$2000=$A31)*(TEXT('Daily Checklist'!$B$2:$B$2000,"yyyy-mm-dd")=TEXT(($B$4+24),"yyyy-mm-dd")))=0,"-",IF(SUMPRODUCT(('Daily Checklist'!$D$2:$D$2000=$A31)*(TEXT('Daily Checklist'!$B$2:$B$2000,"yyyy-mm-dd")=TEXT(($B$4+24),"yyyy-mm-dd"))*('Daily Checklist'!$L$2:$L$2000="Y"))&gt;0,SUMPRODUCT(('Daily Checklist'!$D$2:$D$2000=$A31)*(TEXT('Daily Checklist'!$B$2:$B$2000,"yyyy-mm-dd")=TEXT(($B$4+24),"yyyy-mm-dd"))*('Daily Checklist'!$F$2:$F$2000="Done"))&amp;"/"&amp;SUMPRODUCT(('Daily Checklist'!$D$2:$D$2000=$A31)*(TEXT('Daily Checklist'!$B$2:$B$2000,"yyyy-mm-dd")=TEXT(($B$4+24),"yyyy-mm-dd")))&amp;" ESC",SUMPRODUCT(('Daily Checklist'!$D$2:$D$2000=$A31)*(TEXT('Daily Checklist'!$B$2:$B$2000,"yyyy-mm-dd")=TEXT(($B$4+24),"yyyy-mm-dd"))*('Daily Checklist'!$F$2:$F$2000="Done"))&amp;"/"&amp;SUMPRODUCT(('Daily Checklist'!$D$2:$D$2000=$A31)*(TEXT('Daily Checklist'!$B$2:$B$2000,"yyyy-mm-dd")=TEXT(($B$4+24),"yyyy-mm-dd"))))))</f>
        <v/>
      </c>
      <c r="AA31" s="25" t="str">
        <f aca="false">IF($A31="","",IF(SUMPRODUCT(('Daily Checklist'!$D$2:$D$2000=$A31)*(TEXT('Daily Checklist'!$B$2:$B$2000,"yyyy-mm-dd")=TEXT(($B$4+25),"yyyy-mm-dd")))=0,"-",IF(SUMPRODUCT(('Daily Checklist'!$D$2:$D$2000=$A31)*(TEXT('Daily Checklist'!$B$2:$B$2000,"yyyy-mm-dd")=TEXT(($B$4+25),"yyyy-mm-dd"))*('Daily Checklist'!$L$2:$L$2000="Y"))&gt;0,SUMPRODUCT(('Daily Checklist'!$D$2:$D$2000=$A31)*(TEXT('Daily Checklist'!$B$2:$B$2000,"yyyy-mm-dd")=TEXT(($B$4+25),"yyyy-mm-dd"))*('Daily Checklist'!$F$2:$F$2000="Done"))&amp;"/"&amp;SUMPRODUCT(('Daily Checklist'!$D$2:$D$2000=$A31)*(TEXT('Daily Checklist'!$B$2:$B$2000,"yyyy-mm-dd")=TEXT(($B$4+25),"yyyy-mm-dd")))&amp;" ESC",SUMPRODUCT(('Daily Checklist'!$D$2:$D$2000=$A31)*(TEXT('Daily Checklist'!$B$2:$B$2000,"yyyy-mm-dd")=TEXT(($B$4+25),"yyyy-mm-dd"))*('Daily Checklist'!$F$2:$F$2000="Done"))&amp;"/"&amp;SUMPRODUCT(('Daily Checklist'!$D$2:$D$2000=$A31)*(TEXT('Daily Checklist'!$B$2:$B$2000,"yyyy-mm-dd")=TEXT(($B$4+25),"yyyy-mm-dd"))))))</f>
        <v/>
      </c>
      <c r="AB31" s="25" t="str">
        <f aca="false">IF($A31="","",IF(SUMPRODUCT(('Daily Checklist'!$D$2:$D$2000=$A31)*(TEXT('Daily Checklist'!$B$2:$B$2000,"yyyy-mm-dd")=TEXT(($B$4+26),"yyyy-mm-dd")))=0,"-",IF(SUMPRODUCT(('Daily Checklist'!$D$2:$D$2000=$A31)*(TEXT('Daily Checklist'!$B$2:$B$2000,"yyyy-mm-dd")=TEXT(($B$4+26),"yyyy-mm-dd"))*('Daily Checklist'!$L$2:$L$2000="Y"))&gt;0,SUMPRODUCT(('Daily Checklist'!$D$2:$D$2000=$A31)*(TEXT('Daily Checklist'!$B$2:$B$2000,"yyyy-mm-dd")=TEXT(($B$4+26),"yyyy-mm-dd"))*('Daily Checklist'!$F$2:$F$2000="Done"))&amp;"/"&amp;SUMPRODUCT(('Daily Checklist'!$D$2:$D$2000=$A31)*(TEXT('Daily Checklist'!$B$2:$B$2000,"yyyy-mm-dd")=TEXT(($B$4+26),"yyyy-mm-dd")))&amp;" ESC",SUMPRODUCT(('Daily Checklist'!$D$2:$D$2000=$A31)*(TEXT('Daily Checklist'!$B$2:$B$2000,"yyyy-mm-dd")=TEXT(($B$4+26),"yyyy-mm-dd"))*('Daily Checklist'!$F$2:$F$2000="Done"))&amp;"/"&amp;SUMPRODUCT(('Daily Checklist'!$D$2:$D$2000=$A31)*(TEXT('Daily Checklist'!$B$2:$B$2000,"yyyy-mm-dd")=TEXT(($B$4+26),"yyyy-mm-dd"))))))</f>
        <v/>
      </c>
      <c r="AC31" s="25" t="str">
        <f aca="false">IF($A31="","",IF(SUMPRODUCT(('Daily Checklist'!$D$2:$D$2000=$A31)*(TEXT('Daily Checklist'!$B$2:$B$2000,"yyyy-mm-dd")=TEXT(($B$4+27),"yyyy-mm-dd")))=0,"-",IF(SUMPRODUCT(('Daily Checklist'!$D$2:$D$2000=$A31)*(TEXT('Daily Checklist'!$B$2:$B$2000,"yyyy-mm-dd")=TEXT(($B$4+27),"yyyy-mm-dd"))*('Daily Checklist'!$L$2:$L$2000="Y"))&gt;0,SUMPRODUCT(('Daily Checklist'!$D$2:$D$2000=$A31)*(TEXT('Daily Checklist'!$B$2:$B$2000,"yyyy-mm-dd")=TEXT(($B$4+27),"yyyy-mm-dd"))*('Daily Checklist'!$F$2:$F$2000="Done"))&amp;"/"&amp;SUMPRODUCT(('Daily Checklist'!$D$2:$D$2000=$A31)*(TEXT('Daily Checklist'!$B$2:$B$2000,"yyyy-mm-dd")=TEXT(($B$4+27),"yyyy-mm-dd")))&amp;" ESC",SUMPRODUCT(('Daily Checklist'!$D$2:$D$2000=$A31)*(TEXT('Daily Checklist'!$B$2:$B$2000,"yyyy-mm-dd")=TEXT(($B$4+27),"yyyy-mm-dd"))*('Daily Checklist'!$F$2:$F$2000="Done"))&amp;"/"&amp;SUMPRODUCT(('Daily Checklist'!$D$2:$D$2000=$A31)*(TEXT('Daily Checklist'!$B$2:$B$2000,"yyyy-mm-dd")=TEXT(($B$4+27),"yyyy-mm-dd"))))))</f>
        <v/>
      </c>
      <c r="AD31" s="25" t="str">
        <f aca="false">IF($A31="","",IF(SUMPRODUCT(('Daily Checklist'!$D$2:$D$2000=$A31)*(TEXT('Daily Checklist'!$B$2:$B$2000,"yyyy-mm-dd")=TEXT(($B$4+28),"yyyy-mm-dd")))=0,"-",IF(SUMPRODUCT(('Daily Checklist'!$D$2:$D$2000=$A31)*(TEXT('Daily Checklist'!$B$2:$B$2000,"yyyy-mm-dd")=TEXT(($B$4+28),"yyyy-mm-dd"))*('Daily Checklist'!$L$2:$L$2000="Y"))&gt;0,SUMPRODUCT(('Daily Checklist'!$D$2:$D$2000=$A31)*(TEXT('Daily Checklist'!$B$2:$B$2000,"yyyy-mm-dd")=TEXT(($B$4+28),"yyyy-mm-dd"))*('Daily Checklist'!$F$2:$F$2000="Done"))&amp;"/"&amp;SUMPRODUCT(('Daily Checklist'!$D$2:$D$2000=$A31)*(TEXT('Daily Checklist'!$B$2:$B$2000,"yyyy-mm-dd")=TEXT(($B$4+28),"yyyy-mm-dd")))&amp;" ESC",SUMPRODUCT(('Daily Checklist'!$D$2:$D$2000=$A31)*(TEXT('Daily Checklist'!$B$2:$B$2000,"yyyy-mm-dd")=TEXT(($B$4+28),"yyyy-mm-dd"))*('Daily Checklist'!$F$2:$F$2000="Done"))&amp;"/"&amp;SUMPRODUCT(('Daily Checklist'!$D$2:$D$2000=$A31)*(TEXT('Daily Checklist'!$B$2:$B$2000,"yyyy-mm-dd")=TEXT(($B$4+28),"yyyy-mm-dd"))))))</f>
        <v/>
      </c>
      <c r="AE31" s="25" t="str">
        <f aca="false">IF($A31="","",IF(SUMPRODUCT(('Daily Checklist'!$D$2:$D$2000=$A31)*(TEXT('Daily Checklist'!$B$2:$B$2000,"yyyy-mm-dd")=TEXT(($B$4+29),"yyyy-mm-dd")))=0,"-",IF(SUMPRODUCT(('Daily Checklist'!$D$2:$D$2000=$A31)*(TEXT('Daily Checklist'!$B$2:$B$2000,"yyyy-mm-dd")=TEXT(($B$4+29),"yyyy-mm-dd"))*('Daily Checklist'!$L$2:$L$2000="Y"))&gt;0,SUMPRODUCT(('Daily Checklist'!$D$2:$D$2000=$A31)*(TEXT('Daily Checklist'!$B$2:$B$2000,"yyyy-mm-dd")=TEXT(($B$4+29),"yyyy-mm-dd"))*('Daily Checklist'!$F$2:$F$2000="Done"))&amp;"/"&amp;SUMPRODUCT(('Daily Checklist'!$D$2:$D$2000=$A31)*(TEXT('Daily Checklist'!$B$2:$B$2000,"yyyy-mm-dd")=TEXT(($B$4+29),"yyyy-mm-dd")))&amp;" ESC",SUMPRODUCT(('Daily Checklist'!$D$2:$D$2000=$A31)*(TEXT('Daily Checklist'!$B$2:$B$2000,"yyyy-mm-dd")=TEXT(($B$4+29),"yyyy-mm-dd"))*('Daily Checklist'!$F$2:$F$2000="Done"))&amp;"/"&amp;SUMPRODUCT(('Daily Checklist'!$D$2:$D$2000=$A31)*(TEXT('Daily Checklist'!$B$2:$B$2000,"yyyy-mm-dd")=TEXT(($B$4+29),"yyyy-mm-dd"))))))</f>
        <v/>
      </c>
      <c r="AF31" s="25" t="str">
        <f aca="false">IF($A31="","",IF(SUMPRODUCT(('Daily Checklist'!$D$2:$D$2000=$A31)*(TEXT('Daily Checklist'!$B$2:$B$2000,"yyyy-mm-dd")=TEXT(($B$4+30),"yyyy-mm-dd")))=0,"-",IF(SUMPRODUCT(('Daily Checklist'!$D$2:$D$2000=$A31)*(TEXT('Daily Checklist'!$B$2:$B$2000,"yyyy-mm-dd")=TEXT(($B$4+30),"yyyy-mm-dd"))*('Daily Checklist'!$L$2:$L$2000="Y"))&gt;0,SUMPRODUCT(('Daily Checklist'!$D$2:$D$2000=$A31)*(TEXT('Daily Checklist'!$B$2:$B$2000,"yyyy-mm-dd")=TEXT(($B$4+30),"yyyy-mm-dd"))*('Daily Checklist'!$F$2:$F$2000="Done"))&amp;"/"&amp;SUMPRODUCT(('Daily Checklist'!$D$2:$D$2000=$A31)*(TEXT('Daily Checklist'!$B$2:$B$2000,"yyyy-mm-dd")=TEXT(($B$4+30),"yyyy-mm-dd")))&amp;" ESC",SUMPRODUCT(('Daily Checklist'!$D$2:$D$2000=$A31)*(TEXT('Daily Checklist'!$B$2:$B$2000,"yyyy-mm-dd")=TEXT(($B$4+30),"yyyy-mm-dd"))*('Daily Checklist'!$F$2:$F$2000="Done"))&amp;"/"&amp;SUMPRODUCT(('Daily Checklist'!$D$2:$D$2000=$A31)*(TEXT('Daily Checklist'!$B$2:$B$2000,"yyyy-mm-dd")=TEXT(($B$4+30),"yyyy-mm-dd"))))))</f>
        <v/>
      </c>
    </row>
    <row r="32" customFormat="false" ht="15" hidden="false" customHeight="true" outlineLevel="0" collapsed="false">
      <c r="A32" s="24" t="str">
        <f aca="false">IFERROR(IF(Employees!A27="","",Employees!A27),"")</f>
        <v/>
      </c>
      <c r="B32" s="25" t="str">
        <f aca="false">IF($A32="","",IF(SUMPRODUCT(('Daily Checklist'!$D$2:$D$2000=$A32)*(TEXT('Daily Checklist'!$B$2:$B$2000,"yyyy-mm-dd")=TEXT(($B$4+0),"yyyy-mm-dd")))=0,"-",IF(SUMPRODUCT(('Daily Checklist'!$D$2:$D$2000=$A32)*(TEXT('Daily Checklist'!$B$2:$B$2000,"yyyy-mm-dd")=TEXT(($B$4+0),"yyyy-mm-dd"))*('Daily Checklist'!$L$2:$L$2000="Y"))&gt;0,SUMPRODUCT(('Daily Checklist'!$D$2:$D$2000=$A32)*(TEXT('Daily Checklist'!$B$2:$B$2000,"yyyy-mm-dd")=TEXT(($B$4+0),"yyyy-mm-dd"))*('Daily Checklist'!$F$2:$F$2000="Done"))&amp;"/"&amp;SUMPRODUCT(('Daily Checklist'!$D$2:$D$2000=$A32)*(TEXT('Daily Checklist'!$B$2:$B$2000,"yyyy-mm-dd")=TEXT(($B$4+0),"yyyy-mm-dd")))&amp;" ESC",SUMPRODUCT(('Daily Checklist'!$D$2:$D$2000=$A32)*(TEXT('Daily Checklist'!$B$2:$B$2000,"yyyy-mm-dd")=TEXT(($B$4+0),"yyyy-mm-dd"))*('Daily Checklist'!$F$2:$F$2000="Done"))&amp;"/"&amp;SUMPRODUCT(('Daily Checklist'!$D$2:$D$2000=$A32)*(TEXT('Daily Checklist'!$B$2:$B$2000,"yyyy-mm-dd")=TEXT(($B$4+0),"yyyy-mm-dd"))))))</f>
        <v/>
      </c>
      <c r="C32" s="25" t="str">
        <f aca="false">IF($A32="","",IF(SUMPRODUCT(('Daily Checklist'!$D$2:$D$2000=$A32)*(TEXT('Daily Checklist'!$B$2:$B$2000,"yyyy-mm-dd")=TEXT(($B$4+1),"yyyy-mm-dd")))=0,"-",IF(SUMPRODUCT(('Daily Checklist'!$D$2:$D$2000=$A32)*(TEXT('Daily Checklist'!$B$2:$B$2000,"yyyy-mm-dd")=TEXT(($B$4+1),"yyyy-mm-dd"))*('Daily Checklist'!$L$2:$L$2000="Y"))&gt;0,SUMPRODUCT(('Daily Checklist'!$D$2:$D$2000=$A32)*(TEXT('Daily Checklist'!$B$2:$B$2000,"yyyy-mm-dd")=TEXT(($B$4+1),"yyyy-mm-dd"))*('Daily Checklist'!$F$2:$F$2000="Done"))&amp;"/"&amp;SUMPRODUCT(('Daily Checklist'!$D$2:$D$2000=$A32)*(TEXT('Daily Checklist'!$B$2:$B$2000,"yyyy-mm-dd")=TEXT(($B$4+1),"yyyy-mm-dd")))&amp;" ESC",SUMPRODUCT(('Daily Checklist'!$D$2:$D$2000=$A32)*(TEXT('Daily Checklist'!$B$2:$B$2000,"yyyy-mm-dd")=TEXT(($B$4+1),"yyyy-mm-dd"))*('Daily Checklist'!$F$2:$F$2000="Done"))&amp;"/"&amp;SUMPRODUCT(('Daily Checklist'!$D$2:$D$2000=$A32)*(TEXT('Daily Checklist'!$B$2:$B$2000,"yyyy-mm-dd")=TEXT(($B$4+1),"yyyy-mm-dd"))))))</f>
        <v/>
      </c>
      <c r="D32" s="25" t="str">
        <f aca="false">IF($A32="","",IF(SUMPRODUCT(('Daily Checklist'!$D$2:$D$2000=$A32)*(TEXT('Daily Checklist'!$B$2:$B$2000,"yyyy-mm-dd")=TEXT(($B$4+2),"yyyy-mm-dd")))=0,"-",IF(SUMPRODUCT(('Daily Checklist'!$D$2:$D$2000=$A32)*(TEXT('Daily Checklist'!$B$2:$B$2000,"yyyy-mm-dd")=TEXT(($B$4+2),"yyyy-mm-dd"))*('Daily Checklist'!$L$2:$L$2000="Y"))&gt;0,SUMPRODUCT(('Daily Checklist'!$D$2:$D$2000=$A32)*(TEXT('Daily Checklist'!$B$2:$B$2000,"yyyy-mm-dd")=TEXT(($B$4+2),"yyyy-mm-dd"))*('Daily Checklist'!$F$2:$F$2000="Done"))&amp;"/"&amp;SUMPRODUCT(('Daily Checklist'!$D$2:$D$2000=$A32)*(TEXT('Daily Checklist'!$B$2:$B$2000,"yyyy-mm-dd")=TEXT(($B$4+2),"yyyy-mm-dd")))&amp;" ESC",SUMPRODUCT(('Daily Checklist'!$D$2:$D$2000=$A32)*(TEXT('Daily Checklist'!$B$2:$B$2000,"yyyy-mm-dd")=TEXT(($B$4+2),"yyyy-mm-dd"))*('Daily Checklist'!$F$2:$F$2000="Done"))&amp;"/"&amp;SUMPRODUCT(('Daily Checklist'!$D$2:$D$2000=$A32)*(TEXT('Daily Checklist'!$B$2:$B$2000,"yyyy-mm-dd")=TEXT(($B$4+2),"yyyy-mm-dd"))))))</f>
        <v/>
      </c>
      <c r="E32" s="25" t="str">
        <f aca="false">IF($A32="","",IF(SUMPRODUCT(('Daily Checklist'!$D$2:$D$2000=$A32)*(TEXT('Daily Checklist'!$B$2:$B$2000,"yyyy-mm-dd")=TEXT(($B$4+3),"yyyy-mm-dd")))=0,"-",IF(SUMPRODUCT(('Daily Checklist'!$D$2:$D$2000=$A32)*(TEXT('Daily Checklist'!$B$2:$B$2000,"yyyy-mm-dd")=TEXT(($B$4+3),"yyyy-mm-dd"))*('Daily Checklist'!$L$2:$L$2000="Y"))&gt;0,SUMPRODUCT(('Daily Checklist'!$D$2:$D$2000=$A32)*(TEXT('Daily Checklist'!$B$2:$B$2000,"yyyy-mm-dd")=TEXT(($B$4+3),"yyyy-mm-dd"))*('Daily Checklist'!$F$2:$F$2000="Done"))&amp;"/"&amp;SUMPRODUCT(('Daily Checklist'!$D$2:$D$2000=$A32)*(TEXT('Daily Checklist'!$B$2:$B$2000,"yyyy-mm-dd")=TEXT(($B$4+3),"yyyy-mm-dd")))&amp;" ESC",SUMPRODUCT(('Daily Checklist'!$D$2:$D$2000=$A32)*(TEXT('Daily Checklist'!$B$2:$B$2000,"yyyy-mm-dd")=TEXT(($B$4+3),"yyyy-mm-dd"))*('Daily Checklist'!$F$2:$F$2000="Done"))&amp;"/"&amp;SUMPRODUCT(('Daily Checklist'!$D$2:$D$2000=$A32)*(TEXT('Daily Checklist'!$B$2:$B$2000,"yyyy-mm-dd")=TEXT(($B$4+3),"yyyy-mm-dd"))))))</f>
        <v/>
      </c>
      <c r="F32" s="25" t="str">
        <f aca="false">IF($A32="","",IF(SUMPRODUCT(('Daily Checklist'!$D$2:$D$2000=$A32)*(TEXT('Daily Checklist'!$B$2:$B$2000,"yyyy-mm-dd")=TEXT(($B$4+4),"yyyy-mm-dd")))=0,"-",IF(SUMPRODUCT(('Daily Checklist'!$D$2:$D$2000=$A32)*(TEXT('Daily Checklist'!$B$2:$B$2000,"yyyy-mm-dd")=TEXT(($B$4+4),"yyyy-mm-dd"))*('Daily Checklist'!$L$2:$L$2000="Y"))&gt;0,SUMPRODUCT(('Daily Checklist'!$D$2:$D$2000=$A32)*(TEXT('Daily Checklist'!$B$2:$B$2000,"yyyy-mm-dd")=TEXT(($B$4+4),"yyyy-mm-dd"))*('Daily Checklist'!$F$2:$F$2000="Done"))&amp;"/"&amp;SUMPRODUCT(('Daily Checklist'!$D$2:$D$2000=$A32)*(TEXT('Daily Checklist'!$B$2:$B$2000,"yyyy-mm-dd")=TEXT(($B$4+4),"yyyy-mm-dd")))&amp;" ESC",SUMPRODUCT(('Daily Checklist'!$D$2:$D$2000=$A32)*(TEXT('Daily Checklist'!$B$2:$B$2000,"yyyy-mm-dd")=TEXT(($B$4+4),"yyyy-mm-dd"))*('Daily Checklist'!$F$2:$F$2000="Done"))&amp;"/"&amp;SUMPRODUCT(('Daily Checklist'!$D$2:$D$2000=$A32)*(TEXT('Daily Checklist'!$B$2:$B$2000,"yyyy-mm-dd")=TEXT(($B$4+4),"yyyy-mm-dd"))))))</f>
        <v/>
      </c>
      <c r="G32" s="25" t="str">
        <f aca="false">IF($A32="","",IF(SUMPRODUCT(('Daily Checklist'!$D$2:$D$2000=$A32)*(TEXT('Daily Checklist'!$B$2:$B$2000,"yyyy-mm-dd")=TEXT(($B$4+5),"yyyy-mm-dd")))=0,"-",IF(SUMPRODUCT(('Daily Checklist'!$D$2:$D$2000=$A32)*(TEXT('Daily Checklist'!$B$2:$B$2000,"yyyy-mm-dd")=TEXT(($B$4+5),"yyyy-mm-dd"))*('Daily Checklist'!$L$2:$L$2000="Y"))&gt;0,SUMPRODUCT(('Daily Checklist'!$D$2:$D$2000=$A32)*(TEXT('Daily Checklist'!$B$2:$B$2000,"yyyy-mm-dd")=TEXT(($B$4+5),"yyyy-mm-dd"))*('Daily Checklist'!$F$2:$F$2000="Done"))&amp;"/"&amp;SUMPRODUCT(('Daily Checklist'!$D$2:$D$2000=$A32)*(TEXT('Daily Checklist'!$B$2:$B$2000,"yyyy-mm-dd")=TEXT(($B$4+5),"yyyy-mm-dd")))&amp;" ESC",SUMPRODUCT(('Daily Checklist'!$D$2:$D$2000=$A32)*(TEXT('Daily Checklist'!$B$2:$B$2000,"yyyy-mm-dd")=TEXT(($B$4+5),"yyyy-mm-dd"))*('Daily Checklist'!$F$2:$F$2000="Done"))&amp;"/"&amp;SUMPRODUCT(('Daily Checklist'!$D$2:$D$2000=$A32)*(TEXT('Daily Checklist'!$B$2:$B$2000,"yyyy-mm-dd")=TEXT(($B$4+5),"yyyy-mm-dd"))))))</f>
        <v/>
      </c>
      <c r="H32" s="25" t="str">
        <f aca="false">IF($A32="","",IF(SUMPRODUCT(('Daily Checklist'!$D$2:$D$2000=$A32)*(TEXT('Daily Checklist'!$B$2:$B$2000,"yyyy-mm-dd")=TEXT(($B$4+6),"yyyy-mm-dd")))=0,"-",IF(SUMPRODUCT(('Daily Checklist'!$D$2:$D$2000=$A32)*(TEXT('Daily Checklist'!$B$2:$B$2000,"yyyy-mm-dd")=TEXT(($B$4+6),"yyyy-mm-dd"))*('Daily Checklist'!$L$2:$L$2000="Y"))&gt;0,SUMPRODUCT(('Daily Checklist'!$D$2:$D$2000=$A32)*(TEXT('Daily Checklist'!$B$2:$B$2000,"yyyy-mm-dd")=TEXT(($B$4+6),"yyyy-mm-dd"))*('Daily Checklist'!$F$2:$F$2000="Done"))&amp;"/"&amp;SUMPRODUCT(('Daily Checklist'!$D$2:$D$2000=$A32)*(TEXT('Daily Checklist'!$B$2:$B$2000,"yyyy-mm-dd")=TEXT(($B$4+6),"yyyy-mm-dd")))&amp;" ESC",SUMPRODUCT(('Daily Checklist'!$D$2:$D$2000=$A32)*(TEXT('Daily Checklist'!$B$2:$B$2000,"yyyy-mm-dd")=TEXT(($B$4+6),"yyyy-mm-dd"))*('Daily Checklist'!$F$2:$F$2000="Done"))&amp;"/"&amp;SUMPRODUCT(('Daily Checklist'!$D$2:$D$2000=$A32)*(TEXT('Daily Checklist'!$B$2:$B$2000,"yyyy-mm-dd")=TEXT(($B$4+6),"yyyy-mm-dd"))))))</f>
        <v/>
      </c>
      <c r="I32" s="25" t="str">
        <f aca="false">IF($A32="","",IF(SUMPRODUCT(('Daily Checklist'!$D$2:$D$2000=$A32)*(TEXT('Daily Checklist'!$B$2:$B$2000,"yyyy-mm-dd")=TEXT(($B$4+7),"yyyy-mm-dd")))=0,"-",IF(SUMPRODUCT(('Daily Checklist'!$D$2:$D$2000=$A32)*(TEXT('Daily Checklist'!$B$2:$B$2000,"yyyy-mm-dd")=TEXT(($B$4+7),"yyyy-mm-dd"))*('Daily Checklist'!$L$2:$L$2000="Y"))&gt;0,SUMPRODUCT(('Daily Checklist'!$D$2:$D$2000=$A32)*(TEXT('Daily Checklist'!$B$2:$B$2000,"yyyy-mm-dd")=TEXT(($B$4+7),"yyyy-mm-dd"))*('Daily Checklist'!$F$2:$F$2000="Done"))&amp;"/"&amp;SUMPRODUCT(('Daily Checklist'!$D$2:$D$2000=$A32)*(TEXT('Daily Checklist'!$B$2:$B$2000,"yyyy-mm-dd")=TEXT(($B$4+7),"yyyy-mm-dd")))&amp;" ESC",SUMPRODUCT(('Daily Checklist'!$D$2:$D$2000=$A32)*(TEXT('Daily Checklist'!$B$2:$B$2000,"yyyy-mm-dd")=TEXT(($B$4+7),"yyyy-mm-dd"))*('Daily Checklist'!$F$2:$F$2000="Done"))&amp;"/"&amp;SUMPRODUCT(('Daily Checklist'!$D$2:$D$2000=$A32)*(TEXT('Daily Checklist'!$B$2:$B$2000,"yyyy-mm-dd")=TEXT(($B$4+7),"yyyy-mm-dd"))))))</f>
        <v/>
      </c>
      <c r="J32" s="25" t="str">
        <f aca="false">IF($A32="","",IF(SUMPRODUCT(('Daily Checklist'!$D$2:$D$2000=$A32)*(TEXT('Daily Checklist'!$B$2:$B$2000,"yyyy-mm-dd")=TEXT(($B$4+8),"yyyy-mm-dd")))=0,"-",IF(SUMPRODUCT(('Daily Checklist'!$D$2:$D$2000=$A32)*(TEXT('Daily Checklist'!$B$2:$B$2000,"yyyy-mm-dd")=TEXT(($B$4+8),"yyyy-mm-dd"))*('Daily Checklist'!$L$2:$L$2000="Y"))&gt;0,SUMPRODUCT(('Daily Checklist'!$D$2:$D$2000=$A32)*(TEXT('Daily Checklist'!$B$2:$B$2000,"yyyy-mm-dd")=TEXT(($B$4+8),"yyyy-mm-dd"))*('Daily Checklist'!$F$2:$F$2000="Done"))&amp;"/"&amp;SUMPRODUCT(('Daily Checklist'!$D$2:$D$2000=$A32)*(TEXT('Daily Checklist'!$B$2:$B$2000,"yyyy-mm-dd")=TEXT(($B$4+8),"yyyy-mm-dd")))&amp;" ESC",SUMPRODUCT(('Daily Checklist'!$D$2:$D$2000=$A32)*(TEXT('Daily Checklist'!$B$2:$B$2000,"yyyy-mm-dd")=TEXT(($B$4+8),"yyyy-mm-dd"))*('Daily Checklist'!$F$2:$F$2000="Done"))&amp;"/"&amp;SUMPRODUCT(('Daily Checklist'!$D$2:$D$2000=$A32)*(TEXT('Daily Checklist'!$B$2:$B$2000,"yyyy-mm-dd")=TEXT(($B$4+8),"yyyy-mm-dd"))))))</f>
        <v/>
      </c>
      <c r="K32" s="25" t="str">
        <f aca="false">IF($A32="","",IF(SUMPRODUCT(('Daily Checklist'!$D$2:$D$2000=$A32)*(TEXT('Daily Checklist'!$B$2:$B$2000,"yyyy-mm-dd")=TEXT(($B$4+9),"yyyy-mm-dd")))=0,"-",IF(SUMPRODUCT(('Daily Checklist'!$D$2:$D$2000=$A32)*(TEXT('Daily Checklist'!$B$2:$B$2000,"yyyy-mm-dd")=TEXT(($B$4+9),"yyyy-mm-dd"))*('Daily Checklist'!$L$2:$L$2000="Y"))&gt;0,SUMPRODUCT(('Daily Checklist'!$D$2:$D$2000=$A32)*(TEXT('Daily Checklist'!$B$2:$B$2000,"yyyy-mm-dd")=TEXT(($B$4+9),"yyyy-mm-dd"))*('Daily Checklist'!$F$2:$F$2000="Done"))&amp;"/"&amp;SUMPRODUCT(('Daily Checklist'!$D$2:$D$2000=$A32)*(TEXT('Daily Checklist'!$B$2:$B$2000,"yyyy-mm-dd")=TEXT(($B$4+9),"yyyy-mm-dd")))&amp;" ESC",SUMPRODUCT(('Daily Checklist'!$D$2:$D$2000=$A32)*(TEXT('Daily Checklist'!$B$2:$B$2000,"yyyy-mm-dd")=TEXT(($B$4+9),"yyyy-mm-dd"))*('Daily Checklist'!$F$2:$F$2000="Done"))&amp;"/"&amp;SUMPRODUCT(('Daily Checklist'!$D$2:$D$2000=$A32)*(TEXT('Daily Checklist'!$B$2:$B$2000,"yyyy-mm-dd")=TEXT(($B$4+9),"yyyy-mm-dd"))))))</f>
        <v/>
      </c>
      <c r="L32" s="25" t="str">
        <f aca="false">IF($A32="","",IF(SUMPRODUCT(('Daily Checklist'!$D$2:$D$2000=$A32)*(TEXT('Daily Checklist'!$B$2:$B$2000,"yyyy-mm-dd")=TEXT(($B$4+10),"yyyy-mm-dd")))=0,"-",IF(SUMPRODUCT(('Daily Checklist'!$D$2:$D$2000=$A32)*(TEXT('Daily Checklist'!$B$2:$B$2000,"yyyy-mm-dd")=TEXT(($B$4+10),"yyyy-mm-dd"))*('Daily Checklist'!$L$2:$L$2000="Y"))&gt;0,SUMPRODUCT(('Daily Checklist'!$D$2:$D$2000=$A32)*(TEXT('Daily Checklist'!$B$2:$B$2000,"yyyy-mm-dd")=TEXT(($B$4+10),"yyyy-mm-dd"))*('Daily Checklist'!$F$2:$F$2000="Done"))&amp;"/"&amp;SUMPRODUCT(('Daily Checklist'!$D$2:$D$2000=$A32)*(TEXT('Daily Checklist'!$B$2:$B$2000,"yyyy-mm-dd")=TEXT(($B$4+10),"yyyy-mm-dd")))&amp;" ESC",SUMPRODUCT(('Daily Checklist'!$D$2:$D$2000=$A32)*(TEXT('Daily Checklist'!$B$2:$B$2000,"yyyy-mm-dd")=TEXT(($B$4+10),"yyyy-mm-dd"))*('Daily Checklist'!$F$2:$F$2000="Done"))&amp;"/"&amp;SUMPRODUCT(('Daily Checklist'!$D$2:$D$2000=$A32)*(TEXT('Daily Checklist'!$B$2:$B$2000,"yyyy-mm-dd")=TEXT(($B$4+10),"yyyy-mm-dd"))))))</f>
        <v/>
      </c>
      <c r="M32" s="25" t="str">
        <f aca="false">IF($A32="","",IF(SUMPRODUCT(('Daily Checklist'!$D$2:$D$2000=$A32)*(TEXT('Daily Checklist'!$B$2:$B$2000,"yyyy-mm-dd")=TEXT(($B$4+11),"yyyy-mm-dd")))=0,"-",IF(SUMPRODUCT(('Daily Checklist'!$D$2:$D$2000=$A32)*(TEXT('Daily Checklist'!$B$2:$B$2000,"yyyy-mm-dd")=TEXT(($B$4+11),"yyyy-mm-dd"))*('Daily Checklist'!$L$2:$L$2000="Y"))&gt;0,SUMPRODUCT(('Daily Checklist'!$D$2:$D$2000=$A32)*(TEXT('Daily Checklist'!$B$2:$B$2000,"yyyy-mm-dd")=TEXT(($B$4+11),"yyyy-mm-dd"))*('Daily Checklist'!$F$2:$F$2000="Done"))&amp;"/"&amp;SUMPRODUCT(('Daily Checklist'!$D$2:$D$2000=$A32)*(TEXT('Daily Checklist'!$B$2:$B$2000,"yyyy-mm-dd")=TEXT(($B$4+11),"yyyy-mm-dd")))&amp;" ESC",SUMPRODUCT(('Daily Checklist'!$D$2:$D$2000=$A32)*(TEXT('Daily Checklist'!$B$2:$B$2000,"yyyy-mm-dd")=TEXT(($B$4+11),"yyyy-mm-dd"))*('Daily Checklist'!$F$2:$F$2000="Done"))&amp;"/"&amp;SUMPRODUCT(('Daily Checklist'!$D$2:$D$2000=$A32)*(TEXT('Daily Checklist'!$B$2:$B$2000,"yyyy-mm-dd")=TEXT(($B$4+11),"yyyy-mm-dd"))))))</f>
        <v/>
      </c>
      <c r="N32" s="25" t="str">
        <f aca="false">IF($A32="","",IF(SUMPRODUCT(('Daily Checklist'!$D$2:$D$2000=$A32)*(TEXT('Daily Checklist'!$B$2:$B$2000,"yyyy-mm-dd")=TEXT(($B$4+12),"yyyy-mm-dd")))=0,"-",IF(SUMPRODUCT(('Daily Checklist'!$D$2:$D$2000=$A32)*(TEXT('Daily Checklist'!$B$2:$B$2000,"yyyy-mm-dd")=TEXT(($B$4+12),"yyyy-mm-dd"))*('Daily Checklist'!$L$2:$L$2000="Y"))&gt;0,SUMPRODUCT(('Daily Checklist'!$D$2:$D$2000=$A32)*(TEXT('Daily Checklist'!$B$2:$B$2000,"yyyy-mm-dd")=TEXT(($B$4+12),"yyyy-mm-dd"))*('Daily Checklist'!$F$2:$F$2000="Done"))&amp;"/"&amp;SUMPRODUCT(('Daily Checklist'!$D$2:$D$2000=$A32)*(TEXT('Daily Checklist'!$B$2:$B$2000,"yyyy-mm-dd")=TEXT(($B$4+12),"yyyy-mm-dd")))&amp;" ESC",SUMPRODUCT(('Daily Checklist'!$D$2:$D$2000=$A32)*(TEXT('Daily Checklist'!$B$2:$B$2000,"yyyy-mm-dd")=TEXT(($B$4+12),"yyyy-mm-dd"))*('Daily Checklist'!$F$2:$F$2000="Done"))&amp;"/"&amp;SUMPRODUCT(('Daily Checklist'!$D$2:$D$2000=$A32)*(TEXT('Daily Checklist'!$B$2:$B$2000,"yyyy-mm-dd")=TEXT(($B$4+12),"yyyy-mm-dd"))))))</f>
        <v/>
      </c>
      <c r="O32" s="25" t="str">
        <f aca="false">IF($A32="","",IF(SUMPRODUCT(('Daily Checklist'!$D$2:$D$2000=$A32)*(TEXT('Daily Checklist'!$B$2:$B$2000,"yyyy-mm-dd")=TEXT(($B$4+13),"yyyy-mm-dd")))=0,"-",IF(SUMPRODUCT(('Daily Checklist'!$D$2:$D$2000=$A32)*(TEXT('Daily Checklist'!$B$2:$B$2000,"yyyy-mm-dd")=TEXT(($B$4+13),"yyyy-mm-dd"))*('Daily Checklist'!$L$2:$L$2000="Y"))&gt;0,SUMPRODUCT(('Daily Checklist'!$D$2:$D$2000=$A32)*(TEXT('Daily Checklist'!$B$2:$B$2000,"yyyy-mm-dd")=TEXT(($B$4+13),"yyyy-mm-dd"))*('Daily Checklist'!$F$2:$F$2000="Done"))&amp;"/"&amp;SUMPRODUCT(('Daily Checklist'!$D$2:$D$2000=$A32)*(TEXT('Daily Checklist'!$B$2:$B$2000,"yyyy-mm-dd")=TEXT(($B$4+13),"yyyy-mm-dd")))&amp;" ESC",SUMPRODUCT(('Daily Checklist'!$D$2:$D$2000=$A32)*(TEXT('Daily Checklist'!$B$2:$B$2000,"yyyy-mm-dd")=TEXT(($B$4+13),"yyyy-mm-dd"))*('Daily Checklist'!$F$2:$F$2000="Done"))&amp;"/"&amp;SUMPRODUCT(('Daily Checklist'!$D$2:$D$2000=$A32)*(TEXT('Daily Checklist'!$B$2:$B$2000,"yyyy-mm-dd")=TEXT(($B$4+13),"yyyy-mm-dd"))))))</f>
        <v/>
      </c>
      <c r="P32" s="25" t="str">
        <f aca="false">IF($A32="","",IF(SUMPRODUCT(('Daily Checklist'!$D$2:$D$2000=$A32)*(TEXT('Daily Checklist'!$B$2:$B$2000,"yyyy-mm-dd")=TEXT(($B$4+14),"yyyy-mm-dd")))=0,"-",IF(SUMPRODUCT(('Daily Checklist'!$D$2:$D$2000=$A32)*(TEXT('Daily Checklist'!$B$2:$B$2000,"yyyy-mm-dd")=TEXT(($B$4+14),"yyyy-mm-dd"))*('Daily Checklist'!$L$2:$L$2000="Y"))&gt;0,SUMPRODUCT(('Daily Checklist'!$D$2:$D$2000=$A32)*(TEXT('Daily Checklist'!$B$2:$B$2000,"yyyy-mm-dd")=TEXT(($B$4+14),"yyyy-mm-dd"))*('Daily Checklist'!$F$2:$F$2000="Done"))&amp;"/"&amp;SUMPRODUCT(('Daily Checklist'!$D$2:$D$2000=$A32)*(TEXT('Daily Checklist'!$B$2:$B$2000,"yyyy-mm-dd")=TEXT(($B$4+14),"yyyy-mm-dd")))&amp;" ESC",SUMPRODUCT(('Daily Checklist'!$D$2:$D$2000=$A32)*(TEXT('Daily Checklist'!$B$2:$B$2000,"yyyy-mm-dd")=TEXT(($B$4+14),"yyyy-mm-dd"))*('Daily Checklist'!$F$2:$F$2000="Done"))&amp;"/"&amp;SUMPRODUCT(('Daily Checklist'!$D$2:$D$2000=$A32)*(TEXT('Daily Checklist'!$B$2:$B$2000,"yyyy-mm-dd")=TEXT(($B$4+14),"yyyy-mm-dd"))))))</f>
        <v/>
      </c>
      <c r="Q32" s="25" t="str">
        <f aca="false">IF($A32="","",IF(SUMPRODUCT(('Daily Checklist'!$D$2:$D$2000=$A32)*(TEXT('Daily Checklist'!$B$2:$B$2000,"yyyy-mm-dd")=TEXT(($B$4+15),"yyyy-mm-dd")))=0,"-",IF(SUMPRODUCT(('Daily Checklist'!$D$2:$D$2000=$A32)*(TEXT('Daily Checklist'!$B$2:$B$2000,"yyyy-mm-dd")=TEXT(($B$4+15),"yyyy-mm-dd"))*('Daily Checklist'!$L$2:$L$2000="Y"))&gt;0,SUMPRODUCT(('Daily Checklist'!$D$2:$D$2000=$A32)*(TEXT('Daily Checklist'!$B$2:$B$2000,"yyyy-mm-dd")=TEXT(($B$4+15),"yyyy-mm-dd"))*('Daily Checklist'!$F$2:$F$2000="Done"))&amp;"/"&amp;SUMPRODUCT(('Daily Checklist'!$D$2:$D$2000=$A32)*(TEXT('Daily Checklist'!$B$2:$B$2000,"yyyy-mm-dd")=TEXT(($B$4+15),"yyyy-mm-dd")))&amp;" ESC",SUMPRODUCT(('Daily Checklist'!$D$2:$D$2000=$A32)*(TEXT('Daily Checklist'!$B$2:$B$2000,"yyyy-mm-dd")=TEXT(($B$4+15),"yyyy-mm-dd"))*('Daily Checklist'!$F$2:$F$2000="Done"))&amp;"/"&amp;SUMPRODUCT(('Daily Checklist'!$D$2:$D$2000=$A32)*(TEXT('Daily Checklist'!$B$2:$B$2000,"yyyy-mm-dd")=TEXT(($B$4+15),"yyyy-mm-dd"))))))</f>
        <v/>
      </c>
      <c r="R32" s="25" t="str">
        <f aca="false">IF($A32="","",IF(SUMPRODUCT(('Daily Checklist'!$D$2:$D$2000=$A32)*(TEXT('Daily Checklist'!$B$2:$B$2000,"yyyy-mm-dd")=TEXT(($B$4+16),"yyyy-mm-dd")))=0,"-",IF(SUMPRODUCT(('Daily Checklist'!$D$2:$D$2000=$A32)*(TEXT('Daily Checklist'!$B$2:$B$2000,"yyyy-mm-dd")=TEXT(($B$4+16),"yyyy-mm-dd"))*('Daily Checklist'!$L$2:$L$2000="Y"))&gt;0,SUMPRODUCT(('Daily Checklist'!$D$2:$D$2000=$A32)*(TEXT('Daily Checklist'!$B$2:$B$2000,"yyyy-mm-dd")=TEXT(($B$4+16),"yyyy-mm-dd"))*('Daily Checklist'!$F$2:$F$2000="Done"))&amp;"/"&amp;SUMPRODUCT(('Daily Checklist'!$D$2:$D$2000=$A32)*(TEXT('Daily Checklist'!$B$2:$B$2000,"yyyy-mm-dd")=TEXT(($B$4+16),"yyyy-mm-dd")))&amp;" ESC",SUMPRODUCT(('Daily Checklist'!$D$2:$D$2000=$A32)*(TEXT('Daily Checklist'!$B$2:$B$2000,"yyyy-mm-dd")=TEXT(($B$4+16),"yyyy-mm-dd"))*('Daily Checklist'!$F$2:$F$2000="Done"))&amp;"/"&amp;SUMPRODUCT(('Daily Checklist'!$D$2:$D$2000=$A32)*(TEXT('Daily Checklist'!$B$2:$B$2000,"yyyy-mm-dd")=TEXT(($B$4+16),"yyyy-mm-dd"))))))</f>
        <v/>
      </c>
      <c r="S32" s="25" t="str">
        <f aca="false">IF($A32="","",IF(SUMPRODUCT(('Daily Checklist'!$D$2:$D$2000=$A32)*(TEXT('Daily Checklist'!$B$2:$B$2000,"yyyy-mm-dd")=TEXT(($B$4+17),"yyyy-mm-dd")))=0,"-",IF(SUMPRODUCT(('Daily Checklist'!$D$2:$D$2000=$A32)*(TEXT('Daily Checklist'!$B$2:$B$2000,"yyyy-mm-dd")=TEXT(($B$4+17),"yyyy-mm-dd"))*('Daily Checklist'!$L$2:$L$2000="Y"))&gt;0,SUMPRODUCT(('Daily Checklist'!$D$2:$D$2000=$A32)*(TEXT('Daily Checklist'!$B$2:$B$2000,"yyyy-mm-dd")=TEXT(($B$4+17),"yyyy-mm-dd"))*('Daily Checklist'!$F$2:$F$2000="Done"))&amp;"/"&amp;SUMPRODUCT(('Daily Checklist'!$D$2:$D$2000=$A32)*(TEXT('Daily Checklist'!$B$2:$B$2000,"yyyy-mm-dd")=TEXT(($B$4+17),"yyyy-mm-dd")))&amp;" ESC",SUMPRODUCT(('Daily Checklist'!$D$2:$D$2000=$A32)*(TEXT('Daily Checklist'!$B$2:$B$2000,"yyyy-mm-dd")=TEXT(($B$4+17),"yyyy-mm-dd"))*('Daily Checklist'!$F$2:$F$2000="Done"))&amp;"/"&amp;SUMPRODUCT(('Daily Checklist'!$D$2:$D$2000=$A32)*(TEXT('Daily Checklist'!$B$2:$B$2000,"yyyy-mm-dd")=TEXT(($B$4+17),"yyyy-mm-dd"))))))</f>
        <v/>
      </c>
      <c r="T32" s="25" t="str">
        <f aca="false">IF($A32="","",IF(SUMPRODUCT(('Daily Checklist'!$D$2:$D$2000=$A32)*(TEXT('Daily Checklist'!$B$2:$B$2000,"yyyy-mm-dd")=TEXT(($B$4+18),"yyyy-mm-dd")))=0,"-",IF(SUMPRODUCT(('Daily Checklist'!$D$2:$D$2000=$A32)*(TEXT('Daily Checklist'!$B$2:$B$2000,"yyyy-mm-dd")=TEXT(($B$4+18),"yyyy-mm-dd"))*('Daily Checklist'!$L$2:$L$2000="Y"))&gt;0,SUMPRODUCT(('Daily Checklist'!$D$2:$D$2000=$A32)*(TEXT('Daily Checklist'!$B$2:$B$2000,"yyyy-mm-dd")=TEXT(($B$4+18),"yyyy-mm-dd"))*('Daily Checklist'!$F$2:$F$2000="Done"))&amp;"/"&amp;SUMPRODUCT(('Daily Checklist'!$D$2:$D$2000=$A32)*(TEXT('Daily Checklist'!$B$2:$B$2000,"yyyy-mm-dd")=TEXT(($B$4+18),"yyyy-mm-dd")))&amp;" ESC",SUMPRODUCT(('Daily Checklist'!$D$2:$D$2000=$A32)*(TEXT('Daily Checklist'!$B$2:$B$2000,"yyyy-mm-dd")=TEXT(($B$4+18),"yyyy-mm-dd"))*('Daily Checklist'!$F$2:$F$2000="Done"))&amp;"/"&amp;SUMPRODUCT(('Daily Checklist'!$D$2:$D$2000=$A32)*(TEXT('Daily Checklist'!$B$2:$B$2000,"yyyy-mm-dd")=TEXT(($B$4+18),"yyyy-mm-dd"))))))</f>
        <v/>
      </c>
      <c r="U32" s="25" t="str">
        <f aca="false">IF($A32="","",IF(SUMPRODUCT(('Daily Checklist'!$D$2:$D$2000=$A32)*(TEXT('Daily Checklist'!$B$2:$B$2000,"yyyy-mm-dd")=TEXT(($B$4+19),"yyyy-mm-dd")))=0,"-",IF(SUMPRODUCT(('Daily Checklist'!$D$2:$D$2000=$A32)*(TEXT('Daily Checklist'!$B$2:$B$2000,"yyyy-mm-dd")=TEXT(($B$4+19),"yyyy-mm-dd"))*('Daily Checklist'!$L$2:$L$2000="Y"))&gt;0,SUMPRODUCT(('Daily Checklist'!$D$2:$D$2000=$A32)*(TEXT('Daily Checklist'!$B$2:$B$2000,"yyyy-mm-dd")=TEXT(($B$4+19),"yyyy-mm-dd"))*('Daily Checklist'!$F$2:$F$2000="Done"))&amp;"/"&amp;SUMPRODUCT(('Daily Checklist'!$D$2:$D$2000=$A32)*(TEXT('Daily Checklist'!$B$2:$B$2000,"yyyy-mm-dd")=TEXT(($B$4+19),"yyyy-mm-dd")))&amp;" ESC",SUMPRODUCT(('Daily Checklist'!$D$2:$D$2000=$A32)*(TEXT('Daily Checklist'!$B$2:$B$2000,"yyyy-mm-dd")=TEXT(($B$4+19),"yyyy-mm-dd"))*('Daily Checklist'!$F$2:$F$2000="Done"))&amp;"/"&amp;SUMPRODUCT(('Daily Checklist'!$D$2:$D$2000=$A32)*(TEXT('Daily Checklist'!$B$2:$B$2000,"yyyy-mm-dd")=TEXT(($B$4+19),"yyyy-mm-dd"))))))</f>
        <v/>
      </c>
      <c r="V32" s="25" t="str">
        <f aca="false">IF($A32="","",IF(SUMPRODUCT(('Daily Checklist'!$D$2:$D$2000=$A32)*(TEXT('Daily Checklist'!$B$2:$B$2000,"yyyy-mm-dd")=TEXT(($B$4+20),"yyyy-mm-dd")))=0,"-",IF(SUMPRODUCT(('Daily Checklist'!$D$2:$D$2000=$A32)*(TEXT('Daily Checklist'!$B$2:$B$2000,"yyyy-mm-dd")=TEXT(($B$4+20),"yyyy-mm-dd"))*('Daily Checklist'!$L$2:$L$2000="Y"))&gt;0,SUMPRODUCT(('Daily Checklist'!$D$2:$D$2000=$A32)*(TEXT('Daily Checklist'!$B$2:$B$2000,"yyyy-mm-dd")=TEXT(($B$4+20),"yyyy-mm-dd"))*('Daily Checklist'!$F$2:$F$2000="Done"))&amp;"/"&amp;SUMPRODUCT(('Daily Checklist'!$D$2:$D$2000=$A32)*(TEXT('Daily Checklist'!$B$2:$B$2000,"yyyy-mm-dd")=TEXT(($B$4+20),"yyyy-mm-dd")))&amp;" ESC",SUMPRODUCT(('Daily Checklist'!$D$2:$D$2000=$A32)*(TEXT('Daily Checklist'!$B$2:$B$2000,"yyyy-mm-dd")=TEXT(($B$4+20),"yyyy-mm-dd"))*('Daily Checklist'!$F$2:$F$2000="Done"))&amp;"/"&amp;SUMPRODUCT(('Daily Checklist'!$D$2:$D$2000=$A32)*(TEXT('Daily Checklist'!$B$2:$B$2000,"yyyy-mm-dd")=TEXT(($B$4+20),"yyyy-mm-dd"))))))</f>
        <v/>
      </c>
      <c r="W32" s="25" t="str">
        <f aca="false">IF($A32="","",IF(SUMPRODUCT(('Daily Checklist'!$D$2:$D$2000=$A32)*(TEXT('Daily Checklist'!$B$2:$B$2000,"yyyy-mm-dd")=TEXT(($B$4+21),"yyyy-mm-dd")))=0,"-",IF(SUMPRODUCT(('Daily Checklist'!$D$2:$D$2000=$A32)*(TEXT('Daily Checklist'!$B$2:$B$2000,"yyyy-mm-dd")=TEXT(($B$4+21),"yyyy-mm-dd"))*('Daily Checklist'!$L$2:$L$2000="Y"))&gt;0,SUMPRODUCT(('Daily Checklist'!$D$2:$D$2000=$A32)*(TEXT('Daily Checklist'!$B$2:$B$2000,"yyyy-mm-dd")=TEXT(($B$4+21),"yyyy-mm-dd"))*('Daily Checklist'!$F$2:$F$2000="Done"))&amp;"/"&amp;SUMPRODUCT(('Daily Checklist'!$D$2:$D$2000=$A32)*(TEXT('Daily Checklist'!$B$2:$B$2000,"yyyy-mm-dd")=TEXT(($B$4+21),"yyyy-mm-dd")))&amp;" ESC",SUMPRODUCT(('Daily Checklist'!$D$2:$D$2000=$A32)*(TEXT('Daily Checklist'!$B$2:$B$2000,"yyyy-mm-dd")=TEXT(($B$4+21),"yyyy-mm-dd"))*('Daily Checklist'!$F$2:$F$2000="Done"))&amp;"/"&amp;SUMPRODUCT(('Daily Checklist'!$D$2:$D$2000=$A32)*(TEXT('Daily Checklist'!$B$2:$B$2000,"yyyy-mm-dd")=TEXT(($B$4+21),"yyyy-mm-dd"))))))</f>
        <v/>
      </c>
      <c r="X32" s="25" t="str">
        <f aca="false">IF($A32="","",IF(SUMPRODUCT(('Daily Checklist'!$D$2:$D$2000=$A32)*(TEXT('Daily Checklist'!$B$2:$B$2000,"yyyy-mm-dd")=TEXT(($B$4+22),"yyyy-mm-dd")))=0,"-",IF(SUMPRODUCT(('Daily Checklist'!$D$2:$D$2000=$A32)*(TEXT('Daily Checklist'!$B$2:$B$2000,"yyyy-mm-dd")=TEXT(($B$4+22),"yyyy-mm-dd"))*('Daily Checklist'!$L$2:$L$2000="Y"))&gt;0,SUMPRODUCT(('Daily Checklist'!$D$2:$D$2000=$A32)*(TEXT('Daily Checklist'!$B$2:$B$2000,"yyyy-mm-dd")=TEXT(($B$4+22),"yyyy-mm-dd"))*('Daily Checklist'!$F$2:$F$2000="Done"))&amp;"/"&amp;SUMPRODUCT(('Daily Checklist'!$D$2:$D$2000=$A32)*(TEXT('Daily Checklist'!$B$2:$B$2000,"yyyy-mm-dd")=TEXT(($B$4+22),"yyyy-mm-dd")))&amp;" ESC",SUMPRODUCT(('Daily Checklist'!$D$2:$D$2000=$A32)*(TEXT('Daily Checklist'!$B$2:$B$2000,"yyyy-mm-dd")=TEXT(($B$4+22),"yyyy-mm-dd"))*('Daily Checklist'!$F$2:$F$2000="Done"))&amp;"/"&amp;SUMPRODUCT(('Daily Checklist'!$D$2:$D$2000=$A32)*(TEXT('Daily Checklist'!$B$2:$B$2000,"yyyy-mm-dd")=TEXT(($B$4+22),"yyyy-mm-dd"))))))</f>
        <v/>
      </c>
      <c r="Y32" s="25" t="str">
        <f aca="false">IF($A32="","",IF(SUMPRODUCT(('Daily Checklist'!$D$2:$D$2000=$A32)*(TEXT('Daily Checklist'!$B$2:$B$2000,"yyyy-mm-dd")=TEXT(($B$4+23),"yyyy-mm-dd")))=0,"-",IF(SUMPRODUCT(('Daily Checklist'!$D$2:$D$2000=$A32)*(TEXT('Daily Checklist'!$B$2:$B$2000,"yyyy-mm-dd")=TEXT(($B$4+23),"yyyy-mm-dd"))*('Daily Checklist'!$L$2:$L$2000="Y"))&gt;0,SUMPRODUCT(('Daily Checklist'!$D$2:$D$2000=$A32)*(TEXT('Daily Checklist'!$B$2:$B$2000,"yyyy-mm-dd")=TEXT(($B$4+23),"yyyy-mm-dd"))*('Daily Checklist'!$F$2:$F$2000="Done"))&amp;"/"&amp;SUMPRODUCT(('Daily Checklist'!$D$2:$D$2000=$A32)*(TEXT('Daily Checklist'!$B$2:$B$2000,"yyyy-mm-dd")=TEXT(($B$4+23),"yyyy-mm-dd")))&amp;" ESC",SUMPRODUCT(('Daily Checklist'!$D$2:$D$2000=$A32)*(TEXT('Daily Checklist'!$B$2:$B$2000,"yyyy-mm-dd")=TEXT(($B$4+23),"yyyy-mm-dd"))*('Daily Checklist'!$F$2:$F$2000="Done"))&amp;"/"&amp;SUMPRODUCT(('Daily Checklist'!$D$2:$D$2000=$A32)*(TEXT('Daily Checklist'!$B$2:$B$2000,"yyyy-mm-dd")=TEXT(($B$4+23),"yyyy-mm-dd"))))))</f>
        <v/>
      </c>
      <c r="Z32" s="25" t="str">
        <f aca="false">IF($A32="","",IF(SUMPRODUCT(('Daily Checklist'!$D$2:$D$2000=$A32)*(TEXT('Daily Checklist'!$B$2:$B$2000,"yyyy-mm-dd")=TEXT(($B$4+24),"yyyy-mm-dd")))=0,"-",IF(SUMPRODUCT(('Daily Checklist'!$D$2:$D$2000=$A32)*(TEXT('Daily Checklist'!$B$2:$B$2000,"yyyy-mm-dd")=TEXT(($B$4+24),"yyyy-mm-dd"))*('Daily Checklist'!$L$2:$L$2000="Y"))&gt;0,SUMPRODUCT(('Daily Checklist'!$D$2:$D$2000=$A32)*(TEXT('Daily Checklist'!$B$2:$B$2000,"yyyy-mm-dd")=TEXT(($B$4+24),"yyyy-mm-dd"))*('Daily Checklist'!$F$2:$F$2000="Done"))&amp;"/"&amp;SUMPRODUCT(('Daily Checklist'!$D$2:$D$2000=$A32)*(TEXT('Daily Checklist'!$B$2:$B$2000,"yyyy-mm-dd")=TEXT(($B$4+24),"yyyy-mm-dd")))&amp;" ESC",SUMPRODUCT(('Daily Checklist'!$D$2:$D$2000=$A32)*(TEXT('Daily Checklist'!$B$2:$B$2000,"yyyy-mm-dd")=TEXT(($B$4+24),"yyyy-mm-dd"))*('Daily Checklist'!$F$2:$F$2000="Done"))&amp;"/"&amp;SUMPRODUCT(('Daily Checklist'!$D$2:$D$2000=$A32)*(TEXT('Daily Checklist'!$B$2:$B$2000,"yyyy-mm-dd")=TEXT(($B$4+24),"yyyy-mm-dd"))))))</f>
        <v/>
      </c>
      <c r="AA32" s="25" t="str">
        <f aca="false">IF($A32="","",IF(SUMPRODUCT(('Daily Checklist'!$D$2:$D$2000=$A32)*(TEXT('Daily Checklist'!$B$2:$B$2000,"yyyy-mm-dd")=TEXT(($B$4+25),"yyyy-mm-dd")))=0,"-",IF(SUMPRODUCT(('Daily Checklist'!$D$2:$D$2000=$A32)*(TEXT('Daily Checklist'!$B$2:$B$2000,"yyyy-mm-dd")=TEXT(($B$4+25),"yyyy-mm-dd"))*('Daily Checklist'!$L$2:$L$2000="Y"))&gt;0,SUMPRODUCT(('Daily Checklist'!$D$2:$D$2000=$A32)*(TEXT('Daily Checklist'!$B$2:$B$2000,"yyyy-mm-dd")=TEXT(($B$4+25),"yyyy-mm-dd"))*('Daily Checklist'!$F$2:$F$2000="Done"))&amp;"/"&amp;SUMPRODUCT(('Daily Checklist'!$D$2:$D$2000=$A32)*(TEXT('Daily Checklist'!$B$2:$B$2000,"yyyy-mm-dd")=TEXT(($B$4+25),"yyyy-mm-dd")))&amp;" ESC",SUMPRODUCT(('Daily Checklist'!$D$2:$D$2000=$A32)*(TEXT('Daily Checklist'!$B$2:$B$2000,"yyyy-mm-dd")=TEXT(($B$4+25),"yyyy-mm-dd"))*('Daily Checklist'!$F$2:$F$2000="Done"))&amp;"/"&amp;SUMPRODUCT(('Daily Checklist'!$D$2:$D$2000=$A32)*(TEXT('Daily Checklist'!$B$2:$B$2000,"yyyy-mm-dd")=TEXT(($B$4+25),"yyyy-mm-dd"))))))</f>
        <v/>
      </c>
      <c r="AB32" s="25" t="str">
        <f aca="false">IF($A32="","",IF(SUMPRODUCT(('Daily Checklist'!$D$2:$D$2000=$A32)*(TEXT('Daily Checklist'!$B$2:$B$2000,"yyyy-mm-dd")=TEXT(($B$4+26),"yyyy-mm-dd")))=0,"-",IF(SUMPRODUCT(('Daily Checklist'!$D$2:$D$2000=$A32)*(TEXT('Daily Checklist'!$B$2:$B$2000,"yyyy-mm-dd")=TEXT(($B$4+26),"yyyy-mm-dd"))*('Daily Checklist'!$L$2:$L$2000="Y"))&gt;0,SUMPRODUCT(('Daily Checklist'!$D$2:$D$2000=$A32)*(TEXT('Daily Checklist'!$B$2:$B$2000,"yyyy-mm-dd")=TEXT(($B$4+26),"yyyy-mm-dd"))*('Daily Checklist'!$F$2:$F$2000="Done"))&amp;"/"&amp;SUMPRODUCT(('Daily Checklist'!$D$2:$D$2000=$A32)*(TEXT('Daily Checklist'!$B$2:$B$2000,"yyyy-mm-dd")=TEXT(($B$4+26),"yyyy-mm-dd")))&amp;" ESC",SUMPRODUCT(('Daily Checklist'!$D$2:$D$2000=$A32)*(TEXT('Daily Checklist'!$B$2:$B$2000,"yyyy-mm-dd")=TEXT(($B$4+26),"yyyy-mm-dd"))*('Daily Checklist'!$F$2:$F$2000="Done"))&amp;"/"&amp;SUMPRODUCT(('Daily Checklist'!$D$2:$D$2000=$A32)*(TEXT('Daily Checklist'!$B$2:$B$2000,"yyyy-mm-dd")=TEXT(($B$4+26),"yyyy-mm-dd"))))))</f>
        <v/>
      </c>
      <c r="AC32" s="25" t="str">
        <f aca="false">IF($A32="","",IF(SUMPRODUCT(('Daily Checklist'!$D$2:$D$2000=$A32)*(TEXT('Daily Checklist'!$B$2:$B$2000,"yyyy-mm-dd")=TEXT(($B$4+27),"yyyy-mm-dd")))=0,"-",IF(SUMPRODUCT(('Daily Checklist'!$D$2:$D$2000=$A32)*(TEXT('Daily Checklist'!$B$2:$B$2000,"yyyy-mm-dd")=TEXT(($B$4+27),"yyyy-mm-dd"))*('Daily Checklist'!$L$2:$L$2000="Y"))&gt;0,SUMPRODUCT(('Daily Checklist'!$D$2:$D$2000=$A32)*(TEXT('Daily Checklist'!$B$2:$B$2000,"yyyy-mm-dd")=TEXT(($B$4+27),"yyyy-mm-dd"))*('Daily Checklist'!$F$2:$F$2000="Done"))&amp;"/"&amp;SUMPRODUCT(('Daily Checklist'!$D$2:$D$2000=$A32)*(TEXT('Daily Checklist'!$B$2:$B$2000,"yyyy-mm-dd")=TEXT(($B$4+27),"yyyy-mm-dd")))&amp;" ESC",SUMPRODUCT(('Daily Checklist'!$D$2:$D$2000=$A32)*(TEXT('Daily Checklist'!$B$2:$B$2000,"yyyy-mm-dd")=TEXT(($B$4+27),"yyyy-mm-dd"))*('Daily Checklist'!$F$2:$F$2000="Done"))&amp;"/"&amp;SUMPRODUCT(('Daily Checklist'!$D$2:$D$2000=$A32)*(TEXT('Daily Checklist'!$B$2:$B$2000,"yyyy-mm-dd")=TEXT(($B$4+27),"yyyy-mm-dd"))))))</f>
        <v/>
      </c>
      <c r="AD32" s="25" t="str">
        <f aca="false">IF($A32="","",IF(SUMPRODUCT(('Daily Checklist'!$D$2:$D$2000=$A32)*(TEXT('Daily Checklist'!$B$2:$B$2000,"yyyy-mm-dd")=TEXT(($B$4+28),"yyyy-mm-dd")))=0,"-",IF(SUMPRODUCT(('Daily Checklist'!$D$2:$D$2000=$A32)*(TEXT('Daily Checklist'!$B$2:$B$2000,"yyyy-mm-dd")=TEXT(($B$4+28),"yyyy-mm-dd"))*('Daily Checklist'!$L$2:$L$2000="Y"))&gt;0,SUMPRODUCT(('Daily Checklist'!$D$2:$D$2000=$A32)*(TEXT('Daily Checklist'!$B$2:$B$2000,"yyyy-mm-dd")=TEXT(($B$4+28),"yyyy-mm-dd"))*('Daily Checklist'!$F$2:$F$2000="Done"))&amp;"/"&amp;SUMPRODUCT(('Daily Checklist'!$D$2:$D$2000=$A32)*(TEXT('Daily Checklist'!$B$2:$B$2000,"yyyy-mm-dd")=TEXT(($B$4+28),"yyyy-mm-dd")))&amp;" ESC",SUMPRODUCT(('Daily Checklist'!$D$2:$D$2000=$A32)*(TEXT('Daily Checklist'!$B$2:$B$2000,"yyyy-mm-dd")=TEXT(($B$4+28),"yyyy-mm-dd"))*('Daily Checklist'!$F$2:$F$2000="Done"))&amp;"/"&amp;SUMPRODUCT(('Daily Checklist'!$D$2:$D$2000=$A32)*(TEXT('Daily Checklist'!$B$2:$B$2000,"yyyy-mm-dd")=TEXT(($B$4+28),"yyyy-mm-dd"))))))</f>
        <v/>
      </c>
      <c r="AE32" s="25" t="str">
        <f aca="false">IF($A32="","",IF(SUMPRODUCT(('Daily Checklist'!$D$2:$D$2000=$A32)*(TEXT('Daily Checklist'!$B$2:$B$2000,"yyyy-mm-dd")=TEXT(($B$4+29),"yyyy-mm-dd")))=0,"-",IF(SUMPRODUCT(('Daily Checklist'!$D$2:$D$2000=$A32)*(TEXT('Daily Checklist'!$B$2:$B$2000,"yyyy-mm-dd")=TEXT(($B$4+29),"yyyy-mm-dd"))*('Daily Checklist'!$L$2:$L$2000="Y"))&gt;0,SUMPRODUCT(('Daily Checklist'!$D$2:$D$2000=$A32)*(TEXT('Daily Checklist'!$B$2:$B$2000,"yyyy-mm-dd")=TEXT(($B$4+29),"yyyy-mm-dd"))*('Daily Checklist'!$F$2:$F$2000="Done"))&amp;"/"&amp;SUMPRODUCT(('Daily Checklist'!$D$2:$D$2000=$A32)*(TEXT('Daily Checklist'!$B$2:$B$2000,"yyyy-mm-dd")=TEXT(($B$4+29),"yyyy-mm-dd")))&amp;" ESC",SUMPRODUCT(('Daily Checklist'!$D$2:$D$2000=$A32)*(TEXT('Daily Checklist'!$B$2:$B$2000,"yyyy-mm-dd")=TEXT(($B$4+29),"yyyy-mm-dd"))*('Daily Checklist'!$F$2:$F$2000="Done"))&amp;"/"&amp;SUMPRODUCT(('Daily Checklist'!$D$2:$D$2000=$A32)*(TEXT('Daily Checklist'!$B$2:$B$2000,"yyyy-mm-dd")=TEXT(($B$4+29),"yyyy-mm-dd"))))))</f>
        <v/>
      </c>
      <c r="AF32" s="25" t="str">
        <f aca="false">IF($A32="","",IF(SUMPRODUCT(('Daily Checklist'!$D$2:$D$2000=$A32)*(TEXT('Daily Checklist'!$B$2:$B$2000,"yyyy-mm-dd")=TEXT(($B$4+30),"yyyy-mm-dd")))=0,"-",IF(SUMPRODUCT(('Daily Checklist'!$D$2:$D$2000=$A32)*(TEXT('Daily Checklist'!$B$2:$B$2000,"yyyy-mm-dd")=TEXT(($B$4+30),"yyyy-mm-dd"))*('Daily Checklist'!$L$2:$L$2000="Y"))&gt;0,SUMPRODUCT(('Daily Checklist'!$D$2:$D$2000=$A32)*(TEXT('Daily Checklist'!$B$2:$B$2000,"yyyy-mm-dd")=TEXT(($B$4+30),"yyyy-mm-dd"))*('Daily Checklist'!$F$2:$F$2000="Done"))&amp;"/"&amp;SUMPRODUCT(('Daily Checklist'!$D$2:$D$2000=$A32)*(TEXT('Daily Checklist'!$B$2:$B$2000,"yyyy-mm-dd")=TEXT(($B$4+30),"yyyy-mm-dd")))&amp;" ESC",SUMPRODUCT(('Daily Checklist'!$D$2:$D$2000=$A32)*(TEXT('Daily Checklist'!$B$2:$B$2000,"yyyy-mm-dd")=TEXT(($B$4+30),"yyyy-mm-dd"))*('Daily Checklist'!$F$2:$F$2000="Done"))&amp;"/"&amp;SUMPRODUCT(('Daily Checklist'!$D$2:$D$2000=$A32)*(TEXT('Daily Checklist'!$B$2:$B$2000,"yyyy-mm-dd")=TEXT(($B$4+30),"yyyy-mm-dd"))))))</f>
        <v/>
      </c>
    </row>
    <row r="33" customFormat="false" ht="15" hidden="false" customHeight="true" outlineLevel="0" collapsed="false">
      <c r="A33" s="24" t="str">
        <f aca="false">IFERROR(IF(Employees!A28="","",Employees!A28),"")</f>
        <v/>
      </c>
      <c r="B33" s="25" t="str">
        <f aca="false">IF($A33="","",IF(SUMPRODUCT(('Daily Checklist'!$D$2:$D$2000=$A33)*(TEXT('Daily Checklist'!$B$2:$B$2000,"yyyy-mm-dd")=TEXT(($B$4+0),"yyyy-mm-dd")))=0,"-",IF(SUMPRODUCT(('Daily Checklist'!$D$2:$D$2000=$A33)*(TEXT('Daily Checklist'!$B$2:$B$2000,"yyyy-mm-dd")=TEXT(($B$4+0),"yyyy-mm-dd"))*('Daily Checklist'!$L$2:$L$2000="Y"))&gt;0,SUMPRODUCT(('Daily Checklist'!$D$2:$D$2000=$A33)*(TEXT('Daily Checklist'!$B$2:$B$2000,"yyyy-mm-dd")=TEXT(($B$4+0),"yyyy-mm-dd"))*('Daily Checklist'!$F$2:$F$2000="Done"))&amp;"/"&amp;SUMPRODUCT(('Daily Checklist'!$D$2:$D$2000=$A33)*(TEXT('Daily Checklist'!$B$2:$B$2000,"yyyy-mm-dd")=TEXT(($B$4+0),"yyyy-mm-dd")))&amp;" ESC",SUMPRODUCT(('Daily Checklist'!$D$2:$D$2000=$A33)*(TEXT('Daily Checklist'!$B$2:$B$2000,"yyyy-mm-dd")=TEXT(($B$4+0),"yyyy-mm-dd"))*('Daily Checklist'!$F$2:$F$2000="Done"))&amp;"/"&amp;SUMPRODUCT(('Daily Checklist'!$D$2:$D$2000=$A33)*(TEXT('Daily Checklist'!$B$2:$B$2000,"yyyy-mm-dd")=TEXT(($B$4+0),"yyyy-mm-dd"))))))</f>
        <v/>
      </c>
      <c r="C33" s="25" t="str">
        <f aca="false">IF($A33="","",IF(SUMPRODUCT(('Daily Checklist'!$D$2:$D$2000=$A33)*(TEXT('Daily Checklist'!$B$2:$B$2000,"yyyy-mm-dd")=TEXT(($B$4+1),"yyyy-mm-dd")))=0,"-",IF(SUMPRODUCT(('Daily Checklist'!$D$2:$D$2000=$A33)*(TEXT('Daily Checklist'!$B$2:$B$2000,"yyyy-mm-dd")=TEXT(($B$4+1),"yyyy-mm-dd"))*('Daily Checklist'!$L$2:$L$2000="Y"))&gt;0,SUMPRODUCT(('Daily Checklist'!$D$2:$D$2000=$A33)*(TEXT('Daily Checklist'!$B$2:$B$2000,"yyyy-mm-dd")=TEXT(($B$4+1),"yyyy-mm-dd"))*('Daily Checklist'!$F$2:$F$2000="Done"))&amp;"/"&amp;SUMPRODUCT(('Daily Checklist'!$D$2:$D$2000=$A33)*(TEXT('Daily Checklist'!$B$2:$B$2000,"yyyy-mm-dd")=TEXT(($B$4+1),"yyyy-mm-dd")))&amp;" ESC",SUMPRODUCT(('Daily Checklist'!$D$2:$D$2000=$A33)*(TEXT('Daily Checklist'!$B$2:$B$2000,"yyyy-mm-dd")=TEXT(($B$4+1),"yyyy-mm-dd"))*('Daily Checklist'!$F$2:$F$2000="Done"))&amp;"/"&amp;SUMPRODUCT(('Daily Checklist'!$D$2:$D$2000=$A33)*(TEXT('Daily Checklist'!$B$2:$B$2000,"yyyy-mm-dd")=TEXT(($B$4+1),"yyyy-mm-dd"))))))</f>
        <v/>
      </c>
      <c r="D33" s="25" t="str">
        <f aca="false">IF($A33="","",IF(SUMPRODUCT(('Daily Checklist'!$D$2:$D$2000=$A33)*(TEXT('Daily Checklist'!$B$2:$B$2000,"yyyy-mm-dd")=TEXT(($B$4+2),"yyyy-mm-dd")))=0,"-",IF(SUMPRODUCT(('Daily Checklist'!$D$2:$D$2000=$A33)*(TEXT('Daily Checklist'!$B$2:$B$2000,"yyyy-mm-dd")=TEXT(($B$4+2),"yyyy-mm-dd"))*('Daily Checklist'!$L$2:$L$2000="Y"))&gt;0,SUMPRODUCT(('Daily Checklist'!$D$2:$D$2000=$A33)*(TEXT('Daily Checklist'!$B$2:$B$2000,"yyyy-mm-dd")=TEXT(($B$4+2),"yyyy-mm-dd"))*('Daily Checklist'!$F$2:$F$2000="Done"))&amp;"/"&amp;SUMPRODUCT(('Daily Checklist'!$D$2:$D$2000=$A33)*(TEXT('Daily Checklist'!$B$2:$B$2000,"yyyy-mm-dd")=TEXT(($B$4+2),"yyyy-mm-dd")))&amp;" ESC",SUMPRODUCT(('Daily Checklist'!$D$2:$D$2000=$A33)*(TEXT('Daily Checklist'!$B$2:$B$2000,"yyyy-mm-dd")=TEXT(($B$4+2),"yyyy-mm-dd"))*('Daily Checklist'!$F$2:$F$2000="Done"))&amp;"/"&amp;SUMPRODUCT(('Daily Checklist'!$D$2:$D$2000=$A33)*(TEXT('Daily Checklist'!$B$2:$B$2000,"yyyy-mm-dd")=TEXT(($B$4+2),"yyyy-mm-dd"))))))</f>
        <v/>
      </c>
      <c r="E33" s="25" t="str">
        <f aca="false">IF($A33="","",IF(SUMPRODUCT(('Daily Checklist'!$D$2:$D$2000=$A33)*(TEXT('Daily Checklist'!$B$2:$B$2000,"yyyy-mm-dd")=TEXT(($B$4+3),"yyyy-mm-dd")))=0,"-",IF(SUMPRODUCT(('Daily Checklist'!$D$2:$D$2000=$A33)*(TEXT('Daily Checklist'!$B$2:$B$2000,"yyyy-mm-dd")=TEXT(($B$4+3),"yyyy-mm-dd"))*('Daily Checklist'!$L$2:$L$2000="Y"))&gt;0,SUMPRODUCT(('Daily Checklist'!$D$2:$D$2000=$A33)*(TEXT('Daily Checklist'!$B$2:$B$2000,"yyyy-mm-dd")=TEXT(($B$4+3),"yyyy-mm-dd"))*('Daily Checklist'!$F$2:$F$2000="Done"))&amp;"/"&amp;SUMPRODUCT(('Daily Checklist'!$D$2:$D$2000=$A33)*(TEXT('Daily Checklist'!$B$2:$B$2000,"yyyy-mm-dd")=TEXT(($B$4+3),"yyyy-mm-dd")))&amp;" ESC",SUMPRODUCT(('Daily Checklist'!$D$2:$D$2000=$A33)*(TEXT('Daily Checklist'!$B$2:$B$2000,"yyyy-mm-dd")=TEXT(($B$4+3),"yyyy-mm-dd"))*('Daily Checklist'!$F$2:$F$2000="Done"))&amp;"/"&amp;SUMPRODUCT(('Daily Checklist'!$D$2:$D$2000=$A33)*(TEXT('Daily Checklist'!$B$2:$B$2000,"yyyy-mm-dd")=TEXT(($B$4+3),"yyyy-mm-dd"))))))</f>
        <v/>
      </c>
      <c r="F33" s="25" t="str">
        <f aca="false">IF($A33="","",IF(SUMPRODUCT(('Daily Checklist'!$D$2:$D$2000=$A33)*(TEXT('Daily Checklist'!$B$2:$B$2000,"yyyy-mm-dd")=TEXT(($B$4+4),"yyyy-mm-dd")))=0,"-",IF(SUMPRODUCT(('Daily Checklist'!$D$2:$D$2000=$A33)*(TEXT('Daily Checklist'!$B$2:$B$2000,"yyyy-mm-dd")=TEXT(($B$4+4),"yyyy-mm-dd"))*('Daily Checklist'!$L$2:$L$2000="Y"))&gt;0,SUMPRODUCT(('Daily Checklist'!$D$2:$D$2000=$A33)*(TEXT('Daily Checklist'!$B$2:$B$2000,"yyyy-mm-dd")=TEXT(($B$4+4),"yyyy-mm-dd"))*('Daily Checklist'!$F$2:$F$2000="Done"))&amp;"/"&amp;SUMPRODUCT(('Daily Checklist'!$D$2:$D$2000=$A33)*(TEXT('Daily Checklist'!$B$2:$B$2000,"yyyy-mm-dd")=TEXT(($B$4+4),"yyyy-mm-dd")))&amp;" ESC",SUMPRODUCT(('Daily Checklist'!$D$2:$D$2000=$A33)*(TEXT('Daily Checklist'!$B$2:$B$2000,"yyyy-mm-dd")=TEXT(($B$4+4),"yyyy-mm-dd"))*('Daily Checklist'!$F$2:$F$2000="Done"))&amp;"/"&amp;SUMPRODUCT(('Daily Checklist'!$D$2:$D$2000=$A33)*(TEXT('Daily Checklist'!$B$2:$B$2000,"yyyy-mm-dd")=TEXT(($B$4+4),"yyyy-mm-dd"))))))</f>
        <v/>
      </c>
      <c r="G33" s="25" t="str">
        <f aca="false">IF($A33="","",IF(SUMPRODUCT(('Daily Checklist'!$D$2:$D$2000=$A33)*(TEXT('Daily Checklist'!$B$2:$B$2000,"yyyy-mm-dd")=TEXT(($B$4+5),"yyyy-mm-dd")))=0,"-",IF(SUMPRODUCT(('Daily Checklist'!$D$2:$D$2000=$A33)*(TEXT('Daily Checklist'!$B$2:$B$2000,"yyyy-mm-dd")=TEXT(($B$4+5),"yyyy-mm-dd"))*('Daily Checklist'!$L$2:$L$2000="Y"))&gt;0,SUMPRODUCT(('Daily Checklist'!$D$2:$D$2000=$A33)*(TEXT('Daily Checklist'!$B$2:$B$2000,"yyyy-mm-dd")=TEXT(($B$4+5),"yyyy-mm-dd"))*('Daily Checklist'!$F$2:$F$2000="Done"))&amp;"/"&amp;SUMPRODUCT(('Daily Checklist'!$D$2:$D$2000=$A33)*(TEXT('Daily Checklist'!$B$2:$B$2000,"yyyy-mm-dd")=TEXT(($B$4+5),"yyyy-mm-dd")))&amp;" ESC",SUMPRODUCT(('Daily Checklist'!$D$2:$D$2000=$A33)*(TEXT('Daily Checklist'!$B$2:$B$2000,"yyyy-mm-dd")=TEXT(($B$4+5),"yyyy-mm-dd"))*('Daily Checklist'!$F$2:$F$2000="Done"))&amp;"/"&amp;SUMPRODUCT(('Daily Checklist'!$D$2:$D$2000=$A33)*(TEXT('Daily Checklist'!$B$2:$B$2000,"yyyy-mm-dd")=TEXT(($B$4+5),"yyyy-mm-dd"))))))</f>
        <v/>
      </c>
      <c r="H33" s="25" t="str">
        <f aca="false">IF($A33="","",IF(SUMPRODUCT(('Daily Checklist'!$D$2:$D$2000=$A33)*(TEXT('Daily Checklist'!$B$2:$B$2000,"yyyy-mm-dd")=TEXT(($B$4+6),"yyyy-mm-dd")))=0,"-",IF(SUMPRODUCT(('Daily Checklist'!$D$2:$D$2000=$A33)*(TEXT('Daily Checklist'!$B$2:$B$2000,"yyyy-mm-dd")=TEXT(($B$4+6),"yyyy-mm-dd"))*('Daily Checklist'!$L$2:$L$2000="Y"))&gt;0,SUMPRODUCT(('Daily Checklist'!$D$2:$D$2000=$A33)*(TEXT('Daily Checklist'!$B$2:$B$2000,"yyyy-mm-dd")=TEXT(($B$4+6),"yyyy-mm-dd"))*('Daily Checklist'!$F$2:$F$2000="Done"))&amp;"/"&amp;SUMPRODUCT(('Daily Checklist'!$D$2:$D$2000=$A33)*(TEXT('Daily Checklist'!$B$2:$B$2000,"yyyy-mm-dd")=TEXT(($B$4+6),"yyyy-mm-dd")))&amp;" ESC",SUMPRODUCT(('Daily Checklist'!$D$2:$D$2000=$A33)*(TEXT('Daily Checklist'!$B$2:$B$2000,"yyyy-mm-dd")=TEXT(($B$4+6),"yyyy-mm-dd"))*('Daily Checklist'!$F$2:$F$2000="Done"))&amp;"/"&amp;SUMPRODUCT(('Daily Checklist'!$D$2:$D$2000=$A33)*(TEXT('Daily Checklist'!$B$2:$B$2000,"yyyy-mm-dd")=TEXT(($B$4+6),"yyyy-mm-dd"))))))</f>
        <v/>
      </c>
      <c r="I33" s="25" t="str">
        <f aca="false">IF($A33="","",IF(SUMPRODUCT(('Daily Checklist'!$D$2:$D$2000=$A33)*(TEXT('Daily Checklist'!$B$2:$B$2000,"yyyy-mm-dd")=TEXT(($B$4+7),"yyyy-mm-dd")))=0,"-",IF(SUMPRODUCT(('Daily Checklist'!$D$2:$D$2000=$A33)*(TEXT('Daily Checklist'!$B$2:$B$2000,"yyyy-mm-dd")=TEXT(($B$4+7),"yyyy-mm-dd"))*('Daily Checklist'!$L$2:$L$2000="Y"))&gt;0,SUMPRODUCT(('Daily Checklist'!$D$2:$D$2000=$A33)*(TEXT('Daily Checklist'!$B$2:$B$2000,"yyyy-mm-dd")=TEXT(($B$4+7),"yyyy-mm-dd"))*('Daily Checklist'!$F$2:$F$2000="Done"))&amp;"/"&amp;SUMPRODUCT(('Daily Checklist'!$D$2:$D$2000=$A33)*(TEXT('Daily Checklist'!$B$2:$B$2000,"yyyy-mm-dd")=TEXT(($B$4+7),"yyyy-mm-dd")))&amp;" ESC",SUMPRODUCT(('Daily Checklist'!$D$2:$D$2000=$A33)*(TEXT('Daily Checklist'!$B$2:$B$2000,"yyyy-mm-dd")=TEXT(($B$4+7),"yyyy-mm-dd"))*('Daily Checklist'!$F$2:$F$2000="Done"))&amp;"/"&amp;SUMPRODUCT(('Daily Checklist'!$D$2:$D$2000=$A33)*(TEXT('Daily Checklist'!$B$2:$B$2000,"yyyy-mm-dd")=TEXT(($B$4+7),"yyyy-mm-dd"))))))</f>
        <v/>
      </c>
      <c r="J33" s="25" t="str">
        <f aca="false">IF($A33="","",IF(SUMPRODUCT(('Daily Checklist'!$D$2:$D$2000=$A33)*(TEXT('Daily Checklist'!$B$2:$B$2000,"yyyy-mm-dd")=TEXT(($B$4+8),"yyyy-mm-dd")))=0,"-",IF(SUMPRODUCT(('Daily Checklist'!$D$2:$D$2000=$A33)*(TEXT('Daily Checklist'!$B$2:$B$2000,"yyyy-mm-dd")=TEXT(($B$4+8),"yyyy-mm-dd"))*('Daily Checklist'!$L$2:$L$2000="Y"))&gt;0,SUMPRODUCT(('Daily Checklist'!$D$2:$D$2000=$A33)*(TEXT('Daily Checklist'!$B$2:$B$2000,"yyyy-mm-dd")=TEXT(($B$4+8),"yyyy-mm-dd"))*('Daily Checklist'!$F$2:$F$2000="Done"))&amp;"/"&amp;SUMPRODUCT(('Daily Checklist'!$D$2:$D$2000=$A33)*(TEXT('Daily Checklist'!$B$2:$B$2000,"yyyy-mm-dd")=TEXT(($B$4+8),"yyyy-mm-dd")))&amp;" ESC",SUMPRODUCT(('Daily Checklist'!$D$2:$D$2000=$A33)*(TEXT('Daily Checklist'!$B$2:$B$2000,"yyyy-mm-dd")=TEXT(($B$4+8),"yyyy-mm-dd"))*('Daily Checklist'!$F$2:$F$2000="Done"))&amp;"/"&amp;SUMPRODUCT(('Daily Checklist'!$D$2:$D$2000=$A33)*(TEXT('Daily Checklist'!$B$2:$B$2000,"yyyy-mm-dd")=TEXT(($B$4+8),"yyyy-mm-dd"))))))</f>
        <v/>
      </c>
      <c r="K33" s="25" t="str">
        <f aca="false">IF($A33="","",IF(SUMPRODUCT(('Daily Checklist'!$D$2:$D$2000=$A33)*(TEXT('Daily Checklist'!$B$2:$B$2000,"yyyy-mm-dd")=TEXT(($B$4+9),"yyyy-mm-dd")))=0,"-",IF(SUMPRODUCT(('Daily Checklist'!$D$2:$D$2000=$A33)*(TEXT('Daily Checklist'!$B$2:$B$2000,"yyyy-mm-dd")=TEXT(($B$4+9),"yyyy-mm-dd"))*('Daily Checklist'!$L$2:$L$2000="Y"))&gt;0,SUMPRODUCT(('Daily Checklist'!$D$2:$D$2000=$A33)*(TEXT('Daily Checklist'!$B$2:$B$2000,"yyyy-mm-dd")=TEXT(($B$4+9),"yyyy-mm-dd"))*('Daily Checklist'!$F$2:$F$2000="Done"))&amp;"/"&amp;SUMPRODUCT(('Daily Checklist'!$D$2:$D$2000=$A33)*(TEXT('Daily Checklist'!$B$2:$B$2000,"yyyy-mm-dd")=TEXT(($B$4+9),"yyyy-mm-dd")))&amp;" ESC",SUMPRODUCT(('Daily Checklist'!$D$2:$D$2000=$A33)*(TEXT('Daily Checklist'!$B$2:$B$2000,"yyyy-mm-dd")=TEXT(($B$4+9),"yyyy-mm-dd"))*('Daily Checklist'!$F$2:$F$2000="Done"))&amp;"/"&amp;SUMPRODUCT(('Daily Checklist'!$D$2:$D$2000=$A33)*(TEXT('Daily Checklist'!$B$2:$B$2000,"yyyy-mm-dd")=TEXT(($B$4+9),"yyyy-mm-dd"))))))</f>
        <v/>
      </c>
      <c r="L33" s="25" t="str">
        <f aca="false">IF($A33="","",IF(SUMPRODUCT(('Daily Checklist'!$D$2:$D$2000=$A33)*(TEXT('Daily Checklist'!$B$2:$B$2000,"yyyy-mm-dd")=TEXT(($B$4+10),"yyyy-mm-dd")))=0,"-",IF(SUMPRODUCT(('Daily Checklist'!$D$2:$D$2000=$A33)*(TEXT('Daily Checklist'!$B$2:$B$2000,"yyyy-mm-dd")=TEXT(($B$4+10),"yyyy-mm-dd"))*('Daily Checklist'!$L$2:$L$2000="Y"))&gt;0,SUMPRODUCT(('Daily Checklist'!$D$2:$D$2000=$A33)*(TEXT('Daily Checklist'!$B$2:$B$2000,"yyyy-mm-dd")=TEXT(($B$4+10),"yyyy-mm-dd"))*('Daily Checklist'!$F$2:$F$2000="Done"))&amp;"/"&amp;SUMPRODUCT(('Daily Checklist'!$D$2:$D$2000=$A33)*(TEXT('Daily Checklist'!$B$2:$B$2000,"yyyy-mm-dd")=TEXT(($B$4+10),"yyyy-mm-dd")))&amp;" ESC",SUMPRODUCT(('Daily Checklist'!$D$2:$D$2000=$A33)*(TEXT('Daily Checklist'!$B$2:$B$2000,"yyyy-mm-dd")=TEXT(($B$4+10),"yyyy-mm-dd"))*('Daily Checklist'!$F$2:$F$2000="Done"))&amp;"/"&amp;SUMPRODUCT(('Daily Checklist'!$D$2:$D$2000=$A33)*(TEXT('Daily Checklist'!$B$2:$B$2000,"yyyy-mm-dd")=TEXT(($B$4+10),"yyyy-mm-dd"))))))</f>
        <v/>
      </c>
      <c r="M33" s="25" t="str">
        <f aca="false">IF($A33="","",IF(SUMPRODUCT(('Daily Checklist'!$D$2:$D$2000=$A33)*(TEXT('Daily Checklist'!$B$2:$B$2000,"yyyy-mm-dd")=TEXT(($B$4+11),"yyyy-mm-dd")))=0,"-",IF(SUMPRODUCT(('Daily Checklist'!$D$2:$D$2000=$A33)*(TEXT('Daily Checklist'!$B$2:$B$2000,"yyyy-mm-dd")=TEXT(($B$4+11),"yyyy-mm-dd"))*('Daily Checklist'!$L$2:$L$2000="Y"))&gt;0,SUMPRODUCT(('Daily Checklist'!$D$2:$D$2000=$A33)*(TEXT('Daily Checklist'!$B$2:$B$2000,"yyyy-mm-dd")=TEXT(($B$4+11),"yyyy-mm-dd"))*('Daily Checklist'!$F$2:$F$2000="Done"))&amp;"/"&amp;SUMPRODUCT(('Daily Checklist'!$D$2:$D$2000=$A33)*(TEXT('Daily Checklist'!$B$2:$B$2000,"yyyy-mm-dd")=TEXT(($B$4+11),"yyyy-mm-dd")))&amp;" ESC",SUMPRODUCT(('Daily Checklist'!$D$2:$D$2000=$A33)*(TEXT('Daily Checklist'!$B$2:$B$2000,"yyyy-mm-dd")=TEXT(($B$4+11),"yyyy-mm-dd"))*('Daily Checklist'!$F$2:$F$2000="Done"))&amp;"/"&amp;SUMPRODUCT(('Daily Checklist'!$D$2:$D$2000=$A33)*(TEXT('Daily Checklist'!$B$2:$B$2000,"yyyy-mm-dd")=TEXT(($B$4+11),"yyyy-mm-dd"))))))</f>
        <v/>
      </c>
      <c r="N33" s="25" t="str">
        <f aca="false">IF($A33="","",IF(SUMPRODUCT(('Daily Checklist'!$D$2:$D$2000=$A33)*(TEXT('Daily Checklist'!$B$2:$B$2000,"yyyy-mm-dd")=TEXT(($B$4+12),"yyyy-mm-dd")))=0,"-",IF(SUMPRODUCT(('Daily Checklist'!$D$2:$D$2000=$A33)*(TEXT('Daily Checklist'!$B$2:$B$2000,"yyyy-mm-dd")=TEXT(($B$4+12),"yyyy-mm-dd"))*('Daily Checklist'!$L$2:$L$2000="Y"))&gt;0,SUMPRODUCT(('Daily Checklist'!$D$2:$D$2000=$A33)*(TEXT('Daily Checklist'!$B$2:$B$2000,"yyyy-mm-dd")=TEXT(($B$4+12),"yyyy-mm-dd"))*('Daily Checklist'!$F$2:$F$2000="Done"))&amp;"/"&amp;SUMPRODUCT(('Daily Checklist'!$D$2:$D$2000=$A33)*(TEXT('Daily Checklist'!$B$2:$B$2000,"yyyy-mm-dd")=TEXT(($B$4+12),"yyyy-mm-dd")))&amp;" ESC",SUMPRODUCT(('Daily Checklist'!$D$2:$D$2000=$A33)*(TEXT('Daily Checklist'!$B$2:$B$2000,"yyyy-mm-dd")=TEXT(($B$4+12),"yyyy-mm-dd"))*('Daily Checklist'!$F$2:$F$2000="Done"))&amp;"/"&amp;SUMPRODUCT(('Daily Checklist'!$D$2:$D$2000=$A33)*(TEXT('Daily Checklist'!$B$2:$B$2000,"yyyy-mm-dd")=TEXT(($B$4+12),"yyyy-mm-dd"))))))</f>
        <v/>
      </c>
      <c r="O33" s="25" t="str">
        <f aca="false">IF($A33="","",IF(SUMPRODUCT(('Daily Checklist'!$D$2:$D$2000=$A33)*(TEXT('Daily Checklist'!$B$2:$B$2000,"yyyy-mm-dd")=TEXT(($B$4+13),"yyyy-mm-dd")))=0,"-",IF(SUMPRODUCT(('Daily Checklist'!$D$2:$D$2000=$A33)*(TEXT('Daily Checklist'!$B$2:$B$2000,"yyyy-mm-dd")=TEXT(($B$4+13),"yyyy-mm-dd"))*('Daily Checklist'!$L$2:$L$2000="Y"))&gt;0,SUMPRODUCT(('Daily Checklist'!$D$2:$D$2000=$A33)*(TEXT('Daily Checklist'!$B$2:$B$2000,"yyyy-mm-dd")=TEXT(($B$4+13),"yyyy-mm-dd"))*('Daily Checklist'!$F$2:$F$2000="Done"))&amp;"/"&amp;SUMPRODUCT(('Daily Checklist'!$D$2:$D$2000=$A33)*(TEXT('Daily Checklist'!$B$2:$B$2000,"yyyy-mm-dd")=TEXT(($B$4+13),"yyyy-mm-dd")))&amp;" ESC",SUMPRODUCT(('Daily Checklist'!$D$2:$D$2000=$A33)*(TEXT('Daily Checklist'!$B$2:$B$2000,"yyyy-mm-dd")=TEXT(($B$4+13),"yyyy-mm-dd"))*('Daily Checklist'!$F$2:$F$2000="Done"))&amp;"/"&amp;SUMPRODUCT(('Daily Checklist'!$D$2:$D$2000=$A33)*(TEXT('Daily Checklist'!$B$2:$B$2000,"yyyy-mm-dd")=TEXT(($B$4+13),"yyyy-mm-dd"))))))</f>
        <v/>
      </c>
      <c r="P33" s="25" t="str">
        <f aca="false">IF($A33="","",IF(SUMPRODUCT(('Daily Checklist'!$D$2:$D$2000=$A33)*(TEXT('Daily Checklist'!$B$2:$B$2000,"yyyy-mm-dd")=TEXT(($B$4+14),"yyyy-mm-dd")))=0,"-",IF(SUMPRODUCT(('Daily Checklist'!$D$2:$D$2000=$A33)*(TEXT('Daily Checklist'!$B$2:$B$2000,"yyyy-mm-dd")=TEXT(($B$4+14),"yyyy-mm-dd"))*('Daily Checklist'!$L$2:$L$2000="Y"))&gt;0,SUMPRODUCT(('Daily Checklist'!$D$2:$D$2000=$A33)*(TEXT('Daily Checklist'!$B$2:$B$2000,"yyyy-mm-dd")=TEXT(($B$4+14),"yyyy-mm-dd"))*('Daily Checklist'!$F$2:$F$2000="Done"))&amp;"/"&amp;SUMPRODUCT(('Daily Checklist'!$D$2:$D$2000=$A33)*(TEXT('Daily Checklist'!$B$2:$B$2000,"yyyy-mm-dd")=TEXT(($B$4+14),"yyyy-mm-dd")))&amp;" ESC",SUMPRODUCT(('Daily Checklist'!$D$2:$D$2000=$A33)*(TEXT('Daily Checklist'!$B$2:$B$2000,"yyyy-mm-dd")=TEXT(($B$4+14),"yyyy-mm-dd"))*('Daily Checklist'!$F$2:$F$2000="Done"))&amp;"/"&amp;SUMPRODUCT(('Daily Checklist'!$D$2:$D$2000=$A33)*(TEXT('Daily Checklist'!$B$2:$B$2000,"yyyy-mm-dd")=TEXT(($B$4+14),"yyyy-mm-dd"))))))</f>
        <v/>
      </c>
      <c r="Q33" s="25" t="str">
        <f aca="false">IF($A33="","",IF(SUMPRODUCT(('Daily Checklist'!$D$2:$D$2000=$A33)*(TEXT('Daily Checklist'!$B$2:$B$2000,"yyyy-mm-dd")=TEXT(($B$4+15),"yyyy-mm-dd")))=0,"-",IF(SUMPRODUCT(('Daily Checklist'!$D$2:$D$2000=$A33)*(TEXT('Daily Checklist'!$B$2:$B$2000,"yyyy-mm-dd")=TEXT(($B$4+15),"yyyy-mm-dd"))*('Daily Checklist'!$L$2:$L$2000="Y"))&gt;0,SUMPRODUCT(('Daily Checklist'!$D$2:$D$2000=$A33)*(TEXT('Daily Checklist'!$B$2:$B$2000,"yyyy-mm-dd")=TEXT(($B$4+15),"yyyy-mm-dd"))*('Daily Checklist'!$F$2:$F$2000="Done"))&amp;"/"&amp;SUMPRODUCT(('Daily Checklist'!$D$2:$D$2000=$A33)*(TEXT('Daily Checklist'!$B$2:$B$2000,"yyyy-mm-dd")=TEXT(($B$4+15),"yyyy-mm-dd")))&amp;" ESC",SUMPRODUCT(('Daily Checklist'!$D$2:$D$2000=$A33)*(TEXT('Daily Checklist'!$B$2:$B$2000,"yyyy-mm-dd")=TEXT(($B$4+15),"yyyy-mm-dd"))*('Daily Checklist'!$F$2:$F$2000="Done"))&amp;"/"&amp;SUMPRODUCT(('Daily Checklist'!$D$2:$D$2000=$A33)*(TEXT('Daily Checklist'!$B$2:$B$2000,"yyyy-mm-dd")=TEXT(($B$4+15),"yyyy-mm-dd"))))))</f>
        <v/>
      </c>
      <c r="R33" s="25" t="str">
        <f aca="false">IF($A33="","",IF(SUMPRODUCT(('Daily Checklist'!$D$2:$D$2000=$A33)*(TEXT('Daily Checklist'!$B$2:$B$2000,"yyyy-mm-dd")=TEXT(($B$4+16),"yyyy-mm-dd")))=0,"-",IF(SUMPRODUCT(('Daily Checklist'!$D$2:$D$2000=$A33)*(TEXT('Daily Checklist'!$B$2:$B$2000,"yyyy-mm-dd")=TEXT(($B$4+16),"yyyy-mm-dd"))*('Daily Checklist'!$L$2:$L$2000="Y"))&gt;0,SUMPRODUCT(('Daily Checklist'!$D$2:$D$2000=$A33)*(TEXT('Daily Checklist'!$B$2:$B$2000,"yyyy-mm-dd")=TEXT(($B$4+16),"yyyy-mm-dd"))*('Daily Checklist'!$F$2:$F$2000="Done"))&amp;"/"&amp;SUMPRODUCT(('Daily Checklist'!$D$2:$D$2000=$A33)*(TEXT('Daily Checklist'!$B$2:$B$2000,"yyyy-mm-dd")=TEXT(($B$4+16),"yyyy-mm-dd")))&amp;" ESC",SUMPRODUCT(('Daily Checklist'!$D$2:$D$2000=$A33)*(TEXT('Daily Checklist'!$B$2:$B$2000,"yyyy-mm-dd")=TEXT(($B$4+16),"yyyy-mm-dd"))*('Daily Checklist'!$F$2:$F$2000="Done"))&amp;"/"&amp;SUMPRODUCT(('Daily Checklist'!$D$2:$D$2000=$A33)*(TEXT('Daily Checklist'!$B$2:$B$2000,"yyyy-mm-dd")=TEXT(($B$4+16),"yyyy-mm-dd"))))))</f>
        <v/>
      </c>
      <c r="S33" s="25" t="str">
        <f aca="false">IF($A33="","",IF(SUMPRODUCT(('Daily Checklist'!$D$2:$D$2000=$A33)*(TEXT('Daily Checklist'!$B$2:$B$2000,"yyyy-mm-dd")=TEXT(($B$4+17),"yyyy-mm-dd")))=0,"-",IF(SUMPRODUCT(('Daily Checklist'!$D$2:$D$2000=$A33)*(TEXT('Daily Checklist'!$B$2:$B$2000,"yyyy-mm-dd")=TEXT(($B$4+17),"yyyy-mm-dd"))*('Daily Checklist'!$L$2:$L$2000="Y"))&gt;0,SUMPRODUCT(('Daily Checklist'!$D$2:$D$2000=$A33)*(TEXT('Daily Checklist'!$B$2:$B$2000,"yyyy-mm-dd")=TEXT(($B$4+17),"yyyy-mm-dd"))*('Daily Checklist'!$F$2:$F$2000="Done"))&amp;"/"&amp;SUMPRODUCT(('Daily Checklist'!$D$2:$D$2000=$A33)*(TEXT('Daily Checklist'!$B$2:$B$2000,"yyyy-mm-dd")=TEXT(($B$4+17),"yyyy-mm-dd")))&amp;" ESC",SUMPRODUCT(('Daily Checklist'!$D$2:$D$2000=$A33)*(TEXT('Daily Checklist'!$B$2:$B$2000,"yyyy-mm-dd")=TEXT(($B$4+17),"yyyy-mm-dd"))*('Daily Checklist'!$F$2:$F$2000="Done"))&amp;"/"&amp;SUMPRODUCT(('Daily Checklist'!$D$2:$D$2000=$A33)*(TEXT('Daily Checklist'!$B$2:$B$2000,"yyyy-mm-dd")=TEXT(($B$4+17),"yyyy-mm-dd"))))))</f>
        <v/>
      </c>
      <c r="T33" s="25" t="str">
        <f aca="false">IF($A33="","",IF(SUMPRODUCT(('Daily Checklist'!$D$2:$D$2000=$A33)*(TEXT('Daily Checklist'!$B$2:$B$2000,"yyyy-mm-dd")=TEXT(($B$4+18),"yyyy-mm-dd")))=0,"-",IF(SUMPRODUCT(('Daily Checklist'!$D$2:$D$2000=$A33)*(TEXT('Daily Checklist'!$B$2:$B$2000,"yyyy-mm-dd")=TEXT(($B$4+18),"yyyy-mm-dd"))*('Daily Checklist'!$L$2:$L$2000="Y"))&gt;0,SUMPRODUCT(('Daily Checklist'!$D$2:$D$2000=$A33)*(TEXT('Daily Checklist'!$B$2:$B$2000,"yyyy-mm-dd")=TEXT(($B$4+18),"yyyy-mm-dd"))*('Daily Checklist'!$F$2:$F$2000="Done"))&amp;"/"&amp;SUMPRODUCT(('Daily Checklist'!$D$2:$D$2000=$A33)*(TEXT('Daily Checklist'!$B$2:$B$2000,"yyyy-mm-dd")=TEXT(($B$4+18),"yyyy-mm-dd")))&amp;" ESC",SUMPRODUCT(('Daily Checklist'!$D$2:$D$2000=$A33)*(TEXT('Daily Checklist'!$B$2:$B$2000,"yyyy-mm-dd")=TEXT(($B$4+18),"yyyy-mm-dd"))*('Daily Checklist'!$F$2:$F$2000="Done"))&amp;"/"&amp;SUMPRODUCT(('Daily Checklist'!$D$2:$D$2000=$A33)*(TEXT('Daily Checklist'!$B$2:$B$2000,"yyyy-mm-dd")=TEXT(($B$4+18),"yyyy-mm-dd"))))))</f>
        <v/>
      </c>
      <c r="U33" s="25" t="str">
        <f aca="false">IF($A33="","",IF(SUMPRODUCT(('Daily Checklist'!$D$2:$D$2000=$A33)*(TEXT('Daily Checklist'!$B$2:$B$2000,"yyyy-mm-dd")=TEXT(($B$4+19),"yyyy-mm-dd")))=0,"-",IF(SUMPRODUCT(('Daily Checklist'!$D$2:$D$2000=$A33)*(TEXT('Daily Checklist'!$B$2:$B$2000,"yyyy-mm-dd")=TEXT(($B$4+19),"yyyy-mm-dd"))*('Daily Checklist'!$L$2:$L$2000="Y"))&gt;0,SUMPRODUCT(('Daily Checklist'!$D$2:$D$2000=$A33)*(TEXT('Daily Checklist'!$B$2:$B$2000,"yyyy-mm-dd")=TEXT(($B$4+19),"yyyy-mm-dd"))*('Daily Checklist'!$F$2:$F$2000="Done"))&amp;"/"&amp;SUMPRODUCT(('Daily Checklist'!$D$2:$D$2000=$A33)*(TEXT('Daily Checklist'!$B$2:$B$2000,"yyyy-mm-dd")=TEXT(($B$4+19),"yyyy-mm-dd")))&amp;" ESC",SUMPRODUCT(('Daily Checklist'!$D$2:$D$2000=$A33)*(TEXT('Daily Checklist'!$B$2:$B$2000,"yyyy-mm-dd")=TEXT(($B$4+19),"yyyy-mm-dd"))*('Daily Checklist'!$F$2:$F$2000="Done"))&amp;"/"&amp;SUMPRODUCT(('Daily Checklist'!$D$2:$D$2000=$A33)*(TEXT('Daily Checklist'!$B$2:$B$2000,"yyyy-mm-dd")=TEXT(($B$4+19),"yyyy-mm-dd"))))))</f>
        <v/>
      </c>
      <c r="V33" s="25" t="str">
        <f aca="false">IF($A33="","",IF(SUMPRODUCT(('Daily Checklist'!$D$2:$D$2000=$A33)*(TEXT('Daily Checklist'!$B$2:$B$2000,"yyyy-mm-dd")=TEXT(($B$4+20),"yyyy-mm-dd")))=0,"-",IF(SUMPRODUCT(('Daily Checklist'!$D$2:$D$2000=$A33)*(TEXT('Daily Checklist'!$B$2:$B$2000,"yyyy-mm-dd")=TEXT(($B$4+20),"yyyy-mm-dd"))*('Daily Checklist'!$L$2:$L$2000="Y"))&gt;0,SUMPRODUCT(('Daily Checklist'!$D$2:$D$2000=$A33)*(TEXT('Daily Checklist'!$B$2:$B$2000,"yyyy-mm-dd")=TEXT(($B$4+20),"yyyy-mm-dd"))*('Daily Checklist'!$F$2:$F$2000="Done"))&amp;"/"&amp;SUMPRODUCT(('Daily Checklist'!$D$2:$D$2000=$A33)*(TEXT('Daily Checklist'!$B$2:$B$2000,"yyyy-mm-dd")=TEXT(($B$4+20),"yyyy-mm-dd")))&amp;" ESC",SUMPRODUCT(('Daily Checklist'!$D$2:$D$2000=$A33)*(TEXT('Daily Checklist'!$B$2:$B$2000,"yyyy-mm-dd")=TEXT(($B$4+20),"yyyy-mm-dd"))*('Daily Checklist'!$F$2:$F$2000="Done"))&amp;"/"&amp;SUMPRODUCT(('Daily Checklist'!$D$2:$D$2000=$A33)*(TEXT('Daily Checklist'!$B$2:$B$2000,"yyyy-mm-dd")=TEXT(($B$4+20),"yyyy-mm-dd"))))))</f>
        <v/>
      </c>
      <c r="W33" s="25" t="str">
        <f aca="false">IF($A33="","",IF(SUMPRODUCT(('Daily Checklist'!$D$2:$D$2000=$A33)*(TEXT('Daily Checklist'!$B$2:$B$2000,"yyyy-mm-dd")=TEXT(($B$4+21),"yyyy-mm-dd")))=0,"-",IF(SUMPRODUCT(('Daily Checklist'!$D$2:$D$2000=$A33)*(TEXT('Daily Checklist'!$B$2:$B$2000,"yyyy-mm-dd")=TEXT(($B$4+21),"yyyy-mm-dd"))*('Daily Checklist'!$L$2:$L$2000="Y"))&gt;0,SUMPRODUCT(('Daily Checklist'!$D$2:$D$2000=$A33)*(TEXT('Daily Checklist'!$B$2:$B$2000,"yyyy-mm-dd")=TEXT(($B$4+21),"yyyy-mm-dd"))*('Daily Checklist'!$F$2:$F$2000="Done"))&amp;"/"&amp;SUMPRODUCT(('Daily Checklist'!$D$2:$D$2000=$A33)*(TEXT('Daily Checklist'!$B$2:$B$2000,"yyyy-mm-dd")=TEXT(($B$4+21),"yyyy-mm-dd")))&amp;" ESC",SUMPRODUCT(('Daily Checklist'!$D$2:$D$2000=$A33)*(TEXT('Daily Checklist'!$B$2:$B$2000,"yyyy-mm-dd")=TEXT(($B$4+21),"yyyy-mm-dd"))*('Daily Checklist'!$F$2:$F$2000="Done"))&amp;"/"&amp;SUMPRODUCT(('Daily Checklist'!$D$2:$D$2000=$A33)*(TEXT('Daily Checklist'!$B$2:$B$2000,"yyyy-mm-dd")=TEXT(($B$4+21),"yyyy-mm-dd"))))))</f>
        <v/>
      </c>
      <c r="X33" s="25" t="str">
        <f aca="false">IF($A33="","",IF(SUMPRODUCT(('Daily Checklist'!$D$2:$D$2000=$A33)*(TEXT('Daily Checklist'!$B$2:$B$2000,"yyyy-mm-dd")=TEXT(($B$4+22),"yyyy-mm-dd")))=0,"-",IF(SUMPRODUCT(('Daily Checklist'!$D$2:$D$2000=$A33)*(TEXT('Daily Checklist'!$B$2:$B$2000,"yyyy-mm-dd")=TEXT(($B$4+22),"yyyy-mm-dd"))*('Daily Checklist'!$L$2:$L$2000="Y"))&gt;0,SUMPRODUCT(('Daily Checklist'!$D$2:$D$2000=$A33)*(TEXT('Daily Checklist'!$B$2:$B$2000,"yyyy-mm-dd")=TEXT(($B$4+22),"yyyy-mm-dd"))*('Daily Checklist'!$F$2:$F$2000="Done"))&amp;"/"&amp;SUMPRODUCT(('Daily Checklist'!$D$2:$D$2000=$A33)*(TEXT('Daily Checklist'!$B$2:$B$2000,"yyyy-mm-dd")=TEXT(($B$4+22),"yyyy-mm-dd")))&amp;" ESC",SUMPRODUCT(('Daily Checklist'!$D$2:$D$2000=$A33)*(TEXT('Daily Checklist'!$B$2:$B$2000,"yyyy-mm-dd")=TEXT(($B$4+22),"yyyy-mm-dd"))*('Daily Checklist'!$F$2:$F$2000="Done"))&amp;"/"&amp;SUMPRODUCT(('Daily Checklist'!$D$2:$D$2000=$A33)*(TEXT('Daily Checklist'!$B$2:$B$2000,"yyyy-mm-dd")=TEXT(($B$4+22),"yyyy-mm-dd"))))))</f>
        <v/>
      </c>
      <c r="Y33" s="25" t="str">
        <f aca="false">IF($A33="","",IF(SUMPRODUCT(('Daily Checklist'!$D$2:$D$2000=$A33)*(TEXT('Daily Checklist'!$B$2:$B$2000,"yyyy-mm-dd")=TEXT(($B$4+23),"yyyy-mm-dd")))=0,"-",IF(SUMPRODUCT(('Daily Checklist'!$D$2:$D$2000=$A33)*(TEXT('Daily Checklist'!$B$2:$B$2000,"yyyy-mm-dd")=TEXT(($B$4+23),"yyyy-mm-dd"))*('Daily Checklist'!$L$2:$L$2000="Y"))&gt;0,SUMPRODUCT(('Daily Checklist'!$D$2:$D$2000=$A33)*(TEXT('Daily Checklist'!$B$2:$B$2000,"yyyy-mm-dd")=TEXT(($B$4+23),"yyyy-mm-dd"))*('Daily Checklist'!$F$2:$F$2000="Done"))&amp;"/"&amp;SUMPRODUCT(('Daily Checklist'!$D$2:$D$2000=$A33)*(TEXT('Daily Checklist'!$B$2:$B$2000,"yyyy-mm-dd")=TEXT(($B$4+23),"yyyy-mm-dd")))&amp;" ESC",SUMPRODUCT(('Daily Checklist'!$D$2:$D$2000=$A33)*(TEXT('Daily Checklist'!$B$2:$B$2000,"yyyy-mm-dd")=TEXT(($B$4+23),"yyyy-mm-dd"))*('Daily Checklist'!$F$2:$F$2000="Done"))&amp;"/"&amp;SUMPRODUCT(('Daily Checklist'!$D$2:$D$2000=$A33)*(TEXT('Daily Checklist'!$B$2:$B$2000,"yyyy-mm-dd")=TEXT(($B$4+23),"yyyy-mm-dd"))))))</f>
        <v/>
      </c>
      <c r="Z33" s="25" t="str">
        <f aca="false">IF($A33="","",IF(SUMPRODUCT(('Daily Checklist'!$D$2:$D$2000=$A33)*(TEXT('Daily Checklist'!$B$2:$B$2000,"yyyy-mm-dd")=TEXT(($B$4+24),"yyyy-mm-dd")))=0,"-",IF(SUMPRODUCT(('Daily Checklist'!$D$2:$D$2000=$A33)*(TEXT('Daily Checklist'!$B$2:$B$2000,"yyyy-mm-dd")=TEXT(($B$4+24),"yyyy-mm-dd"))*('Daily Checklist'!$L$2:$L$2000="Y"))&gt;0,SUMPRODUCT(('Daily Checklist'!$D$2:$D$2000=$A33)*(TEXT('Daily Checklist'!$B$2:$B$2000,"yyyy-mm-dd")=TEXT(($B$4+24),"yyyy-mm-dd"))*('Daily Checklist'!$F$2:$F$2000="Done"))&amp;"/"&amp;SUMPRODUCT(('Daily Checklist'!$D$2:$D$2000=$A33)*(TEXT('Daily Checklist'!$B$2:$B$2000,"yyyy-mm-dd")=TEXT(($B$4+24),"yyyy-mm-dd")))&amp;" ESC",SUMPRODUCT(('Daily Checklist'!$D$2:$D$2000=$A33)*(TEXT('Daily Checklist'!$B$2:$B$2000,"yyyy-mm-dd")=TEXT(($B$4+24),"yyyy-mm-dd"))*('Daily Checklist'!$F$2:$F$2000="Done"))&amp;"/"&amp;SUMPRODUCT(('Daily Checklist'!$D$2:$D$2000=$A33)*(TEXT('Daily Checklist'!$B$2:$B$2000,"yyyy-mm-dd")=TEXT(($B$4+24),"yyyy-mm-dd"))))))</f>
        <v/>
      </c>
      <c r="AA33" s="25" t="str">
        <f aca="false">IF($A33="","",IF(SUMPRODUCT(('Daily Checklist'!$D$2:$D$2000=$A33)*(TEXT('Daily Checklist'!$B$2:$B$2000,"yyyy-mm-dd")=TEXT(($B$4+25),"yyyy-mm-dd")))=0,"-",IF(SUMPRODUCT(('Daily Checklist'!$D$2:$D$2000=$A33)*(TEXT('Daily Checklist'!$B$2:$B$2000,"yyyy-mm-dd")=TEXT(($B$4+25),"yyyy-mm-dd"))*('Daily Checklist'!$L$2:$L$2000="Y"))&gt;0,SUMPRODUCT(('Daily Checklist'!$D$2:$D$2000=$A33)*(TEXT('Daily Checklist'!$B$2:$B$2000,"yyyy-mm-dd")=TEXT(($B$4+25),"yyyy-mm-dd"))*('Daily Checklist'!$F$2:$F$2000="Done"))&amp;"/"&amp;SUMPRODUCT(('Daily Checklist'!$D$2:$D$2000=$A33)*(TEXT('Daily Checklist'!$B$2:$B$2000,"yyyy-mm-dd")=TEXT(($B$4+25),"yyyy-mm-dd")))&amp;" ESC",SUMPRODUCT(('Daily Checklist'!$D$2:$D$2000=$A33)*(TEXT('Daily Checklist'!$B$2:$B$2000,"yyyy-mm-dd")=TEXT(($B$4+25),"yyyy-mm-dd"))*('Daily Checklist'!$F$2:$F$2000="Done"))&amp;"/"&amp;SUMPRODUCT(('Daily Checklist'!$D$2:$D$2000=$A33)*(TEXT('Daily Checklist'!$B$2:$B$2000,"yyyy-mm-dd")=TEXT(($B$4+25),"yyyy-mm-dd"))))))</f>
        <v/>
      </c>
      <c r="AB33" s="25" t="str">
        <f aca="false">IF($A33="","",IF(SUMPRODUCT(('Daily Checklist'!$D$2:$D$2000=$A33)*(TEXT('Daily Checklist'!$B$2:$B$2000,"yyyy-mm-dd")=TEXT(($B$4+26),"yyyy-mm-dd")))=0,"-",IF(SUMPRODUCT(('Daily Checklist'!$D$2:$D$2000=$A33)*(TEXT('Daily Checklist'!$B$2:$B$2000,"yyyy-mm-dd")=TEXT(($B$4+26),"yyyy-mm-dd"))*('Daily Checklist'!$L$2:$L$2000="Y"))&gt;0,SUMPRODUCT(('Daily Checklist'!$D$2:$D$2000=$A33)*(TEXT('Daily Checklist'!$B$2:$B$2000,"yyyy-mm-dd")=TEXT(($B$4+26),"yyyy-mm-dd"))*('Daily Checklist'!$F$2:$F$2000="Done"))&amp;"/"&amp;SUMPRODUCT(('Daily Checklist'!$D$2:$D$2000=$A33)*(TEXT('Daily Checklist'!$B$2:$B$2000,"yyyy-mm-dd")=TEXT(($B$4+26),"yyyy-mm-dd")))&amp;" ESC",SUMPRODUCT(('Daily Checklist'!$D$2:$D$2000=$A33)*(TEXT('Daily Checklist'!$B$2:$B$2000,"yyyy-mm-dd")=TEXT(($B$4+26),"yyyy-mm-dd"))*('Daily Checklist'!$F$2:$F$2000="Done"))&amp;"/"&amp;SUMPRODUCT(('Daily Checklist'!$D$2:$D$2000=$A33)*(TEXT('Daily Checklist'!$B$2:$B$2000,"yyyy-mm-dd")=TEXT(($B$4+26),"yyyy-mm-dd"))))))</f>
        <v/>
      </c>
      <c r="AC33" s="25" t="str">
        <f aca="false">IF($A33="","",IF(SUMPRODUCT(('Daily Checklist'!$D$2:$D$2000=$A33)*(TEXT('Daily Checklist'!$B$2:$B$2000,"yyyy-mm-dd")=TEXT(($B$4+27),"yyyy-mm-dd")))=0,"-",IF(SUMPRODUCT(('Daily Checklist'!$D$2:$D$2000=$A33)*(TEXT('Daily Checklist'!$B$2:$B$2000,"yyyy-mm-dd")=TEXT(($B$4+27),"yyyy-mm-dd"))*('Daily Checklist'!$L$2:$L$2000="Y"))&gt;0,SUMPRODUCT(('Daily Checklist'!$D$2:$D$2000=$A33)*(TEXT('Daily Checklist'!$B$2:$B$2000,"yyyy-mm-dd")=TEXT(($B$4+27),"yyyy-mm-dd"))*('Daily Checklist'!$F$2:$F$2000="Done"))&amp;"/"&amp;SUMPRODUCT(('Daily Checklist'!$D$2:$D$2000=$A33)*(TEXT('Daily Checklist'!$B$2:$B$2000,"yyyy-mm-dd")=TEXT(($B$4+27),"yyyy-mm-dd")))&amp;" ESC",SUMPRODUCT(('Daily Checklist'!$D$2:$D$2000=$A33)*(TEXT('Daily Checklist'!$B$2:$B$2000,"yyyy-mm-dd")=TEXT(($B$4+27),"yyyy-mm-dd"))*('Daily Checklist'!$F$2:$F$2000="Done"))&amp;"/"&amp;SUMPRODUCT(('Daily Checklist'!$D$2:$D$2000=$A33)*(TEXT('Daily Checklist'!$B$2:$B$2000,"yyyy-mm-dd")=TEXT(($B$4+27),"yyyy-mm-dd"))))))</f>
        <v/>
      </c>
      <c r="AD33" s="25" t="str">
        <f aca="false">IF($A33="","",IF(SUMPRODUCT(('Daily Checklist'!$D$2:$D$2000=$A33)*(TEXT('Daily Checklist'!$B$2:$B$2000,"yyyy-mm-dd")=TEXT(($B$4+28),"yyyy-mm-dd")))=0,"-",IF(SUMPRODUCT(('Daily Checklist'!$D$2:$D$2000=$A33)*(TEXT('Daily Checklist'!$B$2:$B$2000,"yyyy-mm-dd")=TEXT(($B$4+28),"yyyy-mm-dd"))*('Daily Checklist'!$L$2:$L$2000="Y"))&gt;0,SUMPRODUCT(('Daily Checklist'!$D$2:$D$2000=$A33)*(TEXT('Daily Checklist'!$B$2:$B$2000,"yyyy-mm-dd")=TEXT(($B$4+28),"yyyy-mm-dd"))*('Daily Checklist'!$F$2:$F$2000="Done"))&amp;"/"&amp;SUMPRODUCT(('Daily Checklist'!$D$2:$D$2000=$A33)*(TEXT('Daily Checklist'!$B$2:$B$2000,"yyyy-mm-dd")=TEXT(($B$4+28),"yyyy-mm-dd")))&amp;" ESC",SUMPRODUCT(('Daily Checklist'!$D$2:$D$2000=$A33)*(TEXT('Daily Checklist'!$B$2:$B$2000,"yyyy-mm-dd")=TEXT(($B$4+28),"yyyy-mm-dd"))*('Daily Checklist'!$F$2:$F$2000="Done"))&amp;"/"&amp;SUMPRODUCT(('Daily Checklist'!$D$2:$D$2000=$A33)*(TEXT('Daily Checklist'!$B$2:$B$2000,"yyyy-mm-dd")=TEXT(($B$4+28),"yyyy-mm-dd"))))))</f>
        <v/>
      </c>
      <c r="AE33" s="25" t="str">
        <f aca="false">IF($A33="","",IF(SUMPRODUCT(('Daily Checklist'!$D$2:$D$2000=$A33)*(TEXT('Daily Checklist'!$B$2:$B$2000,"yyyy-mm-dd")=TEXT(($B$4+29),"yyyy-mm-dd")))=0,"-",IF(SUMPRODUCT(('Daily Checklist'!$D$2:$D$2000=$A33)*(TEXT('Daily Checklist'!$B$2:$B$2000,"yyyy-mm-dd")=TEXT(($B$4+29),"yyyy-mm-dd"))*('Daily Checklist'!$L$2:$L$2000="Y"))&gt;0,SUMPRODUCT(('Daily Checklist'!$D$2:$D$2000=$A33)*(TEXT('Daily Checklist'!$B$2:$B$2000,"yyyy-mm-dd")=TEXT(($B$4+29),"yyyy-mm-dd"))*('Daily Checklist'!$F$2:$F$2000="Done"))&amp;"/"&amp;SUMPRODUCT(('Daily Checklist'!$D$2:$D$2000=$A33)*(TEXT('Daily Checklist'!$B$2:$B$2000,"yyyy-mm-dd")=TEXT(($B$4+29),"yyyy-mm-dd")))&amp;" ESC",SUMPRODUCT(('Daily Checklist'!$D$2:$D$2000=$A33)*(TEXT('Daily Checklist'!$B$2:$B$2000,"yyyy-mm-dd")=TEXT(($B$4+29),"yyyy-mm-dd"))*('Daily Checklist'!$F$2:$F$2000="Done"))&amp;"/"&amp;SUMPRODUCT(('Daily Checklist'!$D$2:$D$2000=$A33)*(TEXT('Daily Checklist'!$B$2:$B$2000,"yyyy-mm-dd")=TEXT(($B$4+29),"yyyy-mm-dd"))))))</f>
        <v/>
      </c>
      <c r="AF33" s="25" t="str">
        <f aca="false">IF($A33="","",IF(SUMPRODUCT(('Daily Checklist'!$D$2:$D$2000=$A33)*(TEXT('Daily Checklist'!$B$2:$B$2000,"yyyy-mm-dd")=TEXT(($B$4+30),"yyyy-mm-dd")))=0,"-",IF(SUMPRODUCT(('Daily Checklist'!$D$2:$D$2000=$A33)*(TEXT('Daily Checklist'!$B$2:$B$2000,"yyyy-mm-dd")=TEXT(($B$4+30),"yyyy-mm-dd"))*('Daily Checklist'!$L$2:$L$2000="Y"))&gt;0,SUMPRODUCT(('Daily Checklist'!$D$2:$D$2000=$A33)*(TEXT('Daily Checklist'!$B$2:$B$2000,"yyyy-mm-dd")=TEXT(($B$4+30),"yyyy-mm-dd"))*('Daily Checklist'!$F$2:$F$2000="Done"))&amp;"/"&amp;SUMPRODUCT(('Daily Checklist'!$D$2:$D$2000=$A33)*(TEXT('Daily Checklist'!$B$2:$B$2000,"yyyy-mm-dd")=TEXT(($B$4+30),"yyyy-mm-dd")))&amp;" ESC",SUMPRODUCT(('Daily Checklist'!$D$2:$D$2000=$A33)*(TEXT('Daily Checklist'!$B$2:$B$2000,"yyyy-mm-dd")=TEXT(($B$4+30),"yyyy-mm-dd"))*('Daily Checklist'!$F$2:$F$2000="Done"))&amp;"/"&amp;SUMPRODUCT(('Daily Checklist'!$D$2:$D$2000=$A33)*(TEXT('Daily Checklist'!$B$2:$B$2000,"yyyy-mm-dd")=TEXT(($B$4+30),"yyyy-mm-dd"))))))</f>
        <v/>
      </c>
    </row>
    <row r="34" customFormat="false" ht="15" hidden="false" customHeight="true" outlineLevel="0" collapsed="false">
      <c r="A34" s="24" t="str">
        <f aca="false">IFERROR(IF(Employees!A29="","",Employees!A29),"")</f>
        <v/>
      </c>
      <c r="B34" s="25" t="str">
        <f aca="false">IF($A34="","",IF(SUMPRODUCT(('Daily Checklist'!$D$2:$D$2000=$A34)*(TEXT('Daily Checklist'!$B$2:$B$2000,"yyyy-mm-dd")=TEXT(($B$4+0),"yyyy-mm-dd")))=0,"-",IF(SUMPRODUCT(('Daily Checklist'!$D$2:$D$2000=$A34)*(TEXT('Daily Checklist'!$B$2:$B$2000,"yyyy-mm-dd")=TEXT(($B$4+0),"yyyy-mm-dd"))*('Daily Checklist'!$L$2:$L$2000="Y"))&gt;0,SUMPRODUCT(('Daily Checklist'!$D$2:$D$2000=$A34)*(TEXT('Daily Checklist'!$B$2:$B$2000,"yyyy-mm-dd")=TEXT(($B$4+0),"yyyy-mm-dd"))*('Daily Checklist'!$F$2:$F$2000="Done"))&amp;"/"&amp;SUMPRODUCT(('Daily Checklist'!$D$2:$D$2000=$A34)*(TEXT('Daily Checklist'!$B$2:$B$2000,"yyyy-mm-dd")=TEXT(($B$4+0),"yyyy-mm-dd")))&amp;" ESC",SUMPRODUCT(('Daily Checklist'!$D$2:$D$2000=$A34)*(TEXT('Daily Checklist'!$B$2:$B$2000,"yyyy-mm-dd")=TEXT(($B$4+0),"yyyy-mm-dd"))*('Daily Checklist'!$F$2:$F$2000="Done"))&amp;"/"&amp;SUMPRODUCT(('Daily Checklist'!$D$2:$D$2000=$A34)*(TEXT('Daily Checklist'!$B$2:$B$2000,"yyyy-mm-dd")=TEXT(($B$4+0),"yyyy-mm-dd"))))))</f>
        <v/>
      </c>
      <c r="C34" s="25" t="str">
        <f aca="false">IF($A34="","",IF(SUMPRODUCT(('Daily Checklist'!$D$2:$D$2000=$A34)*(TEXT('Daily Checklist'!$B$2:$B$2000,"yyyy-mm-dd")=TEXT(($B$4+1),"yyyy-mm-dd")))=0,"-",IF(SUMPRODUCT(('Daily Checklist'!$D$2:$D$2000=$A34)*(TEXT('Daily Checklist'!$B$2:$B$2000,"yyyy-mm-dd")=TEXT(($B$4+1),"yyyy-mm-dd"))*('Daily Checklist'!$L$2:$L$2000="Y"))&gt;0,SUMPRODUCT(('Daily Checklist'!$D$2:$D$2000=$A34)*(TEXT('Daily Checklist'!$B$2:$B$2000,"yyyy-mm-dd")=TEXT(($B$4+1),"yyyy-mm-dd"))*('Daily Checklist'!$F$2:$F$2000="Done"))&amp;"/"&amp;SUMPRODUCT(('Daily Checklist'!$D$2:$D$2000=$A34)*(TEXT('Daily Checklist'!$B$2:$B$2000,"yyyy-mm-dd")=TEXT(($B$4+1),"yyyy-mm-dd")))&amp;" ESC",SUMPRODUCT(('Daily Checklist'!$D$2:$D$2000=$A34)*(TEXT('Daily Checklist'!$B$2:$B$2000,"yyyy-mm-dd")=TEXT(($B$4+1),"yyyy-mm-dd"))*('Daily Checklist'!$F$2:$F$2000="Done"))&amp;"/"&amp;SUMPRODUCT(('Daily Checklist'!$D$2:$D$2000=$A34)*(TEXT('Daily Checklist'!$B$2:$B$2000,"yyyy-mm-dd")=TEXT(($B$4+1),"yyyy-mm-dd"))))))</f>
        <v/>
      </c>
      <c r="D34" s="25" t="str">
        <f aca="false">IF($A34="","",IF(SUMPRODUCT(('Daily Checklist'!$D$2:$D$2000=$A34)*(TEXT('Daily Checklist'!$B$2:$B$2000,"yyyy-mm-dd")=TEXT(($B$4+2),"yyyy-mm-dd")))=0,"-",IF(SUMPRODUCT(('Daily Checklist'!$D$2:$D$2000=$A34)*(TEXT('Daily Checklist'!$B$2:$B$2000,"yyyy-mm-dd")=TEXT(($B$4+2),"yyyy-mm-dd"))*('Daily Checklist'!$L$2:$L$2000="Y"))&gt;0,SUMPRODUCT(('Daily Checklist'!$D$2:$D$2000=$A34)*(TEXT('Daily Checklist'!$B$2:$B$2000,"yyyy-mm-dd")=TEXT(($B$4+2),"yyyy-mm-dd"))*('Daily Checklist'!$F$2:$F$2000="Done"))&amp;"/"&amp;SUMPRODUCT(('Daily Checklist'!$D$2:$D$2000=$A34)*(TEXT('Daily Checklist'!$B$2:$B$2000,"yyyy-mm-dd")=TEXT(($B$4+2),"yyyy-mm-dd")))&amp;" ESC",SUMPRODUCT(('Daily Checklist'!$D$2:$D$2000=$A34)*(TEXT('Daily Checklist'!$B$2:$B$2000,"yyyy-mm-dd")=TEXT(($B$4+2),"yyyy-mm-dd"))*('Daily Checklist'!$F$2:$F$2000="Done"))&amp;"/"&amp;SUMPRODUCT(('Daily Checklist'!$D$2:$D$2000=$A34)*(TEXT('Daily Checklist'!$B$2:$B$2000,"yyyy-mm-dd")=TEXT(($B$4+2),"yyyy-mm-dd"))))))</f>
        <v/>
      </c>
      <c r="E34" s="25" t="str">
        <f aca="false">IF($A34="","",IF(SUMPRODUCT(('Daily Checklist'!$D$2:$D$2000=$A34)*(TEXT('Daily Checklist'!$B$2:$B$2000,"yyyy-mm-dd")=TEXT(($B$4+3),"yyyy-mm-dd")))=0,"-",IF(SUMPRODUCT(('Daily Checklist'!$D$2:$D$2000=$A34)*(TEXT('Daily Checklist'!$B$2:$B$2000,"yyyy-mm-dd")=TEXT(($B$4+3),"yyyy-mm-dd"))*('Daily Checklist'!$L$2:$L$2000="Y"))&gt;0,SUMPRODUCT(('Daily Checklist'!$D$2:$D$2000=$A34)*(TEXT('Daily Checklist'!$B$2:$B$2000,"yyyy-mm-dd")=TEXT(($B$4+3),"yyyy-mm-dd"))*('Daily Checklist'!$F$2:$F$2000="Done"))&amp;"/"&amp;SUMPRODUCT(('Daily Checklist'!$D$2:$D$2000=$A34)*(TEXT('Daily Checklist'!$B$2:$B$2000,"yyyy-mm-dd")=TEXT(($B$4+3),"yyyy-mm-dd")))&amp;" ESC",SUMPRODUCT(('Daily Checklist'!$D$2:$D$2000=$A34)*(TEXT('Daily Checklist'!$B$2:$B$2000,"yyyy-mm-dd")=TEXT(($B$4+3),"yyyy-mm-dd"))*('Daily Checklist'!$F$2:$F$2000="Done"))&amp;"/"&amp;SUMPRODUCT(('Daily Checklist'!$D$2:$D$2000=$A34)*(TEXT('Daily Checklist'!$B$2:$B$2000,"yyyy-mm-dd")=TEXT(($B$4+3),"yyyy-mm-dd"))))))</f>
        <v/>
      </c>
      <c r="F34" s="25" t="str">
        <f aca="false">IF($A34="","",IF(SUMPRODUCT(('Daily Checklist'!$D$2:$D$2000=$A34)*(TEXT('Daily Checklist'!$B$2:$B$2000,"yyyy-mm-dd")=TEXT(($B$4+4),"yyyy-mm-dd")))=0,"-",IF(SUMPRODUCT(('Daily Checklist'!$D$2:$D$2000=$A34)*(TEXT('Daily Checklist'!$B$2:$B$2000,"yyyy-mm-dd")=TEXT(($B$4+4),"yyyy-mm-dd"))*('Daily Checklist'!$L$2:$L$2000="Y"))&gt;0,SUMPRODUCT(('Daily Checklist'!$D$2:$D$2000=$A34)*(TEXT('Daily Checklist'!$B$2:$B$2000,"yyyy-mm-dd")=TEXT(($B$4+4),"yyyy-mm-dd"))*('Daily Checklist'!$F$2:$F$2000="Done"))&amp;"/"&amp;SUMPRODUCT(('Daily Checklist'!$D$2:$D$2000=$A34)*(TEXT('Daily Checklist'!$B$2:$B$2000,"yyyy-mm-dd")=TEXT(($B$4+4),"yyyy-mm-dd")))&amp;" ESC",SUMPRODUCT(('Daily Checklist'!$D$2:$D$2000=$A34)*(TEXT('Daily Checklist'!$B$2:$B$2000,"yyyy-mm-dd")=TEXT(($B$4+4),"yyyy-mm-dd"))*('Daily Checklist'!$F$2:$F$2000="Done"))&amp;"/"&amp;SUMPRODUCT(('Daily Checklist'!$D$2:$D$2000=$A34)*(TEXT('Daily Checklist'!$B$2:$B$2000,"yyyy-mm-dd")=TEXT(($B$4+4),"yyyy-mm-dd"))))))</f>
        <v/>
      </c>
      <c r="G34" s="25" t="str">
        <f aca="false">IF($A34="","",IF(SUMPRODUCT(('Daily Checklist'!$D$2:$D$2000=$A34)*(TEXT('Daily Checklist'!$B$2:$B$2000,"yyyy-mm-dd")=TEXT(($B$4+5),"yyyy-mm-dd")))=0,"-",IF(SUMPRODUCT(('Daily Checklist'!$D$2:$D$2000=$A34)*(TEXT('Daily Checklist'!$B$2:$B$2000,"yyyy-mm-dd")=TEXT(($B$4+5),"yyyy-mm-dd"))*('Daily Checklist'!$L$2:$L$2000="Y"))&gt;0,SUMPRODUCT(('Daily Checklist'!$D$2:$D$2000=$A34)*(TEXT('Daily Checklist'!$B$2:$B$2000,"yyyy-mm-dd")=TEXT(($B$4+5),"yyyy-mm-dd"))*('Daily Checklist'!$F$2:$F$2000="Done"))&amp;"/"&amp;SUMPRODUCT(('Daily Checklist'!$D$2:$D$2000=$A34)*(TEXT('Daily Checklist'!$B$2:$B$2000,"yyyy-mm-dd")=TEXT(($B$4+5),"yyyy-mm-dd")))&amp;" ESC",SUMPRODUCT(('Daily Checklist'!$D$2:$D$2000=$A34)*(TEXT('Daily Checklist'!$B$2:$B$2000,"yyyy-mm-dd")=TEXT(($B$4+5),"yyyy-mm-dd"))*('Daily Checklist'!$F$2:$F$2000="Done"))&amp;"/"&amp;SUMPRODUCT(('Daily Checklist'!$D$2:$D$2000=$A34)*(TEXT('Daily Checklist'!$B$2:$B$2000,"yyyy-mm-dd")=TEXT(($B$4+5),"yyyy-mm-dd"))))))</f>
        <v/>
      </c>
      <c r="H34" s="25" t="str">
        <f aca="false">IF($A34="","",IF(SUMPRODUCT(('Daily Checklist'!$D$2:$D$2000=$A34)*(TEXT('Daily Checklist'!$B$2:$B$2000,"yyyy-mm-dd")=TEXT(($B$4+6),"yyyy-mm-dd")))=0,"-",IF(SUMPRODUCT(('Daily Checklist'!$D$2:$D$2000=$A34)*(TEXT('Daily Checklist'!$B$2:$B$2000,"yyyy-mm-dd")=TEXT(($B$4+6),"yyyy-mm-dd"))*('Daily Checklist'!$L$2:$L$2000="Y"))&gt;0,SUMPRODUCT(('Daily Checklist'!$D$2:$D$2000=$A34)*(TEXT('Daily Checklist'!$B$2:$B$2000,"yyyy-mm-dd")=TEXT(($B$4+6),"yyyy-mm-dd"))*('Daily Checklist'!$F$2:$F$2000="Done"))&amp;"/"&amp;SUMPRODUCT(('Daily Checklist'!$D$2:$D$2000=$A34)*(TEXT('Daily Checklist'!$B$2:$B$2000,"yyyy-mm-dd")=TEXT(($B$4+6),"yyyy-mm-dd")))&amp;" ESC",SUMPRODUCT(('Daily Checklist'!$D$2:$D$2000=$A34)*(TEXT('Daily Checklist'!$B$2:$B$2000,"yyyy-mm-dd")=TEXT(($B$4+6),"yyyy-mm-dd"))*('Daily Checklist'!$F$2:$F$2000="Done"))&amp;"/"&amp;SUMPRODUCT(('Daily Checklist'!$D$2:$D$2000=$A34)*(TEXT('Daily Checklist'!$B$2:$B$2000,"yyyy-mm-dd")=TEXT(($B$4+6),"yyyy-mm-dd"))))))</f>
        <v/>
      </c>
      <c r="I34" s="25" t="str">
        <f aca="false">IF($A34="","",IF(SUMPRODUCT(('Daily Checklist'!$D$2:$D$2000=$A34)*(TEXT('Daily Checklist'!$B$2:$B$2000,"yyyy-mm-dd")=TEXT(($B$4+7),"yyyy-mm-dd")))=0,"-",IF(SUMPRODUCT(('Daily Checklist'!$D$2:$D$2000=$A34)*(TEXT('Daily Checklist'!$B$2:$B$2000,"yyyy-mm-dd")=TEXT(($B$4+7),"yyyy-mm-dd"))*('Daily Checklist'!$L$2:$L$2000="Y"))&gt;0,SUMPRODUCT(('Daily Checklist'!$D$2:$D$2000=$A34)*(TEXT('Daily Checklist'!$B$2:$B$2000,"yyyy-mm-dd")=TEXT(($B$4+7),"yyyy-mm-dd"))*('Daily Checklist'!$F$2:$F$2000="Done"))&amp;"/"&amp;SUMPRODUCT(('Daily Checklist'!$D$2:$D$2000=$A34)*(TEXT('Daily Checklist'!$B$2:$B$2000,"yyyy-mm-dd")=TEXT(($B$4+7),"yyyy-mm-dd")))&amp;" ESC",SUMPRODUCT(('Daily Checklist'!$D$2:$D$2000=$A34)*(TEXT('Daily Checklist'!$B$2:$B$2000,"yyyy-mm-dd")=TEXT(($B$4+7),"yyyy-mm-dd"))*('Daily Checklist'!$F$2:$F$2000="Done"))&amp;"/"&amp;SUMPRODUCT(('Daily Checklist'!$D$2:$D$2000=$A34)*(TEXT('Daily Checklist'!$B$2:$B$2000,"yyyy-mm-dd")=TEXT(($B$4+7),"yyyy-mm-dd"))))))</f>
        <v/>
      </c>
      <c r="J34" s="25" t="str">
        <f aca="false">IF($A34="","",IF(SUMPRODUCT(('Daily Checklist'!$D$2:$D$2000=$A34)*(TEXT('Daily Checklist'!$B$2:$B$2000,"yyyy-mm-dd")=TEXT(($B$4+8),"yyyy-mm-dd")))=0,"-",IF(SUMPRODUCT(('Daily Checklist'!$D$2:$D$2000=$A34)*(TEXT('Daily Checklist'!$B$2:$B$2000,"yyyy-mm-dd")=TEXT(($B$4+8),"yyyy-mm-dd"))*('Daily Checklist'!$L$2:$L$2000="Y"))&gt;0,SUMPRODUCT(('Daily Checklist'!$D$2:$D$2000=$A34)*(TEXT('Daily Checklist'!$B$2:$B$2000,"yyyy-mm-dd")=TEXT(($B$4+8),"yyyy-mm-dd"))*('Daily Checklist'!$F$2:$F$2000="Done"))&amp;"/"&amp;SUMPRODUCT(('Daily Checklist'!$D$2:$D$2000=$A34)*(TEXT('Daily Checklist'!$B$2:$B$2000,"yyyy-mm-dd")=TEXT(($B$4+8),"yyyy-mm-dd")))&amp;" ESC",SUMPRODUCT(('Daily Checklist'!$D$2:$D$2000=$A34)*(TEXT('Daily Checklist'!$B$2:$B$2000,"yyyy-mm-dd")=TEXT(($B$4+8),"yyyy-mm-dd"))*('Daily Checklist'!$F$2:$F$2000="Done"))&amp;"/"&amp;SUMPRODUCT(('Daily Checklist'!$D$2:$D$2000=$A34)*(TEXT('Daily Checklist'!$B$2:$B$2000,"yyyy-mm-dd")=TEXT(($B$4+8),"yyyy-mm-dd"))))))</f>
        <v/>
      </c>
      <c r="K34" s="25" t="str">
        <f aca="false">IF($A34="","",IF(SUMPRODUCT(('Daily Checklist'!$D$2:$D$2000=$A34)*(TEXT('Daily Checklist'!$B$2:$B$2000,"yyyy-mm-dd")=TEXT(($B$4+9),"yyyy-mm-dd")))=0,"-",IF(SUMPRODUCT(('Daily Checklist'!$D$2:$D$2000=$A34)*(TEXT('Daily Checklist'!$B$2:$B$2000,"yyyy-mm-dd")=TEXT(($B$4+9),"yyyy-mm-dd"))*('Daily Checklist'!$L$2:$L$2000="Y"))&gt;0,SUMPRODUCT(('Daily Checklist'!$D$2:$D$2000=$A34)*(TEXT('Daily Checklist'!$B$2:$B$2000,"yyyy-mm-dd")=TEXT(($B$4+9),"yyyy-mm-dd"))*('Daily Checklist'!$F$2:$F$2000="Done"))&amp;"/"&amp;SUMPRODUCT(('Daily Checklist'!$D$2:$D$2000=$A34)*(TEXT('Daily Checklist'!$B$2:$B$2000,"yyyy-mm-dd")=TEXT(($B$4+9),"yyyy-mm-dd")))&amp;" ESC",SUMPRODUCT(('Daily Checklist'!$D$2:$D$2000=$A34)*(TEXT('Daily Checklist'!$B$2:$B$2000,"yyyy-mm-dd")=TEXT(($B$4+9),"yyyy-mm-dd"))*('Daily Checklist'!$F$2:$F$2000="Done"))&amp;"/"&amp;SUMPRODUCT(('Daily Checklist'!$D$2:$D$2000=$A34)*(TEXT('Daily Checklist'!$B$2:$B$2000,"yyyy-mm-dd")=TEXT(($B$4+9),"yyyy-mm-dd"))))))</f>
        <v/>
      </c>
      <c r="L34" s="25" t="str">
        <f aca="false">IF($A34="","",IF(SUMPRODUCT(('Daily Checklist'!$D$2:$D$2000=$A34)*(TEXT('Daily Checklist'!$B$2:$B$2000,"yyyy-mm-dd")=TEXT(($B$4+10),"yyyy-mm-dd")))=0,"-",IF(SUMPRODUCT(('Daily Checklist'!$D$2:$D$2000=$A34)*(TEXT('Daily Checklist'!$B$2:$B$2000,"yyyy-mm-dd")=TEXT(($B$4+10),"yyyy-mm-dd"))*('Daily Checklist'!$L$2:$L$2000="Y"))&gt;0,SUMPRODUCT(('Daily Checklist'!$D$2:$D$2000=$A34)*(TEXT('Daily Checklist'!$B$2:$B$2000,"yyyy-mm-dd")=TEXT(($B$4+10),"yyyy-mm-dd"))*('Daily Checklist'!$F$2:$F$2000="Done"))&amp;"/"&amp;SUMPRODUCT(('Daily Checklist'!$D$2:$D$2000=$A34)*(TEXT('Daily Checklist'!$B$2:$B$2000,"yyyy-mm-dd")=TEXT(($B$4+10),"yyyy-mm-dd")))&amp;" ESC",SUMPRODUCT(('Daily Checklist'!$D$2:$D$2000=$A34)*(TEXT('Daily Checklist'!$B$2:$B$2000,"yyyy-mm-dd")=TEXT(($B$4+10),"yyyy-mm-dd"))*('Daily Checklist'!$F$2:$F$2000="Done"))&amp;"/"&amp;SUMPRODUCT(('Daily Checklist'!$D$2:$D$2000=$A34)*(TEXT('Daily Checklist'!$B$2:$B$2000,"yyyy-mm-dd")=TEXT(($B$4+10),"yyyy-mm-dd"))))))</f>
        <v/>
      </c>
      <c r="M34" s="25" t="str">
        <f aca="false">IF($A34="","",IF(SUMPRODUCT(('Daily Checklist'!$D$2:$D$2000=$A34)*(TEXT('Daily Checklist'!$B$2:$B$2000,"yyyy-mm-dd")=TEXT(($B$4+11),"yyyy-mm-dd")))=0,"-",IF(SUMPRODUCT(('Daily Checklist'!$D$2:$D$2000=$A34)*(TEXT('Daily Checklist'!$B$2:$B$2000,"yyyy-mm-dd")=TEXT(($B$4+11),"yyyy-mm-dd"))*('Daily Checklist'!$L$2:$L$2000="Y"))&gt;0,SUMPRODUCT(('Daily Checklist'!$D$2:$D$2000=$A34)*(TEXT('Daily Checklist'!$B$2:$B$2000,"yyyy-mm-dd")=TEXT(($B$4+11),"yyyy-mm-dd"))*('Daily Checklist'!$F$2:$F$2000="Done"))&amp;"/"&amp;SUMPRODUCT(('Daily Checklist'!$D$2:$D$2000=$A34)*(TEXT('Daily Checklist'!$B$2:$B$2000,"yyyy-mm-dd")=TEXT(($B$4+11),"yyyy-mm-dd")))&amp;" ESC",SUMPRODUCT(('Daily Checklist'!$D$2:$D$2000=$A34)*(TEXT('Daily Checklist'!$B$2:$B$2000,"yyyy-mm-dd")=TEXT(($B$4+11),"yyyy-mm-dd"))*('Daily Checklist'!$F$2:$F$2000="Done"))&amp;"/"&amp;SUMPRODUCT(('Daily Checklist'!$D$2:$D$2000=$A34)*(TEXT('Daily Checklist'!$B$2:$B$2000,"yyyy-mm-dd")=TEXT(($B$4+11),"yyyy-mm-dd"))))))</f>
        <v/>
      </c>
      <c r="N34" s="25" t="str">
        <f aca="false">IF($A34="","",IF(SUMPRODUCT(('Daily Checklist'!$D$2:$D$2000=$A34)*(TEXT('Daily Checklist'!$B$2:$B$2000,"yyyy-mm-dd")=TEXT(($B$4+12),"yyyy-mm-dd")))=0,"-",IF(SUMPRODUCT(('Daily Checklist'!$D$2:$D$2000=$A34)*(TEXT('Daily Checklist'!$B$2:$B$2000,"yyyy-mm-dd")=TEXT(($B$4+12),"yyyy-mm-dd"))*('Daily Checklist'!$L$2:$L$2000="Y"))&gt;0,SUMPRODUCT(('Daily Checklist'!$D$2:$D$2000=$A34)*(TEXT('Daily Checklist'!$B$2:$B$2000,"yyyy-mm-dd")=TEXT(($B$4+12),"yyyy-mm-dd"))*('Daily Checklist'!$F$2:$F$2000="Done"))&amp;"/"&amp;SUMPRODUCT(('Daily Checklist'!$D$2:$D$2000=$A34)*(TEXT('Daily Checklist'!$B$2:$B$2000,"yyyy-mm-dd")=TEXT(($B$4+12),"yyyy-mm-dd")))&amp;" ESC",SUMPRODUCT(('Daily Checklist'!$D$2:$D$2000=$A34)*(TEXT('Daily Checklist'!$B$2:$B$2000,"yyyy-mm-dd")=TEXT(($B$4+12),"yyyy-mm-dd"))*('Daily Checklist'!$F$2:$F$2000="Done"))&amp;"/"&amp;SUMPRODUCT(('Daily Checklist'!$D$2:$D$2000=$A34)*(TEXT('Daily Checklist'!$B$2:$B$2000,"yyyy-mm-dd")=TEXT(($B$4+12),"yyyy-mm-dd"))))))</f>
        <v/>
      </c>
      <c r="O34" s="25" t="str">
        <f aca="false">IF($A34="","",IF(SUMPRODUCT(('Daily Checklist'!$D$2:$D$2000=$A34)*(TEXT('Daily Checklist'!$B$2:$B$2000,"yyyy-mm-dd")=TEXT(($B$4+13),"yyyy-mm-dd")))=0,"-",IF(SUMPRODUCT(('Daily Checklist'!$D$2:$D$2000=$A34)*(TEXT('Daily Checklist'!$B$2:$B$2000,"yyyy-mm-dd")=TEXT(($B$4+13),"yyyy-mm-dd"))*('Daily Checklist'!$L$2:$L$2000="Y"))&gt;0,SUMPRODUCT(('Daily Checklist'!$D$2:$D$2000=$A34)*(TEXT('Daily Checklist'!$B$2:$B$2000,"yyyy-mm-dd")=TEXT(($B$4+13),"yyyy-mm-dd"))*('Daily Checklist'!$F$2:$F$2000="Done"))&amp;"/"&amp;SUMPRODUCT(('Daily Checklist'!$D$2:$D$2000=$A34)*(TEXT('Daily Checklist'!$B$2:$B$2000,"yyyy-mm-dd")=TEXT(($B$4+13),"yyyy-mm-dd")))&amp;" ESC",SUMPRODUCT(('Daily Checklist'!$D$2:$D$2000=$A34)*(TEXT('Daily Checklist'!$B$2:$B$2000,"yyyy-mm-dd")=TEXT(($B$4+13),"yyyy-mm-dd"))*('Daily Checklist'!$F$2:$F$2000="Done"))&amp;"/"&amp;SUMPRODUCT(('Daily Checklist'!$D$2:$D$2000=$A34)*(TEXT('Daily Checklist'!$B$2:$B$2000,"yyyy-mm-dd")=TEXT(($B$4+13),"yyyy-mm-dd"))))))</f>
        <v/>
      </c>
      <c r="P34" s="25" t="str">
        <f aca="false">IF($A34="","",IF(SUMPRODUCT(('Daily Checklist'!$D$2:$D$2000=$A34)*(TEXT('Daily Checklist'!$B$2:$B$2000,"yyyy-mm-dd")=TEXT(($B$4+14),"yyyy-mm-dd")))=0,"-",IF(SUMPRODUCT(('Daily Checklist'!$D$2:$D$2000=$A34)*(TEXT('Daily Checklist'!$B$2:$B$2000,"yyyy-mm-dd")=TEXT(($B$4+14),"yyyy-mm-dd"))*('Daily Checklist'!$L$2:$L$2000="Y"))&gt;0,SUMPRODUCT(('Daily Checklist'!$D$2:$D$2000=$A34)*(TEXT('Daily Checklist'!$B$2:$B$2000,"yyyy-mm-dd")=TEXT(($B$4+14),"yyyy-mm-dd"))*('Daily Checklist'!$F$2:$F$2000="Done"))&amp;"/"&amp;SUMPRODUCT(('Daily Checklist'!$D$2:$D$2000=$A34)*(TEXT('Daily Checklist'!$B$2:$B$2000,"yyyy-mm-dd")=TEXT(($B$4+14),"yyyy-mm-dd")))&amp;" ESC",SUMPRODUCT(('Daily Checklist'!$D$2:$D$2000=$A34)*(TEXT('Daily Checklist'!$B$2:$B$2000,"yyyy-mm-dd")=TEXT(($B$4+14),"yyyy-mm-dd"))*('Daily Checklist'!$F$2:$F$2000="Done"))&amp;"/"&amp;SUMPRODUCT(('Daily Checklist'!$D$2:$D$2000=$A34)*(TEXT('Daily Checklist'!$B$2:$B$2000,"yyyy-mm-dd")=TEXT(($B$4+14),"yyyy-mm-dd"))))))</f>
        <v/>
      </c>
      <c r="Q34" s="25" t="str">
        <f aca="false">IF($A34="","",IF(SUMPRODUCT(('Daily Checklist'!$D$2:$D$2000=$A34)*(TEXT('Daily Checklist'!$B$2:$B$2000,"yyyy-mm-dd")=TEXT(($B$4+15),"yyyy-mm-dd")))=0,"-",IF(SUMPRODUCT(('Daily Checklist'!$D$2:$D$2000=$A34)*(TEXT('Daily Checklist'!$B$2:$B$2000,"yyyy-mm-dd")=TEXT(($B$4+15),"yyyy-mm-dd"))*('Daily Checklist'!$L$2:$L$2000="Y"))&gt;0,SUMPRODUCT(('Daily Checklist'!$D$2:$D$2000=$A34)*(TEXT('Daily Checklist'!$B$2:$B$2000,"yyyy-mm-dd")=TEXT(($B$4+15),"yyyy-mm-dd"))*('Daily Checklist'!$F$2:$F$2000="Done"))&amp;"/"&amp;SUMPRODUCT(('Daily Checklist'!$D$2:$D$2000=$A34)*(TEXT('Daily Checklist'!$B$2:$B$2000,"yyyy-mm-dd")=TEXT(($B$4+15),"yyyy-mm-dd")))&amp;" ESC",SUMPRODUCT(('Daily Checklist'!$D$2:$D$2000=$A34)*(TEXT('Daily Checklist'!$B$2:$B$2000,"yyyy-mm-dd")=TEXT(($B$4+15),"yyyy-mm-dd"))*('Daily Checklist'!$F$2:$F$2000="Done"))&amp;"/"&amp;SUMPRODUCT(('Daily Checklist'!$D$2:$D$2000=$A34)*(TEXT('Daily Checklist'!$B$2:$B$2000,"yyyy-mm-dd")=TEXT(($B$4+15),"yyyy-mm-dd"))))))</f>
        <v/>
      </c>
      <c r="R34" s="25" t="str">
        <f aca="false">IF($A34="","",IF(SUMPRODUCT(('Daily Checklist'!$D$2:$D$2000=$A34)*(TEXT('Daily Checklist'!$B$2:$B$2000,"yyyy-mm-dd")=TEXT(($B$4+16),"yyyy-mm-dd")))=0,"-",IF(SUMPRODUCT(('Daily Checklist'!$D$2:$D$2000=$A34)*(TEXT('Daily Checklist'!$B$2:$B$2000,"yyyy-mm-dd")=TEXT(($B$4+16),"yyyy-mm-dd"))*('Daily Checklist'!$L$2:$L$2000="Y"))&gt;0,SUMPRODUCT(('Daily Checklist'!$D$2:$D$2000=$A34)*(TEXT('Daily Checklist'!$B$2:$B$2000,"yyyy-mm-dd")=TEXT(($B$4+16),"yyyy-mm-dd"))*('Daily Checklist'!$F$2:$F$2000="Done"))&amp;"/"&amp;SUMPRODUCT(('Daily Checklist'!$D$2:$D$2000=$A34)*(TEXT('Daily Checklist'!$B$2:$B$2000,"yyyy-mm-dd")=TEXT(($B$4+16),"yyyy-mm-dd")))&amp;" ESC",SUMPRODUCT(('Daily Checklist'!$D$2:$D$2000=$A34)*(TEXT('Daily Checklist'!$B$2:$B$2000,"yyyy-mm-dd")=TEXT(($B$4+16),"yyyy-mm-dd"))*('Daily Checklist'!$F$2:$F$2000="Done"))&amp;"/"&amp;SUMPRODUCT(('Daily Checklist'!$D$2:$D$2000=$A34)*(TEXT('Daily Checklist'!$B$2:$B$2000,"yyyy-mm-dd")=TEXT(($B$4+16),"yyyy-mm-dd"))))))</f>
        <v/>
      </c>
      <c r="S34" s="25" t="str">
        <f aca="false">IF($A34="","",IF(SUMPRODUCT(('Daily Checklist'!$D$2:$D$2000=$A34)*(TEXT('Daily Checklist'!$B$2:$B$2000,"yyyy-mm-dd")=TEXT(($B$4+17),"yyyy-mm-dd")))=0,"-",IF(SUMPRODUCT(('Daily Checklist'!$D$2:$D$2000=$A34)*(TEXT('Daily Checklist'!$B$2:$B$2000,"yyyy-mm-dd")=TEXT(($B$4+17),"yyyy-mm-dd"))*('Daily Checklist'!$L$2:$L$2000="Y"))&gt;0,SUMPRODUCT(('Daily Checklist'!$D$2:$D$2000=$A34)*(TEXT('Daily Checklist'!$B$2:$B$2000,"yyyy-mm-dd")=TEXT(($B$4+17),"yyyy-mm-dd"))*('Daily Checklist'!$F$2:$F$2000="Done"))&amp;"/"&amp;SUMPRODUCT(('Daily Checklist'!$D$2:$D$2000=$A34)*(TEXT('Daily Checklist'!$B$2:$B$2000,"yyyy-mm-dd")=TEXT(($B$4+17),"yyyy-mm-dd")))&amp;" ESC",SUMPRODUCT(('Daily Checklist'!$D$2:$D$2000=$A34)*(TEXT('Daily Checklist'!$B$2:$B$2000,"yyyy-mm-dd")=TEXT(($B$4+17),"yyyy-mm-dd"))*('Daily Checklist'!$F$2:$F$2000="Done"))&amp;"/"&amp;SUMPRODUCT(('Daily Checklist'!$D$2:$D$2000=$A34)*(TEXT('Daily Checklist'!$B$2:$B$2000,"yyyy-mm-dd")=TEXT(($B$4+17),"yyyy-mm-dd"))))))</f>
        <v/>
      </c>
      <c r="T34" s="25" t="str">
        <f aca="false">IF($A34="","",IF(SUMPRODUCT(('Daily Checklist'!$D$2:$D$2000=$A34)*(TEXT('Daily Checklist'!$B$2:$B$2000,"yyyy-mm-dd")=TEXT(($B$4+18),"yyyy-mm-dd")))=0,"-",IF(SUMPRODUCT(('Daily Checklist'!$D$2:$D$2000=$A34)*(TEXT('Daily Checklist'!$B$2:$B$2000,"yyyy-mm-dd")=TEXT(($B$4+18),"yyyy-mm-dd"))*('Daily Checklist'!$L$2:$L$2000="Y"))&gt;0,SUMPRODUCT(('Daily Checklist'!$D$2:$D$2000=$A34)*(TEXT('Daily Checklist'!$B$2:$B$2000,"yyyy-mm-dd")=TEXT(($B$4+18),"yyyy-mm-dd"))*('Daily Checklist'!$F$2:$F$2000="Done"))&amp;"/"&amp;SUMPRODUCT(('Daily Checklist'!$D$2:$D$2000=$A34)*(TEXT('Daily Checklist'!$B$2:$B$2000,"yyyy-mm-dd")=TEXT(($B$4+18),"yyyy-mm-dd")))&amp;" ESC",SUMPRODUCT(('Daily Checklist'!$D$2:$D$2000=$A34)*(TEXT('Daily Checklist'!$B$2:$B$2000,"yyyy-mm-dd")=TEXT(($B$4+18),"yyyy-mm-dd"))*('Daily Checklist'!$F$2:$F$2000="Done"))&amp;"/"&amp;SUMPRODUCT(('Daily Checklist'!$D$2:$D$2000=$A34)*(TEXT('Daily Checklist'!$B$2:$B$2000,"yyyy-mm-dd")=TEXT(($B$4+18),"yyyy-mm-dd"))))))</f>
        <v/>
      </c>
      <c r="U34" s="25" t="str">
        <f aca="false">IF($A34="","",IF(SUMPRODUCT(('Daily Checklist'!$D$2:$D$2000=$A34)*(TEXT('Daily Checklist'!$B$2:$B$2000,"yyyy-mm-dd")=TEXT(($B$4+19),"yyyy-mm-dd")))=0,"-",IF(SUMPRODUCT(('Daily Checklist'!$D$2:$D$2000=$A34)*(TEXT('Daily Checklist'!$B$2:$B$2000,"yyyy-mm-dd")=TEXT(($B$4+19),"yyyy-mm-dd"))*('Daily Checklist'!$L$2:$L$2000="Y"))&gt;0,SUMPRODUCT(('Daily Checklist'!$D$2:$D$2000=$A34)*(TEXT('Daily Checklist'!$B$2:$B$2000,"yyyy-mm-dd")=TEXT(($B$4+19),"yyyy-mm-dd"))*('Daily Checklist'!$F$2:$F$2000="Done"))&amp;"/"&amp;SUMPRODUCT(('Daily Checklist'!$D$2:$D$2000=$A34)*(TEXT('Daily Checklist'!$B$2:$B$2000,"yyyy-mm-dd")=TEXT(($B$4+19),"yyyy-mm-dd")))&amp;" ESC",SUMPRODUCT(('Daily Checklist'!$D$2:$D$2000=$A34)*(TEXT('Daily Checklist'!$B$2:$B$2000,"yyyy-mm-dd")=TEXT(($B$4+19),"yyyy-mm-dd"))*('Daily Checklist'!$F$2:$F$2000="Done"))&amp;"/"&amp;SUMPRODUCT(('Daily Checklist'!$D$2:$D$2000=$A34)*(TEXT('Daily Checklist'!$B$2:$B$2000,"yyyy-mm-dd")=TEXT(($B$4+19),"yyyy-mm-dd"))))))</f>
        <v/>
      </c>
      <c r="V34" s="25" t="str">
        <f aca="false">IF($A34="","",IF(SUMPRODUCT(('Daily Checklist'!$D$2:$D$2000=$A34)*(TEXT('Daily Checklist'!$B$2:$B$2000,"yyyy-mm-dd")=TEXT(($B$4+20),"yyyy-mm-dd")))=0,"-",IF(SUMPRODUCT(('Daily Checklist'!$D$2:$D$2000=$A34)*(TEXT('Daily Checklist'!$B$2:$B$2000,"yyyy-mm-dd")=TEXT(($B$4+20),"yyyy-mm-dd"))*('Daily Checklist'!$L$2:$L$2000="Y"))&gt;0,SUMPRODUCT(('Daily Checklist'!$D$2:$D$2000=$A34)*(TEXT('Daily Checklist'!$B$2:$B$2000,"yyyy-mm-dd")=TEXT(($B$4+20),"yyyy-mm-dd"))*('Daily Checklist'!$F$2:$F$2000="Done"))&amp;"/"&amp;SUMPRODUCT(('Daily Checklist'!$D$2:$D$2000=$A34)*(TEXT('Daily Checklist'!$B$2:$B$2000,"yyyy-mm-dd")=TEXT(($B$4+20),"yyyy-mm-dd")))&amp;" ESC",SUMPRODUCT(('Daily Checklist'!$D$2:$D$2000=$A34)*(TEXT('Daily Checklist'!$B$2:$B$2000,"yyyy-mm-dd")=TEXT(($B$4+20),"yyyy-mm-dd"))*('Daily Checklist'!$F$2:$F$2000="Done"))&amp;"/"&amp;SUMPRODUCT(('Daily Checklist'!$D$2:$D$2000=$A34)*(TEXT('Daily Checklist'!$B$2:$B$2000,"yyyy-mm-dd")=TEXT(($B$4+20),"yyyy-mm-dd"))))))</f>
        <v/>
      </c>
      <c r="W34" s="25" t="str">
        <f aca="false">IF($A34="","",IF(SUMPRODUCT(('Daily Checklist'!$D$2:$D$2000=$A34)*(TEXT('Daily Checklist'!$B$2:$B$2000,"yyyy-mm-dd")=TEXT(($B$4+21),"yyyy-mm-dd")))=0,"-",IF(SUMPRODUCT(('Daily Checklist'!$D$2:$D$2000=$A34)*(TEXT('Daily Checklist'!$B$2:$B$2000,"yyyy-mm-dd")=TEXT(($B$4+21),"yyyy-mm-dd"))*('Daily Checklist'!$L$2:$L$2000="Y"))&gt;0,SUMPRODUCT(('Daily Checklist'!$D$2:$D$2000=$A34)*(TEXT('Daily Checklist'!$B$2:$B$2000,"yyyy-mm-dd")=TEXT(($B$4+21),"yyyy-mm-dd"))*('Daily Checklist'!$F$2:$F$2000="Done"))&amp;"/"&amp;SUMPRODUCT(('Daily Checklist'!$D$2:$D$2000=$A34)*(TEXT('Daily Checklist'!$B$2:$B$2000,"yyyy-mm-dd")=TEXT(($B$4+21),"yyyy-mm-dd")))&amp;" ESC",SUMPRODUCT(('Daily Checklist'!$D$2:$D$2000=$A34)*(TEXT('Daily Checklist'!$B$2:$B$2000,"yyyy-mm-dd")=TEXT(($B$4+21),"yyyy-mm-dd"))*('Daily Checklist'!$F$2:$F$2000="Done"))&amp;"/"&amp;SUMPRODUCT(('Daily Checklist'!$D$2:$D$2000=$A34)*(TEXT('Daily Checklist'!$B$2:$B$2000,"yyyy-mm-dd")=TEXT(($B$4+21),"yyyy-mm-dd"))))))</f>
        <v/>
      </c>
      <c r="X34" s="25" t="str">
        <f aca="false">IF($A34="","",IF(SUMPRODUCT(('Daily Checklist'!$D$2:$D$2000=$A34)*(TEXT('Daily Checklist'!$B$2:$B$2000,"yyyy-mm-dd")=TEXT(($B$4+22),"yyyy-mm-dd")))=0,"-",IF(SUMPRODUCT(('Daily Checklist'!$D$2:$D$2000=$A34)*(TEXT('Daily Checklist'!$B$2:$B$2000,"yyyy-mm-dd")=TEXT(($B$4+22),"yyyy-mm-dd"))*('Daily Checklist'!$L$2:$L$2000="Y"))&gt;0,SUMPRODUCT(('Daily Checklist'!$D$2:$D$2000=$A34)*(TEXT('Daily Checklist'!$B$2:$B$2000,"yyyy-mm-dd")=TEXT(($B$4+22),"yyyy-mm-dd"))*('Daily Checklist'!$F$2:$F$2000="Done"))&amp;"/"&amp;SUMPRODUCT(('Daily Checklist'!$D$2:$D$2000=$A34)*(TEXT('Daily Checklist'!$B$2:$B$2000,"yyyy-mm-dd")=TEXT(($B$4+22),"yyyy-mm-dd")))&amp;" ESC",SUMPRODUCT(('Daily Checklist'!$D$2:$D$2000=$A34)*(TEXT('Daily Checklist'!$B$2:$B$2000,"yyyy-mm-dd")=TEXT(($B$4+22),"yyyy-mm-dd"))*('Daily Checklist'!$F$2:$F$2000="Done"))&amp;"/"&amp;SUMPRODUCT(('Daily Checklist'!$D$2:$D$2000=$A34)*(TEXT('Daily Checklist'!$B$2:$B$2000,"yyyy-mm-dd")=TEXT(($B$4+22),"yyyy-mm-dd"))))))</f>
        <v/>
      </c>
      <c r="Y34" s="25" t="str">
        <f aca="false">IF($A34="","",IF(SUMPRODUCT(('Daily Checklist'!$D$2:$D$2000=$A34)*(TEXT('Daily Checklist'!$B$2:$B$2000,"yyyy-mm-dd")=TEXT(($B$4+23),"yyyy-mm-dd")))=0,"-",IF(SUMPRODUCT(('Daily Checklist'!$D$2:$D$2000=$A34)*(TEXT('Daily Checklist'!$B$2:$B$2000,"yyyy-mm-dd")=TEXT(($B$4+23),"yyyy-mm-dd"))*('Daily Checklist'!$L$2:$L$2000="Y"))&gt;0,SUMPRODUCT(('Daily Checklist'!$D$2:$D$2000=$A34)*(TEXT('Daily Checklist'!$B$2:$B$2000,"yyyy-mm-dd")=TEXT(($B$4+23),"yyyy-mm-dd"))*('Daily Checklist'!$F$2:$F$2000="Done"))&amp;"/"&amp;SUMPRODUCT(('Daily Checklist'!$D$2:$D$2000=$A34)*(TEXT('Daily Checklist'!$B$2:$B$2000,"yyyy-mm-dd")=TEXT(($B$4+23),"yyyy-mm-dd")))&amp;" ESC",SUMPRODUCT(('Daily Checklist'!$D$2:$D$2000=$A34)*(TEXT('Daily Checklist'!$B$2:$B$2000,"yyyy-mm-dd")=TEXT(($B$4+23),"yyyy-mm-dd"))*('Daily Checklist'!$F$2:$F$2000="Done"))&amp;"/"&amp;SUMPRODUCT(('Daily Checklist'!$D$2:$D$2000=$A34)*(TEXT('Daily Checklist'!$B$2:$B$2000,"yyyy-mm-dd")=TEXT(($B$4+23),"yyyy-mm-dd"))))))</f>
        <v/>
      </c>
      <c r="Z34" s="25" t="str">
        <f aca="false">IF($A34="","",IF(SUMPRODUCT(('Daily Checklist'!$D$2:$D$2000=$A34)*(TEXT('Daily Checklist'!$B$2:$B$2000,"yyyy-mm-dd")=TEXT(($B$4+24),"yyyy-mm-dd")))=0,"-",IF(SUMPRODUCT(('Daily Checklist'!$D$2:$D$2000=$A34)*(TEXT('Daily Checklist'!$B$2:$B$2000,"yyyy-mm-dd")=TEXT(($B$4+24),"yyyy-mm-dd"))*('Daily Checklist'!$L$2:$L$2000="Y"))&gt;0,SUMPRODUCT(('Daily Checklist'!$D$2:$D$2000=$A34)*(TEXT('Daily Checklist'!$B$2:$B$2000,"yyyy-mm-dd")=TEXT(($B$4+24),"yyyy-mm-dd"))*('Daily Checklist'!$F$2:$F$2000="Done"))&amp;"/"&amp;SUMPRODUCT(('Daily Checklist'!$D$2:$D$2000=$A34)*(TEXT('Daily Checklist'!$B$2:$B$2000,"yyyy-mm-dd")=TEXT(($B$4+24),"yyyy-mm-dd")))&amp;" ESC",SUMPRODUCT(('Daily Checklist'!$D$2:$D$2000=$A34)*(TEXT('Daily Checklist'!$B$2:$B$2000,"yyyy-mm-dd")=TEXT(($B$4+24),"yyyy-mm-dd"))*('Daily Checklist'!$F$2:$F$2000="Done"))&amp;"/"&amp;SUMPRODUCT(('Daily Checklist'!$D$2:$D$2000=$A34)*(TEXT('Daily Checklist'!$B$2:$B$2000,"yyyy-mm-dd")=TEXT(($B$4+24),"yyyy-mm-dd"))))))</f>
        <v/>
      </c>
      <c r="AA34" s="25" t="str">
        <f aca="false">IF($A34="","",IF(SUMPRODUCT(('Daily Checklist'!$D$2:$D$2000=$A34)*(TEXT('Daily Checklist'!$B$2:$B$2000,"yyyy-mm-dd")=TEXT(($B$4+25),"yyyy-mm-dd")))=0,"-",IF(SUMPRODUCT(('Daily Checklist'!$D$2:$D$2000=$A34)*(TEXT('Daily Checklist'!$B$2:$B$2000,"yyyy-mm-dd")=TEXT(($B$4+25),"yyyy-mm-dd"))*('Daily Checklist'!$L$2:$L$2000="Y"))&gt;0,SUMPRODUCT(('Daily Checklist'!$D$2:$D$2000=$A34)*(TEXT('Daily Checklist'!$B$2:$B$2000,"yyyy-mm-dd")=TEXT(($B$4+25),"yyyy-mm-dd"))*('Daily Checklist'!$F$2:$F$2000="Done"))&amp;"/"&amp;SUMPRODUCT(('Daily Checklist'!$D$2:$D$2000=$A34)*(TEXT('Daily Checklist'!$B$2:$B$2000,"yyyy-mm-dd")=TEXT(($B$4+25),"yyyy-mm-dd")))&amp;" ESC",SUMPRODUCT(('Daily Checklist'!$D$2:$D$2000=$A34)*(TEXT('Daily Checklist'!$B$2:$B$2000,"yyyy-mm-dd")=TEXT(($B$4+25),"yyyy-mm-dd"))*('Daily Checklist'!$F$2:$F$2000="Done"))&amp;"/"&amp;SUMPRODUCT(('Daily Checklist'!$D$2:$D$2000=$A34)*(TEXT('Daily Checklist'!$B$2:$B$2000,"yyyy-mm-dd")=TEXT(($B$4+25),"yyyy-mm-dd"))))))</f>
        <v/>
      </c>
      <c r="AB34" s="25" t="str">
        <f aca="false">IF($A34="","",IF(SUMPRODUCT(('Daily Checklist'!$D$2:$D$2000=$A34)*(TEXT('Daily Checklist'!$B$2:$B$2000,"yyyy-mm-dd")=TEXT(($B$4+26),"yyyy-mm-dd")))=0,"-",IF(SUMPRODUCT(('Daily Checklist'!$D$2:$D$2000=$A34)*(TEXT('Daily Checklist'!$B$2:$B$2000,"yyyy-mm-dd")=TEXT(($B$4+26),"yyyy-mm-dd"))*('Daily Checklist'!$L$2:$L$2000="Y"))&gt;0,SUMPRODUCT(('Daily Checklist'!$D$2:$D$2000=$A34)*(TEXT('Daily Checklist'!$B$2:$B$2000,"yyyy-mm-dd")=TEXT(($B$4+26),"yyyy-mm-dd"))*('Daily Checklist'!$F$2:$F$2000="Done"))&amp;"/"&amp;SUMPRODUCT(('Daily Checklist'!$D$2:$D$2000=$A34)*(TEXT('Daily Checklist'!$B$2:$B$2000,"yyyy-mm-dd")=TEXT(($B$4+26),"yyyy-mm-dd")))&amp;" ESC",SUMPRODUCT(('Daily Checklist'!$D$2:$D$2000=$A34)*(TEXT('Daily Checklist'!$B$2:$B$2000,"yyyy-mm-dd")=TEXT(($B$4+26),"yyyy-mm-dd"))*('Daily Checklist'!$F$2:$F$2000="Done"))&amp;"/"&amp;SUMPRODUCT(('Daily Checklist'!$D$2:$D$2000=$A34)*(TEXT('Daily Checklist'!$B$2:$B$2000,"yyyy-mm-dd")=TEXT(($B$4+26),"yyyy-mm-dd"))))))</f>
        <v/>
      </c>
      <c r="AC34" s="25" t="str">
        <f aca="false">IF($A34="","",IF(SUMPRODUCT(('Daily Checklist'!$D$2:$D$2000=$A34)*(TEXT('Daily Checklist'!$B$2:$B$2000,"yyyy-mm-dd")=TEXT(($B$4+27),"yyyy-mm-dd")))=0,"-",IF(SUMPRODUCT(('Daily Checklist'!$D$2:$D$2000=$A34)*(TEXT('Daily Checklist'!$B$2:$B$2000,"yyyy-mm-dd")=TEXT(($B$4+27),"yyyy-mm-dd"))*('Daily Checklist'!$L$2:$L$2000="Y"))&gt;0,SUMPRODUCT(('Daily Checklist'!$D$2:$D$2000=$A34)*(TEXT('Daily Checklist'!$B$2:$B$2000,"yyyy-mm-dd")=TEXT(($B$4+27),"yyyy-mm-dd"))*('Daily Checklist'!$F$2:$F$2000="Done"))&amp;"/"&amp;SUMPRODUCT(('Daily Checklist'!$D$2:$D$2000=$A34)*(TEXT('Daily Checklist'!$B$2:$B$2000,"yyyy-mm-dd")=TEXT(($B$4+27),"yyyy-mm-dd")))&amp;" ESC",SUMPRODUCT(('Daily Checklist'!$D$2:$D$2000=$A34)*(TEXT('Daily Checklist'!$B$2:$B$2000,"yyyy-mm-dd")=TEXT(($B$4+27),"yyyy-mm-dd"))*('Daily Checklist'!$F$2:$F$2000="Done"))&amp;"/"&amp;SUMPRODUCT(('Daily Checklist'!$D$2:$D$2000=$A34)*(TEXT('Daily Checklist'!$B$2:$B$2000,"yyyy-mm-dd")=TEXT(($B$4+27),"yyyy-mm-dd"))))))</f>
        <v/>
      </c>
      <c r="AD34" s="25" t="str">
        <f aca="false">IF($A34="","",IF(SUMPRODUCT(('Daily Checklist'!$D$2:$D$2000=$A34)*(TEXT('Daily Checklist'!$B$2:$B$2000,"yyyy-mm-dd")=TEXT(($B$4+28),"yyyy-mm-dd")))=0,"-",IF(SUMPRODUCT(('Daily Checklist'!$D$2:$D$2000=$A34)*(TEXT('Daily Checklist'!$B$2:$B$2000,"yyyy-mm-dd")=TEXT(($B$4+28),"yyyy-mm-dd"))*('Daily Checklist'!$L$2:$L$2000="Y"))&gt;0,SUMPRODUCT(('Daily Checklist'!$D$2:$D$2000=$A34)*(TEXT('Daily Checklist'!$B$2:$B$2000,"yyyy-mm-dd")=TEXT(($B$4+28),"yyyy-mm-dd"))*('Daily Checklist'!$F$2:$F$2000="Done"))&amp;"/"&amp;SUMPRODUCT(('Daily Checklist'!$D$2:$D$2000=$A34)*(TEXT('Daily Checklist'!$B$2:$B$2000,"yyyy-mm-dd")=TEXT(($B$4+28),"yyyy-mm-dd")))&amp;" ESC",SUMPRODUCT(('Daily Checklist'!$D$2:$D$2000=$A34)*(TEXT('Daily Checklist'!$B$2:$B$2000,"yyyy-mm-dd")=TEXT(($B$4+28),"yyyy-mm-dd"))*('Daily Checklist'!$F$2:$F$2000="Done"))&amp;"/"&amp;SUMPRODUCT(('Daily Checklist'!$D$2:$D$2000=$A34)*(TEXT('Daily Checklist'!$B$2:$B$2000,"yyyy-mm-dd")=TEXT(($B$4+28),"yyyy-mm-dd"))))))</f>
        <v/>
      </c>
      <c r="AE34" s="25" t="str">
        <f aca="false">IF($A34="","",IF(SUMPRODUCT(('Daily Checklist'!$D$2:$D$2000=$A34)*(TEXT('Daily Checklist'!$B$2:$B$2000,"yyyy-mm-dd")=TEXT(($B$4+29),"yyyy-mm-dd")))=0,"-",IF(SUMPRODUCT(('Daily Checklist'!$D$2:$D$2000=$A34)*(TEXT('Daily Checklist'!$B$2:$B$2000,"yyyy-mm-dd")=TEXT(($B$4+29),"yyyy-mm-dd"))*('Daily Checklist'!$L$2:$L$2000="Y"))&gt;0,SUMPRODUCT(('Daily Checklist'!$D$2:$D$2000=$A34)*(TEXT('Daily Checklist'!$B$2:$B$2000,"yyyy-mm-dd")=TEXT(($B$4+29),"yyyy-mm-dd"))*('Daily Checklist'!$F$2:$F$2000="Done"))&amp;"/"&amp;SUMPRODUCT(('Daily Checklist'!$D$2:$D$2000=$A34)*(TEXT('Daily Checklist'!$B$2:$B$2000,"yyyy-mm-dd")=TEXT(($B$4+29),"yyyy-mm-dd")))&amp;" ESC",SUMPRODUCT(('Daily Checklist'!$D$2:$D$2000=$A34)*(TEXT('Daily Checklist'!$B$2:$B$2000,"yyyy-mm-dd")=TEXT(($B$4+29),"yyyy-mm-dd"))*('Daily Checklist'!$F$2:$F$2000="Done"))&amp;"/"&amp;SUMPRODUCT(('Daily Checklist'!$D$2:$D$2000=$A34)*(TEXT('Daily Checklist'!$B$2:$B$2000,"yyyy-mm-dd")=TEXT(($B$4+29),"yyyy-mm-dd"))))))</f>
        <v/>
      </c>
      <c r="AF34" s="25" t="str">
        <f aca="false">IF($A34="","",IF(SUMPRODUCT(('Daily Checklist'!$D$2:$D$2000=$A34)*(TEXT('Daily Checklist'!$B$2:$B$2000,"yyyy-mm-dd")=TEXT(($B$4+30),"yyyy-mm-dd")))=0,"-",IF(SUMPRODUCT(('Daily Checklist'!$D$2:$D$2000=$A34)*(TEXT('Daily Checklist'!$B$2:$B$2000,"yyyy-mm-dd")=TEXT(($B$4+30),"yyyy-mm-dd"))*('Daily Checklist'!$L$2:$L$2000="Y"))&gt;0,SUMPRODUCT(('Daily Checklist'!$D$2:$D$2000=$A34)*(TEXT('Daily Checklist'!$B$2:$B$2000,"yyyy-mm-dd")=TEXT(($B$4+30),"yyyy-mm-dd"))*('Daily Checklist'!$F$2:$F$2000="Done"))&amp;"/"&amp;SUMPRODUCT(('Daily Checklist'!$D$2:$D$2000=$A34)*(TEXT('Daily Checklist'!$B$2:$B$2000,"yyyy-mm-dd")=TEXT(($B$4+30),"yyyy-mm-dd")))&amp;" ESC",SUMPRODUCT(('Daily Checklist'!$D$2:$D$2000=$A34)*(TEXT('Daily Checklist'!$B$2:$B$2000,"yyyy-mm-dd")=TEXT(($B$4+30),"yyyy-mm-dd"))*('Daily Checklist'!$F$2:$F$2000="Done"))&amp;"/"&amp;SUMPRODUCT(('Daily Checklist'!$D$2:$D$2000=$A34)*(TEXT('Daily Checklist'!$B$2:$B$2000,"yyyy-mm-dd")=TEXT(($B$4+30),"yyyy-mm-dd"))))))</f>
        <v/>
      </c>
    </row>
    <row r="35" customFormat="false" ht="15" hidden="false" customHeight="true" outlineLevel="0" collapsed="false">
      <c r="A35" s="24" t="str">
        <f aca="false">IFERROR(IF(Employees!A30="","",Employees!A30),"")</f>
        <v/>
      </c>
      <c r="B35" s="25" t="str">
        <f aca="false">IF($A35="","",IF(SUMPRODUCT(('Daily Checklist'!$D$2:$D$2000=$A35)*(TEXT('Daily Checklist'!$B$2:$B$2000,"yyyy-mm-dd")=TEXT(($B$4+0),"yyyy-mm-dd")))=0,"-",IF(SUMPRODUCT(('Daily Checklist'!$D$2:$D$2000=$A35)*(TEXT('Daily Checklist'!$B$2:$B$2000,"yyyy-mm-dd")=TEXT(($B$4+0),"yyyy-mm-dd"))*('Daily Checklist'!$L$2:$L$2000="Y"))&gt;0,SUMPRODUCT(('Daily Checklist'!$D$2:$D$2000=$A35)*(TEXT('Daily Checklist'!$B$2:$B$2000,"yyyy-mm-dd")=TEXT(($B$4+0),"yyyy-mm-dd"))*('Daily Checklist'!$F$2:$F$2000="Done"))&amp;"/"&amp;SUMPRODUCT(('Daily Checklist'!$D$2:$D$2000=$A35)*(TEXT('Daily Checklist'!$B$2:$B$2000,"yyyy-mm-dd")=TEXT(($B$4+0),"yyyy-mm-dd")))&amp;" ESC",SUMPRODUCT(('Daily Checklist'!$D$2:$D$2000=$A35)*(TEXT('Daily Checklist'!$B$2:$B$2000,"yyyy-mm-dd")=TEXT(($B$4+0),"yyyy-mm-dd"))*('Daily Checklist'!$F$2:$F$2000="Done"))&amp;"/"&amp;SUMPRODUCT(('Daily Checklist'!$D$2:$D$2000=$A35)*(TEXT('Daily Checklist'!$B$2:$B$2000,"yyyy-mm-dd")=TEXT(($B$4+0),"yyyy-mm-dd"))))))</f>
        <v/>
      </c>
      <c r="C35" s="25" t="str">
        <f aca="false">IF($A35="","",IF(SUMPRODUCT(('Daily Checklist'!$D$2:$D$2000=$A35)*(TEXT('Daily Checklist'!$B$2:$B$2000,"yyyy-mm-dd")=TEXT(($B$4+1),"yyyy-mm-dd")))=0,"-",IF(SUMPRODUCT(('Daily Checklist'!$D$2:$D$2000=$A35)*(TEXT('Daily Checklist'!$B$2:$B$2000,"yyyy-mm-dd")=TEXT(($B$4+1),"yyyy-mm-dd"))*('Daily Checklist'!$L$2:$L$2000="Y"))&gt;0,SUMPRODUCT(('Daily Checklist'!$D$2:$D$2000=$A35)*(TEXT('Daily Checklist'!$B$2:$B$2000,"yyyy-mm-dd")=TEXT(($B$4+1),"yyyy-mm-dd"))*('Daily Checklist'!$F$2:$F$2000="Done"))&amp;"/"&amp;SUMPRODUCT(('Daily Checklist'!$D$2:$D$2000=$A35)*(TEXT('Daily Checklist'!$B$2:$B$2000,"yyyy-mm-dd")=TEXT(($B$4+1),"yyyy-mm-dd")))&amp;" ESC",SUMPRODUCT(('Daily Checklist'!$D$2:$D$2000=$A35)*(TEXT('Daily Checklist'!$B$2:$B$2000,"yyyy-mm-dd")=TEXT(($B$4+1),"yyyy-mm-dd"))*('Daily Checklist'!$F$2:$F$2000="Done"))&amp;"/"&amp;SUMPRODUCT(('Daily Checklist'!$D$2:$D$2000=$A35)*(TEXT('Daily Checklist'!$B$2:$B$2000,"yyyy-mm-dd")=TEXT(($B$4+1),"yyyy-mm-dd"))))))</f>
        <v/>
      </c>
      <c r="D35" s="25" t="str">
        <f aca="false">IF($A35="","",IF(SUMPRODUCT(('Daily Checklist'!$D$2:$D$2000=$A35)*(TEXT('Daily Checklist'!$B$2:$B$2000,"yyyy-mm-dd")=TEXT(($B$4+2),"yyyy-mm-dd")))=0,"-",IF(SUMPRODUCT(('Daily Checklist'!$D$2:$D$2000=$A35)*(TEXT('Daily Checklist'!$B$2:$B$2000,"yyyy-mm-dd")=TEXT(($B$4+2),"yyyy-mm-dd"))*('Daily Checklist'!$L$2:$L$2000="Y"))&gt;0,SUMPRODUCT(('Daily Checklist'!$D$2:$D$2000=$A35)*(TEXT('Daily Checklist'!$B$2:$B$2000,"yyyy-mm-dd")=TEXT(($B$4+2),"yyyy-mm-dd"))*('Daily Checklist'!$F$2:$F$2000="Done"))&amp;"/"&amp;SUMPRODUCT(('Daily Checklist'!$D$2:$D$2000=$A35)*(TEXT('Daily Checklist'!$B$2:$B$2000,"yyyy-mm-dd")=TEXT(($B$4+2),"yyyy-mm-dd")))&amp;" ESC",SUMPRODUCT(('Daily Checklist'!$D$2:$D$2000=$A35)*(TEXT('Daily Checklist'!$B$2:$B$2000,"yyyy-mm-dd")=TEXT(($B$4+2),"yyyy-mm-dd"))*('Daily Checklist'!$F$2:$F$2000="Done"))&amp;"/"&amp;SUMPRODUCT(('Daily Checklist'!$D$2:$D$2000=$A35)*(TEXT('Daily Checklist'!$B$2:$B$2000,"yyyy-mm-dd")=TEXT(($B$4+2),"yyyy-mm-dd"))))))</f>
        <v/>
      </c>
      <c r="E35" s="25" t="str">
        <f aca="false">IF($A35="","",IF(SUMPRODUCT(('Daily Checklist'!$D$2:$D$2000=$A35)*(TEXT('Daily Checklist'!$B$2:$B$2000,"yyyy-mm-dd")=TEXT(($B$4+3),"yyyy-mm-dd")))=0,"-",IF(SUMPRODUCT(('Daily Checklist'!$D$2:$D$2000=$A35)*(TEXT('Daily Checklist'!$B$2:$B$2000,"yyyy-mm-dd")=TEXT(($B$4+3),"yyyy-mm-dd"))*('Daily Checklist'!$L$2:$L$2000="Y"))&gt;0,SUMPRODUCT(('Daily Checklist'!$D$2:$D$2000=$A35)*(TEXT('Daily Checklist'!$B$2:$B$2000,"yyyy-mm-dd")=TEXT(($B$4+3),"yyyy-mm-dd"))*('Daily Checklist'!$F$2:$F$2000="Done"))&amp;"/"&amp;SUMPRODUCT(('Daily Checklist'!$D$2:$D$2000=$A35)*(TEXT('Daily Checklist'!$B$2:$B$2000,"yyyy-mm-dd")=TEXT(($B$4+3),"yyyy-mm-dd")))&amp;" ESC",SUMPRODUCT(('Daily Checklist'!$D$2:$D$2000=$A35)*(TEXT('Daily Checklist'!$B$2:$B$2000,"yyyy-mm-dd")=TEXT(($B$4+3),"yyyy-mm-dd"))*('Daily Checklist'!$F$2:$F$2000="Done"))&amp;"/"&amp;SUMPRODUCT(('Daily Checklist'!$D$2:$D$2000=$A35)*(TEXT('Daily Checklist'!$B$2:$B$2000,"yyyy-mm-dd")=TEXT(($B$4+3),"yyyy-mm-dd"))))))</f>
        <v/>
      </c>
      <c r="F35" s="25" t="str">
        <f aca="false">IF($A35="","",IF(SUMPRODUCT(('Daily Checklist'!$D$2:$D$2000=$A35)*(TEXT('Daily Checklist'!$B$2:$B$2000,"yyyy-mm-dd")=TEXT(($B$4+4),"yyyy-mm-dd")))=0,"-",IF(SUMPRODUCT(('Daily Checklist'!$D$2:$D$2000=$A35)*(TEXT('Daily Checklist'!$B$2:$B$2000,"yyyy-mm-dd")=TEXT(($B$4+4),"yyyy-mm-dd"))*('Daily Checklist'!$L$2:$L$2000="Y"))&gt;0,SUMPRODUCT(('Daily Checklist'!$D$2:$D$2000=$A35)*(TEXT('Daily Checklist'!$B$2:$B$2000,"yyyy-mm-dd")=TEXT(($B$4+4),"yyyy-mm-dd"))*('Daily Checklist'!$F$2:$F$2000="Done"))&amp;"/"&amp;SUMPRODUCT(('Daily Checklist'!$D$2:$D$2000=$A35)*(TEXT('Daily Checklist'!$B$2:$B$2000,"yyyy-mm-dd")=TEXT(($B$4+4),"yyyy-mm-dd")))&amp;" ESC",SUMPRODUCT(('Daily Checklist'!$D$2:$D$2000=$A35)*(TEXT('Daily Checklist'!$B$2:$B$2000,"yyyy-mm-dd")=TEXT(($B$4+4),"yyyy-mm-dd"))*('Daily Checklist'!$F$2:$F$2000="Done"))&amp;"/"&amp;SUMPRODUCT(('Daily Checklist'!$D$2:$D$2000=$A35)*(TEXT('Daily Checklist'!$B$2:$B$2000,"yyyy-mm-dd")=TEXT(($B$4+4),"yyyy-mm-dd"))))))</f>
        <v/>
      </c>
      <c r="G35" s="25" t="str">
        <f aca="false">IF($A35="","",IF(SUMPRODUCT(('Daily Checklist'!$D$2:$D$2000=$A35)*(TEXT('Daily Checklist'!$B$2:$B$2000,"yyyy-mm-dd")=TEXT(($B$4+5),"yyyy-mm-dd")))=0,"-",IF(SUMPRODUCT(('Daily Checklist'!$D$2:$D$2000=$A35)*(TEXT('Daily Checklist'!$B$2:$B$2000,"yyyy-mm-dd")=TEXT(($B$4+5),"yyyy-mm-dd"))*('Daily Checklist'!$L$2:$L$2000="Y"))&gt;0,SUMPRODUCT(('Daily Checklist'!$D$2:$D$2000=$A35)*(TEXT('Daily Checklist'!$B$2:$B$2000,"yyyy-mm-dd")=TEXT(($B$4+5),"yyyy-mm-dd"))*('Daily Checklist'!$F$2:$F$2000="Done"))&amp;"/"&amp;SUMPRODUCT(('Daily Checklist'!$D$2:$D$2000=$A35)*(TEXT('Daily Checklist'!$B$2:$B$2000,"yyyy-mm-dd")=TEXT(($B$4+5),"yyyy-mm-dd")))&amp;" ESC",SUMPRODUCT(('Daily Checklist'!$D$2:$D$2000=$A35)*(TEXT('Daily Checklist'!$B$2:$B$2000,"yyyy-mm-dd")=TEXT(($B$4+5),"yyyy-mm-dd"))*('Daily Checklist'!$F$2:$F$2000="Done"))&amp;"/"&amp;SUMPRODUCT(('Daily Checklist'!$D$2:$D$2000=$A35)*(TEXT('Daily Checklist'!$B$2:$B$2000,"yyyy-mm-dd")=TEXT(($B$4+5),"yyyy-mm-dd"))))))</f>
        <v/>
      </c>
      <c r="H35" s="25" t="str">
        <f aca="false">IF($A35="","",IF(SUMPRODUCT(('Daily Checklist'!$D$2:$D$2000=$A35)*(TEXT('Daily Checklist'!$B$2:$B$2000,"yyyy-mm-dd")=TEXT(($B$4+6),"yyyy-mm-dd")))=0,"-",IF(SUMPRODUCT(('Daily Checklist'!$D$2:$D$2000=$A35)*(TEXT('Daily Checklist'!$B$2:$B$2000,"yyyy-mm-dd")=TEXT(($B$4+6),"yyyy-mm-dd"))*('Daily Checklist'!$L$2:$L$2000="Y"))&gt;0,SUMPRODUCT(('Daily Checklist'!$D$2:$D$2000=$A35)*(TEXT('Daily Checklist'!$B$2:$B$2000,"yyyy-mm-dd")=TEXT(($B$4+6),"yyyy-mm-dd"))*('Daily Checklist'!$F$2:$F$2000="Done"))&amp;"/"&amp;SUMPRODUCT(('Daily Checklist'!$D$2:$D$2000=$A35)*(TEXT('Daily Checklist'!$B$2:$B$2000,"yyyy-mm-dd")=TEXT(($B$4+6),"yyyy-mm-dd")))&amp;" ESC",SUMPRODUCT(('Daily Checklist'!$D$2:$D$2000=$A35)*(TEXT('Daily Checklist'!$B$2:$B$2000,"yyyy-mm-dd")=TEXT(($B$4+6),"yyyy-mm-dd"))*('Daily Checklist'!$F$2:$F$2000="Done"))&amp;"/"&amp;SUMPRODUCT(('Daily Checklist'!$D$2:$D$2000=$A35)*(TEXT('Daily Checklist'!$B$2:$B$2000,"yyyy-mm-dd")=TEXT(($B$4+6),"yyyy-mm-dd"))))))</f>
        <v/>
      </c>
      <c r="I35" s="25" t="str">
        <f aca="false">IF($A35="","",IF(SUMPRODUCT(('Daily Checklist'!$D$2:$D$2000=$A35)*(TEXT('Daily Checklist'!$B$2:$B$2000,"yyyy-mm-dd")=TEXT(($B$4+7),"yyyy-mm-dd")))=0,"-",IF(SUMPRODUCT(('Daily Checklist'!$D$2:$D$2000=$A35)*(TEXT('Daily Checklist'!$B$2:$B$2000,"yyyy-mm-dd")=TEXT(($B$4+7),"yyyy-mm-dd"))*('Daily Checklist'!$L$2:$L$2000="Y"))&gt;0,SUMPRODUCT(('Daily Checklist'!$D$2:$D$2000=$A35)*(TEXT('Daily Checklist'!$B$2:$B$2000,"yyyy-mm-dd")=TEXT(($B$4+7),"yyyy-mm-dd"))*('Daily Checklist'!$F$2:$F$2000="Done"))&amp;"/"&amp;SUMPRODUCT(('Daily Checklist'!$D$2:$D$2000=$A35)*(TEXT('Daily Checklist'!$B$2:$B$2000,"yyyy-mm-dd")=TEXT(($B$4+7),"yyyy-mm-dd")))&amp;" ESC",SUMPRODUCT(('Daily Checklist'!$D$2:$D$2000=$A35)*(TEXT('Daily Checklist'!$B$2:$B$2000,"yyyy-mm-dd")=TEXT(($B$4+7),"yyyy-mm-dd"))*('Daily Checklist'!$F$2:$F$2000="Done"))&amp;"/"&amp;SUMPRODUCT(('Daily Checklist'!$D$2:$D$2000=$A35)*(TEXT('Daily Checklist'!$B$2:$B$2000,"yyyy-mm-dd")=TEXT(($B$4+7),"yyyy-mm-dd"))))))</f>
        <v/>
      </c>
      <c r="J35" s="25" t="str">
        <f aca="false">IF($A35="","",IF(SUMPRODUCT(('Daily Checklist'!$D$2:$D$2000=$A35)*(TEXT('Daily Checklist'!$B$2:$B$2000,"yyyy-mm-dd")=TEXT(($B$4+8),"yyyy-mm-dd")))=0,"-",IF(SUMPRODUCT(('Daily Checklist'!$D$2:$D$2000=$A35)*(TEXT('Daily Checklist'!$B$2:$B$2000,"yyyy-mm-dd")=TEXT(($B$4+8),"yyyy-mm-dd"))*('Daily Checklist'!$L$2:$L$2000="Y"))&gt;0,SUMPRODUCT(('Daily Checklist'!$D$2:$D$2000=$A35)*(TEXT('Daily Checklist'!$B$2:$B$2000,"yyyy-mm-dd")=TEXT(($B$4+8),"yyyy-mm-dd"))*('Daily Checklist'!$F$2:$F$2000="Done"))&amp;"/"&amp;SUMPRODUCT(('Daily Checklist'!$D$2:$D$2000=$A35)*(TEXT('Daily Checklist'!$B$2:$B$2000,"yyyy-mm-dd")=TEXT(($B$4+8),"yyyy-mm-dd")))&amp;" ESC",SUMPRODUCT(('Daily Checklist'!$D$2:$D$2000=$A35)*(TEXT('Daily Checklist'!$B$2:$B$2000,"yyyy-mm-dd")=TEXT(($B$4+8),"yyyy-mm-dd"))*('Daily Checklist'!$F$2:$F$2000="Done"))&amp;"/"&amp;SUMPRODUCT(('Daily Checklist'!$D$2:$D$2000=$A35)*(TEXT('Daily Checklist'!$B$2:$B$2000,"yyyy-mm-dd")=TEXT(($B$4+8),"yyyy-mm-dd"))))))</f>
        <v/>
      </c>
      <c r="K35" s="25" t="str">
        <f aca="false">IF($A35="","",IF(SUMPRODUCT(('Daily Checklist'!$D$2:$D$2000=$A35)*(TEXT('Daily Checklist'!$B$2:$B$2000,"yyyy-mm-dd")=TEXT(($B$4+9),"yyyy-mm-dd")))=0,"-",IF(SUMPRODUCT(('Daily Checklist'!$D$2:$D$2000=$A35)*(TEXT('Daily Checklist'!$B$2:$B$2000,"yyyy-mm-dd")=TEXT(($B$4+9),"yyyy-mm-dd"))*('Daily Checklist'!$L$2:$L$2000="Y"))&gt;0,SUMPRODUCT(('Daily Checklist'!$D$2:$D$2000=$A35)*(TEXT('Daily Checklist'!$B$2:$B$2000,"yyyy-mm-dd")=TEXT(($B$4+9),"yyyy-mm-dd"))*('Daily Checklist'!$F$2:$F$2000="Done"))&amp;"/"&amp;SUMPRODUCT(('Daily Checklist'!$D$2:$D$2000=$A35)*(TEXT('Daily Checklist'!$B$2:$B$2000,"yyyy-mm-dd")=TEXT(($B$4+9),"yyyy-mm-dd")))&amp;" ESC",SUMPRODUCT(('Daily Checklist'!$D$2:$D$2000=$A35)*(TEXT('Daily Checklist'!$B$2:$B$2000,"yyyy-mm-dd")=TEXT(($B$4+9),"yyyy-mm-dd"))*('Daily Checklist'!$F$2:$F$2000="Done"))&amp;"/"&amp;SUMPRODUCT(('Daily Checklist'!$D$2:$D$2000=$A35)*(TEXT('Daily Checklist'!$B$2:$B$2000,"yyyy-mm-dd")=TEXT(($B$4+9),"yyyy-mm-dd"))))))</f>
        <v/>
      </c>
      <c r="L35" s="25" t="str">
        <f aca="false">IF($A35="","",IF(SUMPRODUCT(('Daily Checklist'!$D$2:$D$2000=$A35)*(TEXT('Daily Checklist'!$B$2:$B$2000,"yyyy-mm-dd")=TEXT(($B$4+10),"yyyy-mm-dd")))=0,"-",IF(SUMPRODUCT(('Daily Checklist'!$D$2:$D$2000=$A35)*(TEXT('Daily Checklist'!$B$2:$B$2000,"yyyy-mm-dd")=TEXT(($B$4+10),"yyyy-mm-dd"))*('Daily Checklist'!$L$2:$L$2000="Y"))&gt;0,SUMPRODUCT(('Daily Checklist'!$D$2:$D$2000=$A35)*(TEXT('Daily Checklist'!$B$2:$B$2000,"yyyy-mm-dd")=TEXT(($B$4+10),"yyyy-mm-dd"))*('Daily Checklist'!$F$2:$F$2000="Done"))&amp;"/"&amp;SUMPRODUCT(('Daily Checklist'!$D$2:$D$2000=$A35)*(TEXT('Daily Checklist'!$B$2:$B$2000,"yyyy-mm-dd")=TEXT(($B$4+10),"yyyy-mm-dd")))&amp;" ESC",SUMPRODUCT(('Daily Checklist'!$D$2:$D$2000=$A35)*(TEXT('Daily Checklist'!$B$2:$B$2000,"yyyy-mm-dd")=TEXT(($B$4+10),"yyyy-mm-dd"))*('Daily Checklist'!$F$2:$F$2000="Done"))&amp;"/"&amp;SUMPRODUCT(('Daily Checklist'!$D$2:$D$2000=$A35)*(TEXT('Daily Checklist'!$B$2:$B$2000,"yyyy-mm-dd")=TEXT(($B$4+10),"yyyy-mm-dd"))))))</f>
        <v/>
      </c>
      <c r="M35" s="25" t="str">
        <f aca="false">IF($A35="","",IF(SUMPRODUCT(('Daily Checklist'!$D$2:$D$2000=$A35)*(TEXT('Daily Checklist'!$B$2:$B$2000,"yyyy-mm-dd")=TEXT(($B$4+11),"yyyy-mm-dd")))=0,"-",IF(SUMPRODUCT(('Daily Checklist'!$D$2:$D$2000=$A35)*(TEXT('Daily Checklist'!$B$2:$B$2000,"yyyy-mm-dd")=TEXT(($B$4+11),"yyyy-mm-dd"))*('Daily Checklist'!$L$2:$L$2000="Y"))&gt;0,SUMPRODUCT(('Daily Checklist'!$D$2:$D$2000=$A35)*(TEXT('Daily Checklist'!$B$2:$B$2000,"yyyy-mm-dd")=TEXT(($B$4+11),"yyyy-mm-dd"))*('Daily Checklist'!$F$2:$F$2000="Done"))&amp;"/"&amp;SUMPRODUCT(('Daily Checklist'!$D$2:$D$2000=$A35)*(TEXT('Daily Checklist'!$B$2:$B$2000,"yyyy-mm-dd")=TEXT(($B$4+11),"yyyy-mm-dd")))&amp;" ESC",SUMPRODUCT(('Daily Checklist'!$D$2:$D$2000=$A35)*(TEXT('Daily Checklist'!$B$2:$B$2000,"yyyy-mm-dd")=TEXT(($B$4+11),"yyyy-mm-dd"))*('Daily Checklist'!$F$2:$F$2000="Done"))&amp;"/"&amp;SUMPRODUCT(('Daily Checklist'!$D$2:$D$2000=$A35)*(TEXT('Daily Checklist'!$B$2:$B$2000,"yyyy-mm-dd")=TEXT(($B$4+11),"yyyy-mm-dd"))))))</f>
        <v/>
      </c>
      <c r="N35" s="25" t="str">
        <f aca="false">IF($A35="","",IF(SUMPRODUCT(('Daily Checklist'!$D$2:$D$2000=$A35)*(TEXT('Daily Checklist'!$B$2:$B$2000,"yyyy-mm-dd")=TEXT(($B$4+12),"yyyy-mm-dd")))=0,"-",IF(SUMPRODUCT(('Daily Checklist'!$D$2:$D$2000=$A35)*(TEXT('Daily Checklist'!$B$2:$B$2000,"yyyy-mm-dd")=TEXT(($B$4+12),"yyyy-mm-dd"))*('Daily Checklist'!$L$2:$L$2000="Y"))&gt;0,SUMPRODUCT(('Daily Checklist'!$D$2:$D$2000=$A35)*(TEXT('Daily Checklist'!$B$2:$B$2000,"yyyy-mm-dd")=TEXT(($B$4+12),"yyyy-mm-dd"))*('Daily Checklist'!$F$2:$F$2000="Done"))&amp;"/"&amp;SUMPRODUCT(('Daily Checklist'!$D$2:$D$2000=$A35)*(TEXT('Daily Checklist'!$B$2:$B$2000,"yyyy-mm-dd")=TEXT(($B$4+12),"yyyy-mm-dd")))&amp;" ESC",SUMPRODUCT(('Daily Checklist'!$D$2:$D$2000=$A35)*(TEXT('Daily Checklist'!$B$2:$B$2000,"yyyy-mm-dd")=TEXT(($B$4+12),"yyyy-mm-dd"))*('Daily Checklist'!$F$2:$F$2000="Done"))&amp;"/"&amp;SUMPRODUCT(('Daily Checklist'!$D$2:$D$2000=$A35)*(TEXT('Daily Checklist'!$B$2:$B$2000,"yyyy-mm-dd")=TEXT(($B$4+12),"yyyy-mm-dd"))))))</f>
        <v/>
      </c>
      <c r="O35" s="25" t="str">
        <f aca="false">IF($A35="","",IF(SUMPRODUCT(('Daily Checklist'!$D$2:$D$2000=$A35)*(TEXT('Daily Checklist'!$B$2:$B$2000,"yyyy-mm-dd")=TEXT(($B$4+13),"yyyy-mm-dd")))=0,"-",IF(SUMPRODUCT(('Daily Checklist'!$D$2:$D$2000=$A35)*(TEXT('Daily Checklist'!$B$2:$B$2000,"yyyy-mm-dd")=TEXT(($B$4+13),"yyyy-mm-dd"))*('Daily Checklist'!$L$2:$L$2000="Y"))&gt;0,SUMPRODUCT(('Daily Checklist'!$D$2:$D$2000=$A35)*(TEXT('Daily Checklist'!$B$2:$B$2000,"yyyy-mm-dd")=TEXT(($B$4+13),"yyyy-mm-dd"))*('Daily Checklist'!$F$2:$F$2000="Done"))&amp;"/"&amp;SUMPRODUCT(('Daily Checklist'!$D$2:$D$2000=$A35)*(TEXT('Daily Checklist'!$B$2:$B$2000,"yyyy-mm-dd")=TEXT(($B$4+13),"yyyy-mm-dd")))&amp;" ESC",SUMPRODUCT(('Daily Checklist'!$D$2:$D$2000=$A35)*(TEXT('Daily Checklist'!$B$2:$B$2000,"yyyy-mm-dd")=TEXT(($B$4+13),"yyyy-mm-dd"))*('Daily Checklist'!$F$2:$F$2000="Done"))&amp;"/"&amp;SUMPRODUCT(('Daily Checklist'!$D$2:$D$2000=$A35)*(TEXT('Daily Checklist'!$B$2:$B$2000,"yyyy-mm-dd")=TEXT(($B$4+13),"yyyy-mm-dd"))))))</f>
        <v/>
      </c>
      <c r="P35" s="25" t="str">
        <f aca="false">IF($A35="","",IF(SUMPRODUCT(('Daily Checklist'!$D$2:$D$2000=$A35)*(TEXT('Daily Checklist'!$B$2:$B$2000,"yyyy-mm-dd")=TEXT(($B$4+14),"yyyy-mm-dd")))=0,"-",IF(SUMPRODUCT(('Daily Checklist'!$D$2:$D$2000=$A35)*(TEXT('Daily Checklist'!$B$2:$B$2000,"yyyy-mm-dd")=TEXT(($B$4+14),"yyyy-mm-dd"))*('Daily Checklist'!$L$2:$L$2000="Y"))&gt;0,SUMPRODUCT(('Daily Checklist'!$D$2:$D$2000=$A35)*(TEXT('Daily Checklist'!$B$2:$B$2000,"yyyy-mm-dd")=TEXT(($B$4+14),"yyyy-mm-dd"))*('Daily Checklist'!$F$2:$F$2000="Done"))&amp;"/"&amp;SUMPRODUCT(('Daily Checklist'!$D$2:$D$2000=$A35)*(TEXT('Daily Checklist'!$B$2:$B$2000,"yyyy-mm-dd")=TEXT(($B$4+14),"yyyy-mm-dd")))&amp;" ESC",SUMPRODUCT(('Daily Checklist'!$D$2:$D$2000=$A35)*(TEXT('Daily Checklist'!$B$2:$B$2000,"yyyy-mm-dd")=TEXT(($B$4+14),"yyyy-mm-dd"))*('Daily Checklist'!$F$2:$F$2000="Done"))&amp;"/"&amp;SUMPRODUCT(('Daily Checklist'!$D$2:$D$2000=$A35)*(TEXT('Daily Checklist'!$B$2:$B$2000,"yyyy-mm-dd")=TEXT(($B$4+14),"yyyy-mm-dd"))))))</f>
        <v/>
      </c>
      <c r="Q35" s="25" t="str">
        <f aca="false">IF($A35="","",IF(SUMPRODUCT(('Daily Checklist'!$D$2:$D$2000=$A35)*(TEXT('Daily Checklist'!$B$2:$B$2000,"yyyy-mm-dd")=TEXT(($B$4+15),"yyyy-mm-dd")))=0,"-",IF(SUMPRODUCT(('Daily Checklist'!$D$2:$D$2000=$A35)*(TEXT('Daily Checklist'!$B$2:$B$2000,"yyyy-mm-dd")=TEXT(($B$4+15),"yyyy-mm-dd"))*('Daily Checklist'!$L$2:$L$2000="Y"))&gt;0,SUMPRODUCT(('Daily Checklist'!$D$2:$D$2000=$A35)*(TEXT('Daily Checklist'!$B$2:$B$2000,"yyyy-mm-dd")=TEXT(($B$4+15),"yyyy-mm-dd"))*('Daily Checklist'!$F$2:$F$2000="Done"))&amp;"/"&amp;SUMPRODUCT(('Daily Checklist'!$D$2:$D$2000=$A35)*(TEXT('Daily Checklist'!$B$2:$B$2000,"yyyy-mm-dd")=TEXT(($B$4+15),"yyyy-mm-dd")))&amp;" ESC",SUMPRODUCT(('Daily Checklist'!$D$2:$D$2000=$A35)*(TEXT('Daily Checklist'!$B$2:$B$2000,"yyyy-mm-dd")=TEXT(($B$4+15),"yyyy-mm-dd"))*('Daily Checklist'!$F$2:$F$2000="Done"))&amp;"/"&amp;SUMPRODUCT(('Daily Checklist'!$D$2:$D$2000=$A35)*(TEXT('Daily Checklist'!$B$2:$B$2000,"yyyy-mm-dd")=TEXT(($B$4+15),"yyyy-mm-dd"))))))</f>
        <v/>
      </c>
      <c r="R35" s="25" t="str">
        <f aca="false">IF($A35="","",IF(SUMPRODUCT(('Daily Checklist'!$D$2:$D$2000=$A35)*(TEXT('Daily Checklist'!$B$2:$B$2000,"yyyy-mm-dd")=TEXT(($B$4+16),"yyyy-mm-dd")))=0,"-",IF(SUMPRODUCT(('Daily Checklist'!$D$2:$D$2000=$A35)*(TEXT('Daily Checklist'!$B$2:$B$2000,"yyyy-mm-dd")=TEXT(($B$4+16),"yyyy-mm-dd"))*('Daily Checklist'!$L$2:$L$2000="Y"))&gt;0,SUMPRODUCT(('Daily Checklist'!$D$2:$D$2000=$A35)*(TEXT('Daily Checklist'!$B$2:$B$2000,"yyyy-mm-dd")=TEXT(($B$4+16),"yyyy-mm-dd"))*('Daily Checklist'!$F$2:$F$2000="Done"))&amp;"/"&amp;SUMPRODUCT(('Daily Checklist'!$D$2:$D$2000=$A35)*(TEXT('Daily Checklist'!$B$2:$B$2000,"yyyy-mm-dd")=TEXT(($B$4+16),"yyyy-mm-dd")))&amp;" ESC",SUMPRODUCT(('Daily Checklist'!$D$2:$D$2000=$A35)*(TEXT('Daily Checklist'!$B$2:$B$2000,"yyyy-mm-dd")=TEXT(($B$4+16),"yyyy-mm-dd"))*('Daily Checklist'!$F$2:$F$2000="Done"))&amp;"/"&amp;SUMPRODUCT(('Daily Checklist'!$D$2:$D$2000=$A35)*(TEXT('Daily Checklist'!$B$2:$B$2000,"yyyy-mm-dd")=TEXT(($B$4+16),"yyyy-mm-dd"))))))</f>
        <v/>
      </c>
      <c r="S35" s="25" t="str">
        <f aca="false">IF($A35="","",IF(SUMPRODUCT(('Daily Checklist'!$D$2:$D$2000=$A35)*(TEXT('Daily Checklist'!$B$2:$B$2000,"yyyy-mm-dd")=TEXT(($B$4+17),"yyyy-mm-dd")))=0,"-",IF(SUMPRODUCT(('Daily Checklist'!$D$2:$D$2000=$A35)*(TEXT('Daily Checklist'!$B$2:$B$2000,"yyyy-mm-dd")=TEXT(($B$4+17),"yyyy-mm-dd"))*('Daily Checklist'!$L$2:$L$2000="Y"))&gt;0,SUMPRODUCT(('Daily Checklist'!$D$2:$D$2000=$A35)*(TEXT('Daily Checklist'!$B$2:$B$2000,"yyyy-mm-dd")=TEXT(($B$4+17),"yyyy-mm-dd"))*('Daily Checklist'!$F$2:$F$2000="Done"))&amp;"/"&amp;SUMPRODUCT(('Daily Checklist'!$D$2:$D$2000=$A35)*(TEXT('Daily Checklist'!$B$2:$B$2000,"yyyy-mm-dd")=TEXT(($B$4+17),"yyyy-mm-dd")))&amp;" ESC",SUMPRODUCT(('Daily Checklist'!$D$2:$D$2000=$A35)*(TEXT('Daily Checklist'!$B$2:$B$2000,"yyyy-mm-dd")=TEXT(($B$4+17),"yyyy-mm-dd"))*('Daily Checklist'!$F$2:$F$2000="Done"))&amp;"/"&amp;SUMPRODUCT(('Daily Checklist'!$D$2:$D$2000=$A35)*(TEXT('Daily Checklist'!$B$2:$B$2000,"yyyy-mm-dd")=TEXT(($B$4+17),"yyyy-mm-dd"))))))</f>
        <v/>
      </c>
      <c r="T35" s="25" t="str">
        <f aca="false">IF($A35="","",IF(SUMPRODUCT(('Daily Checklist'!$D$2:$D$2000=$A35)*(TEXT('Daily Checklist'!$B$2:$B$2000,"yyyy-mm-dd")=TEXT(($B$4+18),"yyyy-mm-dd")))=0,"-",IF(SUMPRODUCT(('Daily Checklist'!$D$2:$D$2000=$A35)*(TEXT('Daily Checklist'!$B$2:$B$2000,"yyyy-mm-dd")=TEXT(($B$4+18),"yyyy-mm-dd"))*('Daily Checklist'!$L$2:$L$2000="Y"))&gt;0,SUMPRODUCT(('Daily Checklist'!$D$2:$D$2000=$A35)*(TEXT('Daily Checklist'!$B$2:$B$2000,"yyyy-mm-dd")=TEXT(($B$4+18),"yyyy-mm-dd"))*('Daily Checklist'!$F$2:$F$2000="Done"))&amp;"/"&amp;SUMPRODUCT(('Daily Checklist'!$D$2:$D$2000=$A35)*(TEXT('Daily Checklist'!$B$2:$B$2000,"yyyy-mm-dd")=TEXT(($B$4+18),"yyyy-mm-dd")))&amp;" ESC",SUMPRODUCT(('Daily Checklist'!$D$2:$D$2000=$A35)*(TEXT('Daily Checklist'!$B$2:$B$2000,"yyyy-mm-dd")=TEXT(($B$4+18),"yyyy-mm-dd"))*('Daily Checklist'!$F$2:$F$2000="Done"))&amp;"/"&amp;SUMPRODUCT(('Daily Checklist'!$D$2:$D$2000=$A35)*(TEXT('Daily Checklist'!$B$2:$B$2000,"yyyy-mm-dd")=TEXT(($B$4+18),"yyyy-mm-dd"))))))</f>
        <v/>
      </c>
      <c r="U35" s="25" t="str">
        <f aca="false">IF($A35="","",IF(SUMPRODUCT(('Daily Checklist'!$D$2:$D$2000=$A35)*(TEXT('Daily Checklist'!$B$2:$B$2000,"yyyy-mm-dd")=TEXT(($B$4+19),"yyyy-mm-dd")))=0,"-",IF(SUMPRODUCT(('Daily Checklist'!$D$2:$D$2000=$A35)*(TEXT('Daily Checklist'!$B$2:$B$2000,"yyyy-mm-dd")=TEXT(($B$4+19),"yyyy-mm-dd"))*('Daily Checklist'!$L$2:$L$2000="Y"))&gt;0,SUMPRODUCT(('Daily Checklist'!$D$2:$D$2000=$A35)*(TEXT('Daily Checklist'!$B$2:$B$2000,"yyyy-mm-dd")=TEXT(($B$4+19),"yyyy-mm-dd"))*('Daily Checklist'!$F$2:$F$2000="Done"))&amp;"/"&amp;SUMPRODUCT(('Daily Checklist'!$D$2:$D$2000=$A35)*(TEXT('Daily Checklist'!$B$2:$B$2000,"yyyy-mm-dd")=TEXT(($B$4+19),"yyyy-mm-dd")))&amp;" ESC",SUMPRODUCT(('Daily Checklist'!$D$2:$D$2000=$A35)*(TEXT('Daily Checklist'!$B$2:$B$2000,"yyyy-mm-dd")=TEXT(($B$4+19),"yyyy-mm-dd"))*('Daily Checklist'!$F$2:$F$2000="Done"))&amp;"/"&amp;SUMPRODUCT(('Daily Checklist'!$D$2:$D$2000=$A35)*(TEXT('Daily Checklist'!$B$2:$B$2000,"yyyy-mm-dd")=TEXT(($B$4+19),"yyyy-mm-dd"))))))</f>
        <v/>
      </c>
      <c r="V35" s="25" t="str">
        <f aca="false">IF($A35="","",IF(SUMPRODUCT(('Daily Checklist'!$D$2:$D$2000=$A35)*(TEXT('Daily Checklist'!$B$2:$B$2000,"yyyy-mm-dd")=TEXT(($B$4+20),"yyyy-mm-dd")))=0,"-",IF(SUMPRODUCT(('Daily Checklist'!$D$2:$D$2000=$A35)*(TEXT('Daily Checklist'!$B$2:$B$2000,"yyyy-mm-dd")=TEXT(($B$4+20),"yyyy-mm-dd"))*('Daily Checklist'!$L$2:$L$2000="Y"))&gt;0,SUMPRODUCT(('Daily Checklist'!$D$2:$D$2000=$A35)*(TEXT('Daily Checklist'!$B$2:$B$2000,"yyyy-mm-dd")=TEXT(($B$4+20),"yyyy-mm-dd"))*('Daily Checklist'!$F$2:$F$2000="Done"))&amp;"/"&amp;SUMPRODUCT(('Daily Checklist'!$D$2:$D$2000=$A35)*(TEXT('Daily Checklist'!$B$2:$B$2000,"yyyy-mm-dd")=TEXT(($B$4+20),"yyyy-mm-dd")))&amp;" ESC",SUMPRODUCT(('Daily Checklist'!$D$2:$D$2000=$A35)*(TEXT('Daily Checklist'!$B$2:$B$2000,"yyyy-mm-dd")=TEXT(($B$4+20),"yyyy-mm-dd"))*('Daily Checklist'!$F$2:$F$2000="Done"))&amp;"/"&amp;SUMPRODUCT(('Daily Checklist'!$D$2:$D$2000=$A35)*(TEXT('Daily Checklist'!$B$2:$B$2000,"yyyy-mm-dd")=TEXT(($B$4+20),"yyyy-mm-dd"))))))</f>
        <v/>
      </c>
      <c r="W35" s="25" t="str">
        <f aca="false">IF($A35="","",IF(SUMPRODUCT(('Daily Checklist'!$D$2:$D$2000=$A35)*(TEXT('Daily Checklist'!$B$2:$B$2000,"yyyy-mm-dd")=TEXT(($B$4+21),"yyyy-mm-dd")))=0,"-",IF(SUMPRODUCT(('Daily Checklist'!$D$2:$D$2000=$A35)*(TEXT('Daily Checklist'!$B$2:$B$2000,"yyyy-mm-dd")=TEXT(($B$4+21),"yyyy-mm-dd"))*('Daily Checklist'!$L$2:$L$2000="Y"))&gt;0,SUMPRODUCT(('Daily Checklist'!$D$2:$D$2000=$A35)*(TEXT('Daily Checklist'!$B$2:$B$2000,"yyyy-mm-dd")=TEXT(($B$4+21),"yyyy-mm-dd"))*('Daily Checklist'!$F$2:$F$2000="Done"))&amp;"/"&amp;SUMPRODUCT(('Daily Checklist'!$D$2:$D$2000=$A35)*(TEXT('Daily Checklist'!$B$2:$B$2000,"yyyy-mm-dd")=TEXT(($B$4+21),"yyyy-mm-dd")))&amp;" ESC",SUMPRODUCT(('Daily Checklist'!$D$2:$D$2000=$A35)*(TEXT('Daily Checklist'!$B$2:$B$2000,"yyyy-mm-dd")=TEXT(($B$4+21),"yyyy-mm-dd"))*('Daily Checklist'!$F$2:$F$2000="Done"))&amp;"/"&amp;SUMPRODUCT(('Daily Checklist'!$D$2:$D$2000=$A35)*(TEXT('Daily Checklist'!$B$2:$B$2000,"yyyy-mm-dd")=TEXT(($B$4+21),"yyyy-mm-dd"))))))</f>
        <v/>
      </c>
      <c r="X35" s="25" t="str">
        <f aca="false">IF($A35="","",IF(SUMPRODUCT(('Daily Checklist'!$D$2:$D$2000=$A35)*(TEXT('Daily Checklist'!$B$2:$B$2000,"yyyy-mm-dd")=TEXT(($B$4+22),"yyyy-mm-dd")))=0,"-",IF(SUMPRODUCT(('Daily Checklist'!$D$2:$D$2000=$A35)*(TEXT('Daily Checklist'!$B$2:$B$2000,"yyyy-mm-dd")=TEXT(($B$4+22),"yyyy-mm-dd"))*('Daily Checklist'!$L$2:$L$2000="Y"))&gt;0,SUMPRODUCT(('Daily Checklist'!$D$2:$D$2000=$A35)*(TEXT('Daily Checklist'!$B$2:$B$2000,"yyyy-mm-dd")=TEXT(($B$4+22),"yyyy-mm-dd"))*('Daily Checklist'!$F$2:$F$2000="Done"))&amp;"/"&amp;SUMPRODUCT(('Daily Checklist'!$D$2:$D$2000=$A35)*(TEXT('Daily Checklist'!$B$2:$B$2000,"yyyy-mm-dd")=TEXT(($B$4+22),"yyyy-mm-dd")))&amp;" ESC",SUMPRODUCT(('Daily Checklist'!$D$2:$D$2000=$A35)*(TEXT('Daily Checklist'!$B$2:$B$2000,"yyyy-mm-dd")=TEXT(($B$4+22),"yyyy-mm-dd"))*('Daily Checklist'!$F$2:$F$2000="Done"))&amp;"/"&amp;SUMPRODUCT(('Daily Checklist'!$D$2:$D$2000=$A35)*(TEXT('Daily Checklist'!$B$2:$B$2000,"yyyy-mm-dd")=TEXT(($B$4+22),"yyyy-mm-dd"))))))</f>
        <v/>
      </c>
      <c r="Y35" s="25" t="str">
        <f aca="false">IF($A35="","",IF(SUMPRODUCT(('Daily Checklist'!$D$2:$D$2000=$A35)*(TEXT('Daily Checklist'!$B$2:$B$2000,"yyyy-mm-dd")=TEXT(($B$4+23),"yyyy-mm-dd")))=0,"-",IF(SUMPRODUCT(('Daily Checklist'!$D$2:$D$2000=$A35)*(TEXT('Daily Checklist'!$B$2:$B$2000,"yyyy-mm-dd")=TEXT(($B$4+23),"yyyy-mm-dd"))*('Daily Checklist'!$L$2:$L$2000="Y"))&gt;0,SUMPRODUCT(('Daily Checklist'!$D$2:$D$2000=$A35)*(TEXT('Daily Checklist'!$B$2:$B$2000,"yyyy-mm-dd")=TEXT(($B$4+23),"yyyy-mm-dd"))*('Daily Checklist'!$F$2:$F$2000="Done"))&amp;"/"&amp;SUMPRODUCT(('Daily Checklist'!$D$2:$D$2000=$A35)*(TEXT('Daily Checklist'!$B$2:$B$2000,"yyyy-mm-dd")=TEXT(($B$4+23),"yyyy-mm-dd")))&amp;" ESC",SUMPRODUCT(('Daily Checklist'!$D$2:$D$2000=$A35)*(TEXT('Daily Checklist'!$B$2:$B$2000,"yyyy-mm-dd")=TEXT(($B$4+23),"yyyy-mm-dd"))*('Daily Checklist'!$F$2:$F$2000="Done"))&amp;"/"&amp;SUMPRODUCT(('Daily Checklist'!$D$2:$D$2000=$A35)*(TEXT('Daily Checklist'!$B$2:$B$2000,"yyyy-mm-dd")=TEXT(($B$4+23),"yyyy-mm-dd"))))))</f>
        <v/>
      </c>
      <c r="Z35" s="25" t="str">
        <f aca="false">IF($A35="","",IF(SUMPRODUCT(('Daily Checklist'!$D$2:$D$2000=$A35)*(TEXT('Daily Checklist'!$B$2:$B$2000,"yyyy-mm-dd")=TEXT(($B$4+24),"yyyy-mm-dd")))=0,"-",IF(SUMPRODUCT(('Daily Checklist'!$D$2:$D$2000=$A35)*(TEXT('Daily Checklist'!$B$2:$B$2000,"yyyy-mm-dd")=TEXT(($B$4+24),"yyyy-mm-dd"))*('Daily Checklist'!$L$2:$L$2000="Y"))&gt;0,SUMPRODUCT(('Daily Checklist'!$D$2:$D$2000=$A35)*(TEXT('Daily Checklist'!$B$2:$B$2000,"yyyy-mm-dd")=TEXT(($B$4+24),"yyyy-mm-dd"))*('Daily Checklist'!$F$2:$F$2000="Done"))&amp;"/"&amp;SUMPRODUCT(('Daily Checklist'!$D$2:$D$2000=$A35)*(TEXT('Daily Checklist'!$B$2:$B$2000,"yyyy-mm-dd")=TEXT(($B$4+24),"yyyy-mm-dd")))&amp;" ESC",SUMPRODUCT(('Daily Checklist'!$D$2:$D$2000=$A35)*(TEXT('Daily Checklist'!$B$2:$B$2000,"yyyy-mm-dd")=TEXT(($B$4+24),"yyyy-mm-dd"))*('Daily Checklist'!$F$2:$F$2000="Done"))&amp;"/"&amp;SUMPRODUCT(('Daily Checklist'!$D$2:$D$2000=$A35)*(TEXT('Daily Checklist'!$B$2:$B$2000,"yyyy-mm-dd")=TEXT(($B$4+24),"yyyy-mm-dd"))))))</f>
        <v/>
      </c>
      <c r="AA35" s="25" t="str">
        <f aca="false">IF($A35="","",IF(SUMPRODUCT(('Daily Checklist'!$D$2:$D$2000=$A35)*(TEXT('Daily Checklist'!$B$2:$B$2000,"yyyy-mm-dd")=TEXT(($B$4+25),"yyyy-mm-dd")))=0,"-",IF(SUMPRODUCT(('Daily Checklist'!$D$2:$D$2000=$A35)*(TEXT('Daily Checklist'!$B$2:$B$2000,"yyyy-mm-dd")=TEXT(($B$4+25),"yyyy-mm-dd"))*('Daily Checklist'!$L$2:$L$2000="Y"))&gt;0,SUMPRODUCT(('Daily Checklist'!$D$2:$D$2000=$A35)*(TEXT('Daily Checklist'!$B$2:$B$2000,"yyyy-mm-dd")=TEXT(($B$4+25),"yyyy-mm-dd"))*('Daily Checklist'!$F$2:$F$2000="Done"))&amp;"/"&amp;SUMPRODUCT(('Daily Checklist'!$D$2:$D$2000=$A35)*(TEXT('Daily Checklist'!$B$2:$B$2000,"yyyy-mm-dd")=TEXT(($B$4+25),"yyyy-mm-dd")))&amp;" ESC",SUMPRODUCT(('Daily Checklist'!$D$2:$D$2000=$A35)*(TEXT('Daily Checklist'!$B$2:$B$2000,"yyyy-mm-dd")=TEXT(($B$4+25),"yyyy-mm-dd"))*('Daily Checklist'!$F$2:$F$2000="Done"))&amp;"/"&amp;SUMPRODUCT(('Daily Checklist'!$D$2:$D$2000=$A35)*(TEXT('Daily Checklist'!$B$2:$B$2000,"yyyy-mm-dd")=TEXT(($B$4+25),"yyyy-mm-dd"))))))</f>
        <v/>
      </c>
      <c r="AB35" s="25" t="str">
        <f aca="false">IF($A35="","",IF(SUMPRODUCT(('Daily Checklist'!$D$2:$D$2000=$A35)*(TEXT('Daily Checklist'!$B$2:$B$2000,"yyyy-mm-dd")=TEXT(($B$4+26),"yyyy-mm-dd")))=0,"-",IF(SUMPRODUCT(('Daily Checklist'!$D$2:$D$2000=$A35)*(TEXT('Daily Checklist'!$B$2:$B$2000,"yyyy-mm-dd")=TEXT(($B$4+26),"yyyy-mm-dd"))*('Daily Checklist'!$L$2:$L$2000="Y"))&gt;0,SUMPRODUCT(('Daily Checklist'!$D$2:$D$2000=$A35)*(TEXT('Daily Checklist'!$B$2:$B$2000,"yyyy-mm-dd")=TEXT(($B$4+26),"yyyy-mm-dd"))*('Daily Checklist'!$F$2:$F$2000="Done"))&amp;"/"&amp;SUMPRODUCT(('Daily Checklist'!$D$2:$D$2000=$A35)*(TEXT('Daily Checklist'!$B$2:$B$2000,"yyyy-mm-dd")=TEXT(($B$4+26),"yyyy-mm-dd")))&amp;" ESC",SUMPRODUCT(('Daily Checklist'!$D$2:$D$2000=$A35)*(TEXT('Daily Checklist'!$B$2:$B$2000,"yyyy-mm-dd")=TEXT(($B$4+26),"yyyy-mm-dd"))*('Daily Checklist'!$F$2:$F$2000="Done"))&amp;"/"&amp;SUMPRODUCT(('Daily Checklist'!$D$2:$D$2000=$A35)*(TEXT('Daily Checklist'!$B$2:$B$2000,"yyyy-mm-dd")=TEXT(($B$4+26),"yyyy-mm-dd"))))))</f>
        <v/>
      </c>
      <c r="AC35" s="25" t="str">
        <f aca="false">IF($A35="","",IF(SUMPRODUCT(('Daily Checklist'!$D$2:$D$2000=$A35)*(TEXT('Daily Checklist'!$B$2:$B$2000,"yyyy-mm-dd")=TEXT(($B$4+27),"yyyy-mm-dd")))=0,"-",IF(SUMPRODUCT(('Daily Checklist'!$D$2:$D$2000=$A35)*(TEXT('Daily Checklist'!$B$2:$B$2000,"yyyy-mm-dd")=TEXT(($B$4+27),"yyyy-mm-dd"))*('Daily Checklist'!$L$2:$L$2000="Y"))&gt;0,SUMPRODUCT(('Daily Checklist'!$D$2:$D$2000=$A35)*(TEXT('Daily Checklist'!$B$2:$B$2000,"yyyy-mm-dd")=TEXT(($B$4+27),"yyyy-mm-dd"))*('Daily Checklist'!$F$2:$F$2000="Done"))&amp;"/"&amp;SUMPRODUCT(('Daily Checklist'!$D$2:$D$2000=$A35)*(TEXT('Daily Checklist'!$B$2:$B$2000,"yyyy-mm-dd")=TEXT(($B$4+27),"yyyy-mm-dd")))&amp;" ESC",SUMPRODUCT(('Daily Checklist'!$D$2:$D$2000=$A35)*(TEXT('Daily Checklist'!$B$2:$B$2000,"yyyy-mm-dd")=TEXT(($B$4+27),"yyyy-mm-dd"))*('Daily Checklist'!$F$2:$F$2000="Done"))&amp;"/"&amp;SUMPRODUCT(('Daily Checklist'!$D$2:$D$2000=$A35)*(TEXT('Daily Checklist'!$B$2:$B$2000,"yyyy-mm-dd")=TEXT(($B$4+27),"yyyy-mm-dd"))))))</f>
        <v/>
      </c>
      <c r="AD35" s="25" t="str">
        <f aca="false">IF($A35="","",IF(SUMPRODUCT(('Daily Checklist'!$D$2:$D$2000=$A35)*(TEXT('Daily Checklist'!$B$2:$B$2000,"yyyy-mm-dd")=TEXT(($B$4+28),"yyyy-mm-dd")))=0,"-",IF(SUMPRODUCT(('Daily Checklist'!$D$2:$D$2000=$A35)*(TEXT('Daily Checklist'!$B$2:$B$2000,"yyyy-mm-dd")=TEXT(($B$4+28),"yyyy-mm-dd"))*('Daily Checklist'!$L$2:$L$2000="Y"))&gt;0,SUMPRODUCT(('Daily Checklist'!$D$2:$D$2000=$A35)*(TEXT('Daily Checklist'!$B$2:$B$2000,"yyyy-mm-dd")=TEXT(($B$4+28),"yyyy-mm-dd"))*('Daily Checklist'!$F$2:$F$2000="Done"))&amp;"/"&amp;SUMPRODUCT(('Daily Checklist'!$D$2:$D$2000=$A35)*(TEXT('Daily Checklist'!$B$2:$B$2000,"yyyy-mm-dd")=TEXT(($B$4+28),"yyyy-mm-dd")))&amp;" ESC",SUMPRODUCT(('Daily Checklist'!$D$2:$D$2000=$A35)*(TEXT('Daily Checklist'!$B$2:$B$2000,"yyyy-mm-dd")=TEXT(($B$4+28),"yyyy-mm-dd"))*('Daily Checklist'!$F$2:$F$2000="Done"))&amp;"/"&amp;SUMPRODUCT(('Daily Checklist'!$D$2:$D$2000=$A35)*(TEXT('Daily Checklist'!$B$2:$B$2000,"yyyy-mm-dd")=TEXT(($B$4+28),"yyyy-mm-dd"))))))</f>
        <v/>
      </c>
      <c r="AE35" s="25" t="str">
        <f aca="false">IF($A35="","",IF(SUMPRODUCT(('Daily Checklist'!$D$2:$D$2000=$A35)*(TEXT('Daily Checklist'!$B$2:$B$2000,"yyyy-mm-dd")=TEXT(($B$4+29),"yyyy-mm-dd")))=0,"-",IF(SUMPRODUCT(('Daily Checklist'!$D$2:$D$2000=$A35)*(TEXT('Daily Checklist'!$B$2:$B$2000,"yyyy-mm-dd")=TEXT(($B$4+29),"yyyy-mm-dd"))*('Daily Checklist'!$L$2:$L$2000="Y"))&gt;0,SUMPRODUCT(('Daily Checklist'!$D$2:$D$2000=$A35)*(TEXT('Daily Checklist'!$B$2:$B$2000,"yyyy-mm-dd")=TEXT(($B$4+29),"yyyy-mm-dd"))*('Daily Checklist'!$F$2:$F$2000="Done"))&amp;"/"&amp;SUMPRODUCT(('Daily Checklist'!$D$2:$D$2000=$A35)*(TEXT('Daily Checklist'!$B$2:$B$2000,"yyyy-mm-dd")=TEXT(($B$4+29),"yyyy-mm-dd")))&amp;" ESC",SUMPRODUCT(('Daily Checklist'!$D$2:$D$2000=$A35)*(TEXT('Daily Checklist'!$B$2:$B$2000,"yyyy-mm-dd")=TEXT(($B$4+29),"yyyy-mm-dd"))*('Daily Checklist'!$F$2:$F$2000="Done"))&amp;"/"&amp;SUMPRODUCT(('Daily Checklist'!$D$2:$D$2000=$A35)*(TEXT('Daily Checklist'!$B$2:$B$2000,"yyyy-mm-dd")=TEXT(($B$4+29),"yyyy-mm-dd"))))))</f>
        <v/>
      </c>
      <c r="AF35" s="25" t="str">
        <f aca="false">IF($A35="","",IF(SUMPRODUCT(('Daily Checklist'!$D$2:$D$2000=$A35)*(TEXT('Daily Checklist'!$B$2:$B$2000,"yyyy-mm-dd")=TEXT(($B$4+30),"yyyy-mm-dd")))=0,"-",IF(SUMPRODUCT(('Daily Checklist'!$D$2:$D$2000=$A35)*(TEXT('Daily Checklist'!$B$2:$B$2000,"yyyy-mm-dd")=TEXT(($B$4+30),"yyyy-mm-dd"))*('Daily Checklist'!$L$2:$L$2000="Y"))&gt;0,SUMPRODUCT(('Daily Checklist'!$D$2:$D$2000=$A35)*(TEXT('Daily Checklist'!$B$2:$B$2000,"yyyy-mm-dd")=TEXT(($B$4+30),"yyyy-mm-dd"))*('Daily Checklist'!$F$2:$F$2000="Done"))&amp;"/"&amp;SUMPRODUCT(('Daily Checklist'!$D$2:$D$2000=$A35)*(TEXT('Daily Checklist'!$B$2:$B$2000,"yyyy-mm-dd")=TEXT(($B$4+30),"yyyy-mm-dd")))&amp;" ESC",SUMPRODUCT(('Daily Checklist'!$D$2:$D$2000=$A35)*(TEXT('Daily Checklist'!$B$2:$B$2000,"yyyy-mm-dd")=TEXT(($B$4+30),"yyyy-mm-dd"))*('Daily Checklist'!$F$2:$F$2000="Done"))&amp;"/"&amp;SUMPRODUCT(('Daily Checklist'!$D$2:$D$2000=$A35)*(TEXT('Daily Checklist'!$B$2:$B$2000,"yyyy-mm-dd")=TEXT(($B$4+30),"yyyy-mm-dd"))))))</f>
        <v/>
      </c>
    </row>
    <row r="36" customFormat="false" ht="15" hidden="false" customHeight="true" outlineLevel="0" collapsed="false">
      <c r="A36" s="24" t="str">
        <f aca="false">IFERROR(IF(Employees!A31="","",Employees!A31),"")</f>
        <v/>
      </c>
      <c r="B36" s="25" t="str">
        <f aca="false">IF($A36="","",IF(SUMPRODUCT(('Daily Checklist'!$D$2:$D$2000=$A36)*(TEXT('Daily Checklist'!$B$2:$B$2000,"yyyy-mm-dd")=TEXT(($B$4+0),"yyyy-mm-dd")))=0,"-",IF(SUMPRODUCT(('Daily Checklist'!$D$2:$D$2000=$A36)*(TEXT('Daily Checklist'!$B$2:$B$2000,"yyyy-mm-dd")=TEXT(($B$4+0),"yyyy-mm-dd"))*('Daily Checklist'!$L$2:$L$2000="Y"))&gt;0,SUMPRODUCT(('Daily Checklist'!$D$2:$D$2000=$A36)*(TEXT('Daily Checklist'!$B$2:$B$2000,"yyyy-mm-dd")=TEXT(($B$4+0),"yyyy-mm-dd"))*('Daily Checklist'!$F$2:$F$2000="Done"))&amp;"/"&amp;SUMPRODUCT(('Daily Checklist'!$D$2:$D$2000=$A36)*(TEXT('Daily Checklist'!$B$2:$B$2000,"yyyy-mm-dd")=TEXT(($B$4+0),"yyyy-mm-dd")))&amp;" ESC",SUMPRODUCT(('Daily Checklist'!$D$2:$D$2000=$A36)*(TEXT('Daily Checklist'!$B$2:$B$2000,"yyyy-mm-dd")=TEXT(($B$4+0),"yyyy-mm-dd"))*('Daily Checklist'!$F$2:$F$2000="Done"))&amp;"/"&amp;SUMPRODUCT(('Daily Checklist'!$D$2:$D$2000=$A36)*(TEXT('Daily Checklist'!$B$2:$B$2000,"yyyy-mm-dd")=TEXT(($B$4+0),"yyyy-mm-dd"))))))</f>
        <v/>
      </c>
      <c r="C36" s="25" t="str">
        <f aca="false">IF($A36="","",IF(SUMPRODUCT(('Daily Checklist'!$D$2:$D$2000=$A36)*(TEXT('Daily Checklist'!$B$2:$B$2000,"yyyy-mm-dd")=TEXT(($B$4+1),"yyyy-mm-dd")))=0,"-",IF(SUMPRODUCT(('Daily Checklist'!$D$2:$D$2000=$A36)*(TEXT('Daily Checklist'!$B$2:$B$2000,"yyyy-mm-dd")=TEXT(($B$4+1),"yyyy-mm-dd"))*('Daily Checklist'!$L$2:$L$2000="Y"))&gt;0,SUMPRODUCT(('Daily Checklist'!$D$2:$D$2000=$A36)*(TEXT('Daily Checklist'!$B$2:$B$2000,"yyyy-mm-dd")=TEXT(($B$4+1),"yyyy-mm-dd"))*('Daily Checklist'!$F$2:$F$2000="Done"))&amp;"/"&amp;SUMPRODUCT(('Daily Checklist'!$D$2:$D$2000=$A36)*(TEXT('Daily Checklist'!$B$2:$B$2000,"yyyy-mm-dd")=TEXT(($B$4+1),"yyyy-mm-dd")))&amp;" ESC",SUMPRODUCT(('Daily Checklist'!$D$2:$D$2000=$A36)*(TEXT('Daily Checklist'!$B$2:$B$2000,"yyyy-mm-dd")=TEXT(($B$4+1),"yyyy-mm-dd"))*('Daily Checklist'!$F$2:$F$2000="Done"))&amp;"/"&amp;SUMPRODUCT(('Daily Checklist'!$D$2:$D$2000=$A36)*(TEXT('Daily Checklist'!$B$2:$B$2000,"yyyy-mm-dd")=TEXT(($B$4+1),"yyyy-mm-dd"))))))</f>
        <v/>
      </c>
      <c r="D36" s="25" t="str">
        <f aca="false">IF($A36="","",IF(SUMPRODUCT(('Daily Checklist'!$D$2:$D$2000=$A36)*(TEXT('Daily Checklist'!$B$2:$B$2000,"yyyy-mm-dd")=TEXT(($B$4+2),"yyyy-mm-dd")))=0,"-",IF(SUMPRODUCT(('Daily Checklist'!$D$2:$D$2000=$A36)*(TEXT('Daily Checklist'!$B$2:$B$2000,"yyyy-mm-dd")=TEXT(($B$4+2),"yyyy-mm-dd"))*('Daily Checklist'!$L$2:$L$2000="Y"))&gt;0,SUMPRODUCT(('Daily Checklist'!$D$2:$D$2000=$A36)*(TEXT('Daily Checklist'!$B$2:$B$2000,"yyyy-mm-dd")=TEXT(($B$4+2),"yyyy-mm-dd"))*('Daily Checklist'!$F$2:$F$2000="Done"))&amp;"/"&amp;SUMPRODUCT(('Daily Checklist'!$D$2:$D$2000=$A36)*(TEXT('Daily Checklist'!$B$2:$B$2000,"yyyy-mm-dd")=TEXT(($B$4+2),"yyyy-mm-dd")))&amp;" ESC",SUMPRODUCT(('Daily Checklist'!$D$2:$D$2000=$A36)*(TEXT('Daily Checklist'!$B$2:$B$2000,"yyyy-mm-dd")=TEXT(($B$4+2),"yyyy-mm-dd"))*('Daily Checklist'!$F$2:$F$2000="Done"))&amp;"/"&amp;SUMPRODUCT(('Daily Checklist'!$D$2:$D$2000=$A36)*(TEXT('Daily Checklist'!$B$2:$B$2000,"yyyy-mm-dd")=TEXT(($B$4+2),"yyyy-mm-dd"))))))</f>
        <v/>
      </c>
      <c r="E36" s="25" t="str">
        <f aca="false">IF($A36="","",IF(SUMPRODUCT(('Daily Checklist'!$D$2:$D$2000=$A36)*(TEXT('Daily Checklist'!$B$2:$B$2000,"yyyy-mm-dd")=TEXT(($B$4+3),"yyyy-mm-dd")))=0,"-",IF(SUMPRODUCT(('Daily Checklist'!$D$2:$D$2000=$A36)*(TEXT('Daily Checklist'!$B$2:$B$2000,"yyyy-mm-dd")=TEXT(($B$4+3),"yyyy-mm-dd"))*('Daily Checklist'!$L$2:$L$2000="Y"))&gt;0,SUMPRODUCT(('Daily Checklist'!$D$2:$D$2000=$A36)*(TEXT('Daily Checklist'!$B$2:$B$2000,"yyyy-mm-dd")=TEXT(($B$4+3),"yyyy-mm-dd"))*('Daily Checklist'!$F$2:$F$2000="Done"))&amp;"/"&amp;SUMPRODUCT(('Daily Checklist'!$D$2:$D$2000=$A36)*(TEXT('Daily Checklist'!$B$2:$B$2000,"yyyy-mm-dd")=TEXT(($B$4+3),"yyyy-mm-dd")))&amp;" ESC",SUMPRODUCT(('Daily Checklist'!$D$2:$D$2000=$A36)*(TEXT('Daily Checklist'!$B$2:$B$2000,"yyyy-mm-dd")=TEXT(($B$4+3),"yyyy-mm-dd"))*('Daily Checklist'!$F$2:$F$2000="Done"))&amp;"/"&amp;SUMPRODUCT(('Daily Checklist'!$D$2:$D$2000=$A36)*(TEXT('Daily Checklist'!$B$2:$B$2000,"yyyy-mm-dd")=TEXT(($B$4+3),"yyyy-mm-dd"))))))</f>
        <v/>
      </c>
      <c r="F36" s="25" t="str">
        <f aca="false">IF($A36="","",IF(SUMPRODUCT(('Daily Checklist'!$D$2:$D$2000=$A36)*(TEXT('Daily Checklist'!$B$2:$B$2000,"yyyy-mm-dd")=TEXT(($B$4+4),"yyyy-mm-dd")))=0,"-",IF(SUMPRODUCT(('Daily Checklist'!$D$2:$D$2000=$A36)*(TEXT('Daily Checklist'!$B$2:$B$2000,"yyyy-mm-dd")=TEXT(($B$4+4),"yyyy-mm-dd"))*('Daily Checklist'!$L$2:$L$2000="Y"))&gt;0,SUMPRODUCT(('Daily Checklist'!$D$2:$D$2000=$A36)*(TEXT('Daily Checklist'!$B$2:$B$2000,"yyyy-mm-dd")=TEXT(($B$4+4),"yyyy-mm-dd"))*('Daily Checklist'!$F$2:$F$2000="Done"))&amp;"/"&amp;SUMPRODUCT(('Daily Checklist'!$D$2:$D$2000=$A36)*(TEXT('Daily Checklist'!$B$2:$B$2000,"yyyy-mm-dd")=TEXT(($B$4+4),"yyyy-mm-dd")))&amp;" ESC",SUMPRODUCT(('Daily Checklist'!$D$2:$D$2000=$A36)*(TEXT('Daily Checklist'!$B$2:$B$2000,"yyyy-mm-dd")=TEXT(($B$4+4),"yyyy-mm-dd"))*('Daily Checklist'!$F$2:$F$2000="Done"))&amp;"/"&amp;SUMPRODUCT(('Daily Checklist'!$D$2:$D$2000=$A36)*(TEXT('Daily Checklist'!$B$2:$B$2000,"yyyy-mm-dd")=TEXT(($B$4+4),"yyyy-mm-dd"))))))</f>
        <v/>
      </c>
      <c r="G36" s="25" t="str">
        <f aca="false">IF($A36="","",IF(SUMPRODUCT(('Daily Checklist'!$D$2:$D$2000=$A36)*(TEXT('Daily Checklist'!$B$2:$B$2000,"yyyy-mm-dd")=TEXT(($B$4+5),"yyyy-mm-dd")))=0,"-",IF(SUMPRODUCT(('Daily Checklist'!$D$2:$D$2000=$A36)*(TEXT('Daily Checklist'!$B$2:$B$2000,"yyyy-mm-dd")=TEXT(($B$4+5),"yyyy-mm-dd"))*('Daily Checklist'!$L$2:$L$2000="Y"))&gt;0,SUMPRODUCT(('Daily Checklist'!$D$2:$D$2000=$A36)*(TEXT('Daily Checklist'!$B$2:$B$2000,"yyyy-mm-dd")=TEXT(($B$4+5),"yyyy-mm-dd"))*('Daily Checklist'!$F$2:$F$2000="Done"))&amp;"/"&amp;SUMPRODUCT(('Daily Checklist'!$D$2:$D$2000=$A36)*(TEXT('Daily Checklist'!$B$2:$B$2000,"yyyy-mm-dd")=TEXT(($B$4+5),"yyyy-mm-dd")))&amp;" ESC",SUMPRODUCT(('Daily Checklist'!$D$2:$D$2000=$A36)*(TEXT('Daily Checklist'!$B$2:$B$2000,"yyyy-mm-dd")=TEXT(($B$4+5),"yyyy-mm-dd"))*('Daily Checklist'!$F$2:$F$2000="Done"))&amp;"/"&amp;SUMPRODUCT(('Daily Checklist'!$D$2:$D$2000=$A36)*(TEXT('Daily Checklist'!$B$2:$B$2000,"yyyy-mm-dd")=TEXT(($B$4+5),"yyyy-mm-dd"))))))</f>
        <v/>
      </c>
      <c r="H36" s="25" t="str">
        <f aca="false">IF($A36="","",IF(SUMPRODUCT(('Daily Checklist'!$D$2:$D$2000=$A36)*(TEXT('Daily Checklist'!$B$2:$B$2000,"yyyy-mm-dd")=TEXT(($B$4+6),"yyyy-mm-dd")))=0,"-",IF(SUMPRODUCT(('Daily Checklist'!$D$2:$D$2000=$A36)*(TEXT('Daily Checklist'!$B$2:$B$2000,"yyyy-mm-dd")=TEXT(($B$4+6),"yyyy-mm-dd"))*('Daily Checklist'!$L$2:$L$2000="Y"))&gt;0,SUMPRODUCT(('Daily Checklist'!$D$2:$D$2000=$A36)*(TEXT('Daily Checklist'!$B$2:$B$2000,"yyyy-mm-dd")=TEXT(($B$4+6),"yyyy-mm-dd"))*('Daily Checklist'!$F$2:$F$2000="Done"))&amp;"/"&amp;SUMPRODUCT(('Daily Checklist'!$D$2:$D$2000=$A36)*(TEXT('Daily Checklist'!$B$2:$B$2000,"yyyy-mm-dd")=TEXT(($B$4+6),"yyyy-mm-dd")))&amp;" ESC",SUMPRODUCT(('Daily Checklist'!$D$2:$D$2000=$A36)*(TEXT('Daily Checklist'!$B$2:$B$2000,"yyyy-mm-dd")=TEXT(($B$4+6),"yyyy-mm-dd"))*('Daily Checklist'!$F$2:$F$2000="Done"))&amp;"/"&amp;SUMPRODUCT(('Daily Checklist'!$D$2:$D$2000=$A36)*(TEXT('Daily Checklist'!$B$2:$B$2000,"yyyy-mm-dd")=TEXT(($B$4+6),"yyyy-mm-dd"))))))</f>
        <v/>
      </c>
      <c r="I36" s="25" t="str">
        <f aca="false">IF($A36="","",IF(SUMPRODUCT(('Daily Checklist'!$D$2:$D$2000=$A36)*(TEXT('Daily Checklist'!$B$2:$B$2000,"yyyy-mm-dd")=TEXT(($B$4+7),"yyyy-mm-dd")))=0,"-",IF(SUMPRODUCT(('Daily Checklist'!$D$2:$D$2000=$A36)*(TEXT('Daily Checklist'!$B$2:$B$2000,"yyyy-mm-dd")=TEXT(($B$4+7),"yyyy-mm-dd"))*('Daily Checklist'!$L$2:$L$2000="Y"))&gt;0,SUMPRODUCT(('Daily Checklist'!$D$2:$D$2000=$A36)*(TEXT('Daily Checklist'!$B$2:$B$2000,"yyyy-mm-dd")=TEXT(($B$4+7),"yyyy-mm-dd"))*('Daily Checklist'!$F$2:$F$2000="Done"))&amp;"/"&amp;SUMPRODUCT(('Daily Checklist'!$D$2:$D$2000=$A36)*(TEXT('Daily Checklist'!$B$2:$B$2000,"yyyy-mm-dd")=TEXT(($B$4+7),"yyyy-mm-dd")))&amp;" ESC",SUMPRODUCT(('Daily Checklist'!$D$2:$D$2000=$A36)*(TEXT('Daily Checklist'!$B$2:$B$2000,"yyyy-mm-dd")=TEXT(($B$4+7),"yyyy-mm-dd"))*('Daily Checklist'!$F$2:$F$2000="Done"))&amp;"/"&amp;SUMPRODUCT(('Daily Checklist'!$D$2:$D$2000=$A36)*(TEXT('Daily Checklist'!$B$2:$B$2000,"yyyy-mm-dd")=TEXT(($B$4+7),"yyyy-mm-dd"))))))</f>
        <v/>
      </c>
      <c r="J36" s="25" t="str">
        <f aca="false">IF($A36="","",IF(SUMPRODUCT(('Daily Checklist'!$D$2:$D$2000=$A36)*(TEXT('Daily Checklist'!$B$2:$B$2000,"yyyy-mm-dd")=TEXT(($B$4+8),"yyyy-mm-dd")))=0,"-",IF(SUMPRODUCT(('Daily Checklist'!$D$2:$D$2000=$A36)*(TEXT('Daily Checklist'!$B$2:$B$2000,"yyyy-mm-dd")=TEXT(($B$4+8),"yyyy-mm-dd"))*('Daily Checklist'!$L$2:$L$2000="Y"))&gt;0,SUMPRODUCT(('Daily Checklist'!$D$2:$D$2000=$A36)*(TEXT('Daily Checklist'!$B$2:$B$2000,"yyyy-mm-dd")=TEXT(($B$4+8),"yyyy-mm-dd"))*('Daily Checklist'!$F$2:$F$2000="Done"))&amp;"/"&amp;SUMPRODUCT(('Daily Checklist'!$D$2:$D$2000=$A36)*(TEXT('Daily Checklist'!$B$2:$B$2000,"yyyy-mm-dd")=TEXT(($B$4+8),"yyyy-mm-dd")))&amp;" ESC",SUMPRODUCT(('Daily Checklist'!$D$2:$D$2000=$A36)*(TEXT('Daily Checklist'!$B$2:$B$2000,"yyyy-mm-dd")=TEXT(($B$4+8),"yyyy-mm-dd"))*('Daily Checklist'!$F$2:$F$2000="Done"))&amp;"/"&amp;SUMPRODUCT(('Daily Checklist'!$D$2:$D$2000=$A36)*(TEXT('Daily Checklist'!$B$2:$B$2000,"yyyy-mm-dd")=TEXT(($B$4+8),"yyyy-mm-dd"))))))</f>
        <v/>
      </c>
      <c r="K36" s="25" t="str">
        <f aca="false">IF($A36="","",IF(SUMPRODUCT(('Daily Checklist'!$D$2:$D$2000=$A36)*(TEXT('Daily Checklist'!$B$2:$B$2000,"yyyy-mm-dd")=TEXT(($B$4+9),"yyyy-mm-dd")))=0,"-",IF(SUMPRODUCT(('Daily Checklist'!$D$2:$D$2000=$A36)*(TEXT('Daily Checklist'!$B$2:$B$2000,"yyyy-mm-dd")=TEXT(($B$4+9),"yyyy-mm-dd"))*('Daily Checklist'!$L$2:$L$2000="Y"))&gt;0,SUMPRODUCT(('Daily Checklist'!$D$2:$D$2000=$A36)*(TEXT('Daily Checklist'!$B$2:$B$2000,"yyyy-mm-dd")=TEXT(($B$4+9),"yyyy-mm-dd"))*('Daily Checklist'!$F$2:$F$2000="Done"))&amp;"/"&amp;SUMPRODUCT(('Daily Checklist'!$D$2:$D$2000=$A36)*(TEXT('Daily Checklist'!$B$2:$B$2000,"yyyy-mm-dd")=TEXT(($B$4+9),"yyyy-mm-dd")))&amp;" ESC",SUMPRODUCT(('Daily Checklist'!$D$2:$D$2000=$A36)*(TEXT('Daily Checklist'!$B$2:$B$2000,"yyyy-mm-dd")=TEXT(($B$4+9),"yyyy-mm-dd"))*('Daily Checklist'!$F$2:$F$2000="Done"))&amp;"/"&amp;SUMPRODUCT(('Daily Checklist'!$D$2:$D$2000=$A36)*(TEXT('Daily Checklist'!$B$2:$B$2000,"yyyy-mm-dd")=TEXT(($B$4+9),"yyyy-mm-dd"))))))</f>
        <v/>
      </c>
      <c r="L36" s="25" t="str">
        <f aca="false">IF($A36="","",IF(SUMPRODUCT(('Daily Checklist'!$D$2:$D$2000=$A36)*(TEXT('Daily Checklist'!$B$2:$B$2000,"yyyy-mm-dd")=TEXT(($B$4+10),"yyyy-mm-dd")))=0,"-",IF(SUMPRODUCT(('Daily Checklist'!$D$2:$D$2000=$A36)*(TEXT('Daily Checklist'!$B$2:$B$2000,"yyyy-mm-dd")=TEXT(($B$4+10),"yyyy-mm-dd"))*('Daily Checklist'!$L$2:$L$2000="Y"))&gt;0,SUMPRODUCT(('Daily Checklist'!$D$2:$D$2000=$A36)*(TEXT('Daily Checklist'!$B$2:$B$2000,"yyyy-mm-dd")=TEXT(($B$4+10),"yyyy-mm-dd"))*('Daily Checklist'!$F$2:$F$2000="Done"))&amp;"/"&amp;SUMPRODUCT(('Daily Checklist'!$D$2:$D$2000=$A36)*(TEXT('Daily Checklist'!$B$2:$B$2000,"yyyy-mm-dd")=TEXT(($B$4+10),"yyyy-mm-dd")))&amp;" ESC",SUMPRODUCT(('Daily Checklist'!$D$2:$D$2000=$A36)*(TEXT('Daily Checklist'!$B$2:$B$2000,"yyyy-mm-dd")=TEXT(($B$4+10),"yyyy-mm-dd"))*('Daily Checklist'!$F$2:$F$2000="Done"))&amp;"/"&amp;SUMPRODUCT(('Daily Checklist'!$D$2:$D$2000=$A36)*(TEXT('Daily Checklist'!$B$2:$B$2000,"yyyy-mm-dd")=TEXT(($B$4+10),"yyyy-mm-dd"))))))</f>
        <v/>
      </c>
      <c r="M36" s="25" t="str">
        <f aca="false">IF($A36="","",IF(SUMPRODUCT(('Daily Checklist'!$D$2:$D$2000=$A36)*(TEXT('Daily Checklist'!$B$2:$B$2000,"yyyy-mm-dd")=TEXT(($B$4+11),"yyyy-mm-dd")))=0,"-",IF(SUMPRODUCT(('Daily Checklist'!$D$2:$D$2000=$A36)*(TEXT('Daily Checklist'!$B$2:$B$2000,"yyyy-mm-dd")=TEXT(($B$4+11),"yyyy-mm-dd"))*('Daily Checklist'!$L$2:$L$2000="Y"))&gt;0,SUMPRODUCT(('Daily Checklist'!$D$2:$D$2000=$A36)*(TEXT('Daily Checklist'!$B$2:$B$2000,"yyyy-mm-dd")=TEXT(($B$4+11),"yyyy-mm-dd"))*('Daily Checklist'!$F$2:$F$2000="Done"))&amp;"/"&amp;SUMPRODUCT(('Daily Checklist'!$D$2:$D$2000=$A36)*(TEXT('Daily Checklist'!$B$2:$B$2000,"yyyy-mm-dd")=TEXT(($B$4+11),"yyyy-mm-dd")))&amp;" ESC",SUMPRODUCT(('Daily Checklist'!$D$2:$D$2000=$A36)*(TEXT('Daily Checklist'!$B$2:$B$2000,"yyyy-mm-dd")=TEXT(($B$4+11),"yyyy-mm-dd"))*('Daily Checklist'!$F$2:$F$2000="Done"))&amp;"/"&amp;SUMPRODUCT(('Daily Checklist'!$D$2:$D$2000=$A36)*(TEXT('Daily Checklist'!$B$2:$B$2000,"yyyy-mm-dd")=TEXT(($B$4+11),"yyyy-mm-dd"))))))</f>
        <v/>
      </c>
      <c r="N36" s="25" t="str">
        <f aca="false">IF($A36="","",IF(SUMPRODUCT(('Daily Checklist'!$D$2:$D$2000=$A36)*(TEXT('Daily Checklist'!$B$2:$B$2000,"yyyy-mm-dd")=TEXT(($B$4+12),"yyyy-mm-dd")))=0,"-",IF(SUMPRODUCT(('Daily Checklist'!$D$2:$D$2000=$A36)*(TEXT('Daily Checklist'!$B$2:$B$2000,"yyyy-mm-dd")=TEXT(($B$4+12),"yyyy-mm-dd"))*('Daily Checklist'!$L$2:$L$2000="Y"))&gt;0,SUMPRODUCT(('Daily Checklist'!$D$2:$D$2000=$A36)*(TEXT('Daily Checklist'!$B$2:$B$2000,"yyyy-mm-dd")=TEXT(($B$4+12),"yyyy-mm-dd"))*('Daily Checklist'!$F$2:$F$2000="Done"))&amp;"/"&amp;SUMPRODUCT(('Daily Checklist'!$D$2:$D$2000=$A36)*(TEXT('Daily Checklist'!$B$2:$B$2000,"yyyy-mm-dd")=TEXT(($B$4+12),"yyyy-mm-dd")))&amp;" ESC",SUMPRODUCT(('Daily Checklist'!$D$2:$D$2000=$A36)*(TEXT('Daily Checklist'!$B$2:$B$2000,"yyyy-mm-dd")=TEXT(($B$4+12),"yyyy-mm-dd"))*('Daily Checklist'!$F$2:$F$2000="Done"))&amp;"/"&amp;SUMPRODUCT(('Daily Checklist'!$D$2:$D$2000=$A36)*(TEXT('Daily Checklist'!$B$2:$B$2000,"yyyy-mm-dd")=TEXT(($B$4+12),"yyyy-mm-dd"))))))</f>
        <v/>
      </c>
      <c r="O36" s="25" t="str">
        <f aca="false">IF($A36="","",IF(SUMPRODUCT(('Daily Checklist'!$D$2:$D$2000=$A36)*(TEXT('Daily Checklist'!$B$2:$B$2000,"yyyy-mm-dd")=TEXT(($B$4+13),"yyyy-mm-dd")))=0,"-",IF(SUMPRODUCT(('Daily Checklist'!$D$2:$D$2000=$A36)*(TEXT('Daily Checklist'!$B$2:$B$2000,"yyyy-mm-dd")=TEXT(($B$4+13),"yyyy-mm-dd"))*('Daily Checklist'!$L$2:$L$2000="Y"))&gt;0,SUMPRODUCT(('Daily Checklist'!$D$2:$D$2000=$A36)*(TEXT('Daily Checklist'!$B$2:$B$2000,"yyyy-mm-dd")=TEXT(($B$4+13),"yyyy-mm-dd"))*('Daily Checklist'!$F$2:$F$2000="Done"))&amp;"/"&amp;SUMPRODUCT(('Daily Checklist'!$D$2:$D$2000=$A36)*(TEXT('Daily Checklist'!$B$2:$B$2000,"yyyy-mm-dd")=TEXT(($B$4+13),"yyyy-mm-dd")))&amp;" ESC",SUMPRODUCT(('Daily Checklist'!$D$2:$D$2000=$A36)*(TEXT('Daily Checklist'!$B$2:$B$2000,"yyyy-mm-dd")=TEXT(($B$4+13),"yyyy-mm-dd"))*('Daily Checklist'!$F$2:$F$2000="Done"))&amp;"/"&amp;SUMPRODUCT(('Daily Checklist'!$D$2:$D$2000=$A36)*(TEXT('Daily Checklist'!$B$2:$B$2000,"yyyy-mm-dd")=TEXT(($B$4+13),"yyyy-mm-dd"))))))</f>
        <v/>
      </c>
      <c r="P36" s="25" t="str">
        <f aca="false">IF($A36="","",IF(SUMPRODUCT(('Daily Checklist'!$D$2:$D$2000=$A36)*(TEXT('Daily Checklist'!$B$2:$B$2000,"yyyy-mm-dd")=TEXT(($B$4+14),"yyyy-mm-dd")))=0,"-",IF(SUMPRODUCT(('Daily Checklist'!$D$2:$D$2000=$A36)*(TEXT('Daily Checklist'!$B$2:$B$2000,"yyyy-mm-dd")=TEXT(($B$4+14),"yyyy-mm-dd"))*('Daily Checklist'!$L$2:$L$2000="Y"))&gt;0,SUMPRODUCT(('Daily Checklist'!$D$2:$D$2000=$A36)*(TEXT('Daily Checklist'!$B$2:$B$2000,"yyyy-mm-dd")=TEXT(($B$4+14),"yyyy-mm-dd"))*('Daily Checklist'!$F$2:$F$2000="Done"))&amp;"/"&amp;SUMPRODUCT(('Daily Checklist'!$D$2:$D$2000=$A36)*(TEXT('Daily Checklist'!$B$2:$B$2000,"yyyy-mm-dd")=TEXT(($B$4+14),"yyyy-mm-dd")))&amp;" ESC",SUMPRODUCT(('Daily Checklist'!$D$2:$D$2000=$A36)*(TEXT('Daily Checklist'!$B$2:$B$2000,"yyyy-mm-dd")=TEXT(($B$4+14),"yyyy-mm-dd"))*('Daily Checklist'!$F$2:$F$2000="Done"))&amp;"/"&amp;SUMPRODUCT(('Daily Checklist'!$D$2:$D$2000=$A36)*(TEXT('Daily Checklist'!$B$2:$B$2000,"yyyy-mm-dd")=TEXT(($B$4+14),"yyyy-mm-dd"))))))</f>
        <v/>
      </c>
      <c r="Q36" s="25" t="str">
        <f aca="false">IF($A36="","",IF(SUMPRODUCT(('Daily Checklist'!$D$2:$D$2000=$A36)*(TEXT('Daily Checklist'!$B$2:$B$2000,"yyyy-mm-dd")=TEXT(($B$4+15),"yyyy-mm-dd")))=0,"-",IF(SUMPRODUCT(('Daily Checklist'!$D$2:$D$2000=$A36)*(TEXT('Daily Checklist'!$B$2:$B$2000,"yyyy-mm-dd")=TEXT(($B$4+15),"yyyy-mm-dd"))*('Daily Checklist'!$L$2:$L$2000="Y"))&gt;0,SUMPRODUCT(('Daily Checklist'!$D$2:$D$2000=$A36)*(TEXT('Daily Checklist'!$B$2:$B$2000,"yyyy-mm-dd")=TEXT(($B$4+15),"yyyy-mm-dd"))*('Daily Checklist'!$F$2:$F$2000="Done"))&amp;"/"&amp;SUMPRODUCT(('Daily Checklist'!$D$2:$D$2000=$A36)*(TEXT('Daily Checklist'!$B$2:$B$2000,"yyyy-mm-dd")=TEXT(($B$4+15),"yyyy-mm-dd")))&amp;" ESC",SUMPRODUCT(('Daily Checklist'!$D$2:$D$2000=$A36)*(TEXT('Daily Checklist'!$B$2:$B$2000,"yyyy-mm-dd")=TEXT(($B$4+15),"yyyy-mm-dd"))*('Daily Checklist'!$F$2:$F$2000="Done"))&amp;"/"&amp;SUMPRODUCT(('Daily Checklist'!$D$2:$D$2000=$A36)*(TEXT('Daily Checklist'!$B$2:$B$2000,"yyyy-mm-dd")=TEXT(($B$4+15),"yyyy-mm-dd"))))))</f>
        <v/>
      </c>
      <c r="R36" s="25" t="str">
        <f aca="false">IF($A36="","",IF(SUMPRODUCT(('Daily Checklist'!$D$2:$D$2000=$A36)*(TEXT('Daily Checklist'!$B$2:$B$2000,"yyyy-mm-dd")=TEXT(($B$4+16),"yyyy-mm-dd")))=0,"-",IF(SUMPRODUCT(('Daily Checklist'!$D$2:$D$2000=$A36)*(TEXT('Daily Checklist'!$B$2:$B$2000,"yyyy-mm-dd")=TEXT(($B$4+16),"yyyy-mm-dd"))*('Daily Checklist'!$L$2:$L$2000="Y"))&gt;0,SUMPRODUCT(('Daily Checklist'!$D$2:$D$2000=$A36)*(TEXT('Daily Checklist'!$B$2:$B$2000,"yyyy-mm-dd")=TEXT(($B$4+16),"yyyy-mm-dd"))*('Daily Checklist'!$F$2:$F$2000="Done"))&amp;"/"&amp;SUMPRODUCT(('Daily Checklist'!$D$2:$D$2000=$A36)*(TEXT('Daily Checklist'!$B$2:$B$2000,"yyyy-mm-dd")=TEXT(($B$4+16),"yyyy-mm-dd")))&amp;" ESC",SUMPRODUCT(('Daily Checklist'!$D$2:$D$2000=$A36)*(TEXT('Daily Checklist'!$B$2:$B$2000,"yyyy-mm-dd")=TEXT(($B$4+16),"yyyy-mm-dd"))*('Daily Checklist'!$F$2:$F$2000="Done"))&amp;"/"&amp;SUMPRODUCT(('Daily Checklist'!$D$2:$D$2000=$A36)*(TEXT('Daily Checklist'!$B$2:$B$2000,"yyyy-mm-dd")=TEXT(($B$4+16),"yyyy-mm-dd"))))))</f>
        <v/>
      </c>
      <c r="S36" s="25" t="str">
        <f aca="false">IF($A36="","",IF(SUMPRODUCT(('Daily Checklist'!$D$2:$D$2000=$A36)*(TEXT('Daily Checklist'!$B$2:$B$2000,"yyyy-mm-dd")=TEXT(($B$4+17),"yyyy-mm-dd")))=0,"-",IF(SUMPRODUCT(('Daily Checklist'!$D$2:$D$2000=$A36)*(TEXT('Daily Checklist'!$B$2:$B$2000,"yyyy-mm-dd")=TEXT(($B$4+17),"yyyy-mm-dd"))*('Daily Checklist'!$L$2:$L$2000="Y"))&gt;0,SUMPRODUCT(('Daily Checklist'!$D$2:$D$2000=$A36)*(TEXT('Daily Checklist'!$B$2:$B$2000,"yyyy-mm-dd")=TEXT(($B$4+17),"yyyy-mm-dd"))*('Daily Checklist'!$F$2:$F$2000="Done"))&amp;"/"&amp;SUMPRODUCT(('Daily Checklist'!$D$2:$D$2000=$A36)*(TEXT('Daily Checklist'!$B$2:$B$2000,"yyyy-mm-dd")=TEXT(($B$4+17),"yyyy-mm-dd")))&amp;" ESC",SUMPRODUCT(('Daily Checklist'!$D$2:$D$2000=$A36)*(TEXT('Daily Checklist'!$B$2:$B$2000,"yyyy-mm-dd")=TEXT(($B$4+17),"yyyy-mm-dd"))*('Daily Checklist'!$F$2:$F$2000="Done"))&amp;"/"&amp;SUMPRODUCT(('Daily Checklist'!$D$2:$D$2000=$A36)*(TEXT('Daily Checklist'!$B$2:$B$2000,"yyyy-mm-dd")=TEXT(($B$4+17),"yyyy-mm-dd"))))))</f>
        <v/>
      </c>
      <c r="T36" s="25" t="str">
        <f aca="false">IF($A36="","",IF(SUMPRODUCT(('Daily Checklist'!$D$2:$D$2000=$A36)*(TEXT('Daily Checklist'!$B$2:$B$2000,"yyyy-mm-dd")=TEXT(($B$4+18),"yyyy-mm-dd")))=0,"-",IF(SUMPRODUCT(('Daily Checklist'!$D$2:$D$2000=$A36)*(TEXT('Daily Checklist'!$B$2:$B$2000,"yyyy-mm-dd")=TEXT(($B$4+18),"yyyy-mm-dd"))*('Daily Checklist'!$L$2:$L$2000="Y"))&gt;0,SUMPRODUCT(('Daily Checklist'!$D$2:$D$2000=$A36)*(TEXT('Daily Checklist'!$B$2:$B$2000,"yyyy-mm-dd")=TEXT(($B$4+18),"yyyy-mm-dd"))*('Daily Checklist'!$F$2:$F$2000="Done"))&amp;"/"&amp;SUMPRODUCT(('Daily Checklist'!$D$2:$D$2000=$A36)*(TEXT('Daily Checklist'!$B$2:$B$2000,"yyyy-mm-dd")=TEXT(($B$4+18),"yyyy-mm-dd")))&amp;" ESC",SUMPRODUCT(('Daily Checklist'!$D$2:$D$2000=$A36)*(TEXT('Daily Checklist'!$B$2:$B$2000,"yyyy-mm-dd")=TEXT(($B$4+18),"yyyy-mm-dd"))*('Daily Checklist'!$F$2:$F$2000="Done"))&amp;"/"&amp;SUMPRODUCT(('Daily Checklist'!$D$2:$D$2000=$A36)*(TEXT('Daily Checklist'!$B$2:$B$2000,"yyyy-mm-dd")=TEXT(($B$4+18),"yyyy-mm-dd"))))))</f>
        <v/>
      </c>
      <c r="U36" s="25" t="str">
        <f aca="false">IF($A36="","",IF(SUMPRODUCT(('Daily Checklist'!$D$2:$D$2000=$A36)*(TEXT('Daily Checklist'!$B$2:$B$2000,"yyyy-mm-dd")=TEXT(($B$4+19),"yyyy-mm-dd")))=0,"-",IF(SUMPRODUCT(('Daily Checklist'!$D$2:$D$2000=$A36)*(TEXT('Daily Checklist'!$B$2:$B$2000,"yyyy-mm-dd")=TEXT(($B$4+19),"yyyy-mm-dd"))*('Daily Checklist'!$L$2:$L$2000="Y"))&gt;0,SUMPRODUCT(('Daily Checklist'!$D$2:$D$2000=$A36)*(TEXT('Daily Checklist'!$B$2:$B$2000,"yyyy-mm-dd")=TEXT(($B$4+19),"yyyy-mm-dd"))*('Daily Checklist'!$F$2:$F$2000="Done"))&amp;"/"&amp;SUMPRODUCT(('Daily Checklist'!$D$2:$D$2000=$A36)*(TEXT('Daily Checklist'!$B$2:$B$2000,"yyyy-mm-dd")=TEXT(($B$4+19),"yyyy-mm-dd")))&amp;" ESC",SUMPRODUCT(('Daily Checklist'!$D$2:$D$2000=$A36)*(TEXT('Daily Checklist'!$B$2:$B$2000,"yyyy-mm-dd")=TEXT(($B$4+19),"yyyy-mm-dd"))*('Daily Checklist'!$F$2:$F$2000="Done"))&amp;"/"&amp;SUMPRODUCT(('Daily Checklist'!$D$2:$D$2000=$A36)*(TEXT('Daily Checklist'!$B$2:$B$2000,"yyyy-mm-dd")=TEXT(($B$4+19),"yyyy-mm-dd"))))))</f>
        <v/>
      </c>
      <c r="V36" s="25" t="str">
        <f aca="false">IF($A36="","",IF(SUMPRODUCT(('Daily Checklist'!$D$2:$D$2000=$A36)*(TEXT('Daily Checklist'!$B$2:$B$2000,"yyyy-mm-dd")=TEXT(($B$4+20),"yyyy-mm-dd")))=0,"-",IF(SUMPRODUCT(('Daily Checklist'!$D$2:$D$2000=$A36)*(TEXT('Daily Checklist'!$B$2:$B$2000,"yyyy-mm-dd")=TEXT(($B$4+20),"yyyy-mm-dd"))*('Daily Checklist'!$L$2:$L$2000="Y"))&gt;0,SUMPRODUCT(('Daily Checklist'!$D$2:$D$2000=$A36)*(TEXT('Daily Checklist'!$B$2:$B$2000,"yyyy-mm-dd")=TEXT(($B$4+20),"yyyy-mm-dd"))*('Daily Checklist'!$F$2:$F$2000="Done"))&amp;"/"&amp;SUMPRODUCT(('Daily Checklist'!$D$2:$D$2000=$A36)*(TEXT('Daily Checklist'!$B$2:$B$2000,"yyyy-mm-dd")=TEXT(($B$4+20),"yyyy-mm-dd")))&amp;" ESC",SUMPRODUCT(('Daily Checklist'!$D$2:$D$2000=$A36)*(TEXT('Daily Checklist'!$B$2:$B$2000,"yyyy-mm-dd")=TEXT(($B$4+20),"yyyy-mm-dd"))*('Daily Checklist'!$F$2:$F$2000="Done"))&amp;"/"&amp;SUMPRODUCT(('Daily Checklist'!$D$2:$D$2000=$A36)*(TEXT('Daily Checklist'!$B$2:$B$2000,"yyyy-mm-dd")=TEXT(($B$4+20),"yyyy-mm-dd"))))))</f>
        <v/>
      </c>
      <c r="W36" s="25" t="str">
        <f aca="false">IF($A36="","",IF(SUMPRODUCT(('Daily Checklist'!$D$2:$D$2000=$A36)*(TEXT('Daily Checklist'!$B$2:$B$2000,"yyyy-mm-dd")=TEXT(($B$4+21),"yyyy-mm-dd")))=0,"-",IF(SUMPRODUCT(('Daily Checklist'!$D$2:$D$2000=$A36)*(TEXT('Daily Checklist'!$B$2:$B$2000,"yyyy-mm-dd")=TEXT(($B$4+21),"yyyy-mm-dd"))*('Daily Checklist'!$L$2:$L$2000="Y"))&gt;0,SUMPRODUCT(('Daily Checklist'!$D$2:$D$2000=$A36)*(TEXT('Daily Checklist'!$B$2:$B$2000,"yyyy-mm-dd")=TEXT(($B$4+21),"yyyy-mm-dd"))*('Daily Checklist'!$F$2:$F$2000="Done"))&amp;"/"&amp;SUMPRODUCT(('Daily Checklist'!$D$2:$D$2000=$A36)*(TEXT('Daily Checklist'!$B$2:$B$2000,"yyyy-mm-dd")=TEXT(($B$4+21),"yyyy-mm-dd")))&amp;" ESC",SUMPRODUCT(('Daily Checklist'!$D$2:$D$2000=$A36)*(TEXT('Daily Checklist'!$B$2:$B$2000,"yyyy-mm-dd")=TEXT(($B$4+21),"yyyy-mm-dd"))*('Daily Checklist'!$F$2:$F$2000="Done"))&amp;"/"&amp;SUMPRODUCT(('Daily Checklist'!$D$2:$D$2000=$A36)*(TEXT('Daily Checklist'!$B$2:$B$2000,"yyyy-mm-dd")=TEXT(($B$4+21),"yyyy-mm-dd"))))))</f>
        <v/>
      </c>
      <c r="X36" s="25" t="str">
        <f aca="false">IF($A36="","",IF(SUMPRODUCT(('Daily Checklist'!$D$2:$D$2000=$A36)*(TEXT('Daily Checklist'!$B$2:$B$2000,"yyyy-mm-dd")=TEXT(($B$4+22),"yyyy-mm-dd")))=0,"-",IF(SUMPRODUCT(('Daily Checklist'!$D$2:$D$2000=$A36)*(TEXT('Daily Checklist'!$B$2:$B$2000,"yyyy-mm-dd")=TEXT(($B$4+22),"yyyy-mm-dd"))*('Daily Checklist'!$L$2:$L$2000="Y"))&gt;0,SUMPRODUCT(('Daily Checklist'!$D$2:$D$2000=$A36)*(TEXT('Daily Checklist'!$B$2:$B$2000,"yyyy-mm-dd")=TEXT(($B$4+22),"yyyy-mm-dd"))*('Daily Checklist'!$F$2:$F$2000="Done"))&amp;"/"&amp;SUMPRODUCT(('Daily Checklist'!$D$2:$D$2000=$A36)*(TEXT('Daily Checklist'!$B$2:$B$2000,"yyyy-mm-dd")=TEXT(($B$4+22),"yyyy-mm-dd")))&amp;" ESC",SUMPRODUCT(('Daily Checklist'!$D$2:$D$2000=$A36)*(TEXT('Daily Checklist'!$B$2:$B$2000,"yyyy-mm-dd")=TEXT(($B$4+22),"yyyy-mm-dd"))*('Daily Checklist'!$F$2:$F$2000="Done"))&amp;"/"&amp;SUMPRODUCT(('Daily Checklist'!$D$2:$D$2000=$A36)*(TEXT('Daily Checklist'!$B$2:$B$2000,"yyyy-mm-dd")=TEXT(($B$4+22),"yyyy-mm-dd"))))))</f>
        <v/>
      </c>
      <c r="Y36" s="25" t="str">
        <f aca="false">IF($A36="","",IF(SUMPRODUCT(('Daily Checklist'!$D$2:$D$2000=$A36)*(TEXT('Daily Checklist'!$B$2:$B$2000,"yyyy-mm-dd")=TEXT(($B$4+23),"yyyy-mm-dd")))=0,"-",IF(SUMPRODUCT(('Daily Checklist'!$D$2:$D$2000=$A36)*(TEXT('Daily Checklist'!$B$2:$B$2000,"yyyy-mm-dd")=TEXT(($B$4+23),"yyyy-mm-dd"))*('Daily Checklist'!$L$2:$L$2000="Y"))&gt;0,SUMPRODUCT(('Daily Checklist'!$D$2:$D$2000=$A36)*(TEXT('Daily Checklist'!$B$2:$B$2000,"yyyy-mm-dd")=TEXT(($B$4+23),"yyyy-mm-dd"))*('Daily Checklist'!$F$2:$F$2000="Done"))&amp;"/"&amp;SUMPRODUCT(('Daily Checklist'!$D$2:$D$2000=$A36)*(TEXT('Daily Checklist'!$B$2:$B$2000,"yyyy-mm-dd")=TEXT(($B$4+23),"yyyy-mm-dd")))&amp;" ESC",SUMPRODUCT(('Daily Checklist'!$D$2:$D$2000=$A36)*(TEXT('Daily Checklist'!$B$2:$B$2000,"yyyy-mm-dd")=TEXT(($B$4+23),"yyyy-mm-dd"))*('Daily Checklist'!$F$2:$F$2000="Done"))&amp;"/"&amp;SUMPRODUCT(('Daily Checklist'!$D$2:$D$2000=$A36)*(TEXT('Daily Checklist'!$B$2:$B$2000,"yyyy-mm-dd")=TEXT(($B$4+23),"yyyy-mm-dd"))))))</f>
        <v/>
      </c>
      <c r="Z36" s="25" t="str">
        <f aca="false">IF($A36="","",IF(SUMPRODUCT(('Daily Checklist'!$D$2:$D$2000=$A36)*(TEXT('Daily Checklist'!$B$2:$B$2000,"yyyy-mm-dd")=TEXT(($B$4+24),"yyyy-mm-dd")))=0,"-",IF(SUMPRODUCT(('Daily Checklist'!$D$2:$D$2000=$A36)*(TEXT('Daily Checklist'!$B$2:$B$2000,"yyyy-mm-dd")=TEXT(($B$4+24),"yyyy-mm-dd"))*('Daily Checklist'!$L$2:$L$2000="Y"))&gt;0,SUMPRODUCT(('Daily Checklist'!$D$2:$D$2000=$A36)*(TEXT('Daily Checklist'!$B$2:$B$2000,"yyyy-mm-dd")=TEXT(($B$4+24),"yyyy-mm-dd"))*('Daily Checklist'!$F$2:$F$2000="Done"))&amp;"/"&amp;SUMPRODUCT(('Daily Checklist'!$D$2:$D$2000=$A36)*(TEXT('Daily Checklist'!$B$2:$B$2000,"yyyy-mm-dd")=TEXT(($B$4+24),"yyyy-mm-dd")))&amp;" ESC",SUMPRODUCT(('Daily Checklist'!$D$2:$D$2000=$A36)*(TEXT('Daily Checklist'!$B$2:$B$2000,"yyyy-mm-dd")=TEXT(($B$4+24),"yyyy-mm-dd"))*('Daily Checklist'!$F$2:$F$2000="Done"))&amp;"/"&amp;SUMPRODUCT(('Daily Checklist'!$D$2:$D$2000=$A36)*(TEXT('Daily Checklist'!$B$2:$B$2000,"yyyy-mm-dd")=TEXT(($B$4+24),"yyyy-mm-dd"))))))</f>
        <v/>
      </c>
      <c r="AA36" s="25" t="str">
        <f aca="false">IF($A36="","",IF(SUMPRODUCT(('Daily Checklist'!$D$2:$D$2000=$A36)*(TEXT('Daily Checklist'!$B$2:$B$2000,"yyyy-mm-dd")=TEXT(($B$4+25),"yyyy-mm-dd")))=0,"-",IF(SUMPRODUCT(('Daily Checklist'!$D$2:$D$2000=$A36)*(TEXT('Daily Checklist'!$B$2:$B$2000,"yyyy-mm-dd")=TEXT(($B$4+25),"yyyy-mm-dd"))*('Daily Checklist'!$L$2:$L$2000="Y"))&gt;0,SUMPRODUCT(('Daily Checklist'!$D$2:$D$2000=$A36)*(TEXT('Daily Checklist'!$B$2:$B$2000,"yyyy-mm-dd")=TEXT(($B$4+25),"yyyy-mm-dd"))*('Daily Checklist'!$F$2:$F$2000="Done"))&amp;"/"&amp;SUMPRODUCT(('Daily Checklist'!$D$2:$D$2000=$A36)*(TEXT('Daily Checklist'!$B$2:$B$2000,"yyyy-mm-dd")=TEXT(($B$4+25),"yyyy-mm-dd")))&amp;" ESC",SUMPRODUCT(('Daily Checklist'!$D$2:$D$2000=$A36)*(TEXT('Daily Checklist'!$B$2:$B$2000,"yyyy-mm-dd")=TEXT(($B$4+25),"yyyy-mm-dd"))*('Daily Checklist'!$F$2:$F$2000="Done"))&amp;"/"&amp;SUMPRODUCT(('Daily Checklist'!$D$2:$D$2000=$A36)*(TEXT('Daily Checklist'!$B$2:$B$2000,"yyyy-mm-dd")=TEXT(($B$4+25),"yyyy-mm-dd"))))))</f>
        <v/>
      </c>
      <c r="AB36" s="25" t="str">
        <f aca="false">IF($A36="","",IF(SUMPRODUCT(('Daily Checklist'!$D$2:$D$2000=$A36)*(TEXT('Daily Checklist'!$B$2:$B$2000,"yyyy-mm-dd")=TEXT(($B$4+26),"yyyy-mm-dd")))=0,"-",IF(SUMPRODUCT(('Daily Checklist'!$D$2:$D$2000=$A36)*(TEXT('Daily Checklist'!$B$2:$B$2000,"yyyy-mm-dd")=TEXT(($B$4+26),"yyyy-mm-dd"))*('Daily Checklist'!$L$2:$L$2000="Y"))&gt;0,SUMPRODUCT(('Daily Checklist'!$D$2:$D$2000=$A36)*(TEXT('Daily Checklist'!$B$2:$B$2000,"yyyy-mm-dd")=TEXT(($B$4+26),"yyyy-mm-dd"))*('Daily Checklist'!$F$2:$F$2000="Done"))&amp;"/"&amp;SUMPRODUCT(('Daily Checklist'!$D$2:$D$2000=$A36)*(TEXT('Daily Checklist'!$B$2:$B$2000,"yyyy-mm-dd")=TEXT(($B$4+26),"yyyy-mm-dd")))&amp;" ESC",SUMPRODUCT(('Daily Checklist'!$D$2:$D$2000=$A36)*(TEXT('Daily Checklist'!$B$2:$B$2000,"yyyy-mm-dd")=TEXT(($B$4+26),"yyyy-mm-dd"))*('Daily Checklist'!$F$2:$F$2000="Done"))&amp;"/"&amp;SUMPRODUCT(('Daily Checklist'!$D$2:$D$2000=$A36)*(TEXT('Daily Checklist'!$B$2:$B$2000,"yyyy-mm-dd")=TEXT(($B$4+26),"yyyy-mm-dd"))))))</f>
        <v/>
      </c>
      <c r="AC36" s="25" t="str">
        <f aca="false">IF($A36="","",IF(SUMPRODUCT(('Daily Checklist'!$D$2:$D$2000=$A36)*(TEXT('Daily Checklist'!$B$2:$B$2000,"yyyy-mm-dd")=TEXT(($B$4+27),"yyyy-mm-dd")))=0,"-",IF(SUMPRODUCT(('Daily Checklist'!$D$2:$D$2000=$A36)*(TEXT('Daily Checklist'!$B$2:$B$2000,"yyyy-mm-dd")=TEXT(($B$4+27),"yyyy-mm-dd"))*('Daily Checklist'!$L$2:$L$2000="Y"))&gt;0,SUMPRODUCT(('Daily Checklist'!$D$2:$D$2000=$A36)*(TEXT('Daily Checklist'!$B$2:$B$2000,"yyyy-mm-dd")=TEXT(($B$4+27),"yyyy-mm-dd"))*('Daily Checklist'!$F$2:$F$2000="Done"))&amp;"/"&amp;SUMPRODUCT(('Daily Checklist'!$D$2:$D$2000=$A36)*(TEXT('Daily Checklist'!$B$2:$B$2000,"yyyy-mm-dd")=TEXT(($B$4+27),"yyyy-mm-dd")))&amp;" ESC",SUMPRODUCT(('Daily Checklist'!$D$2:$D$2000=$A36)*(TEXT('Daily Checklist'!$B$2:$B$2000,"yyyy-mm-dd")=TEXT(($B$4+27),"yyyy-mm-dd"))*('Daily Checklist'!$F$2:$F$2000="Done"))&amp;"/"&amp;SUMPRODUCT(('Daily Checklist'!$D$2:$D$2000=$A36)*(TEXT('Daily Checklist'!$B$2:$B$2000,"yyyy-mm-dd")=TEXT(($B$4+27),"yyyy-mm-dd"))))))</f>
        <v/>
      </c>
      <c r="AD36" s="25" t="str">
        <f aca="false">IF($A36="","",IF(SUMPRODUCT(('Daily Checklist'!$D$2:$D$2000=$A36)*(TEXT('Daily Checklist'!$B$2:$B$2000,"yyyy-mm-dd")=TEXT(($B$4+28),"yyyy-mm-dd")))=0,"-",IF(SUMPRODUCT(('Daily Checklist'!$D$2:$D$2000=$A36)*(TEXT('Daily Checklist'!$B$2:$B$2000,"yyyy-mm-dd")=TEXT(($B$4+28),"yyyy-mm-dd"))*('Daily Checklist'!$L$2:$L$2000="Y"))&gt;0,SUMPRODUCT(('Daily Checklist'!$D$2:$D$2000=$A36)*(TEXT('Daily Checklist'!$B$2:$B$2000,"yyyy-mm-dd")=TEXT(($B$4+28),"yyyy-mm-dd"))*('Daily Checklist'!$F$2:$F$2000="Done"))&amp;"/"&amp;SUMPRODUCT(('Daily Checklist'!$D$2:$D$2000=$A36)*(TEXT('Daily Checklist'!$B$2:$B$2000,"yyyy-mm-dd")=TEXT(($B$4+28),"yyyy-mm-dd")))&amp;" ESC",SUMPRODUCT(('Daily Checklist'!$D$2:$D$2000=$A36)*(TEXT('Daily Checklist'!$B$2:$B$2000,"yyyy-mm-dd")=TEXT(($B$4+28),"yyyy-mm-dd"))*('Daily Checklist'!$F$2:$F$2000="Done"))&amp;"/"&amp;SUMPRODUCT(('Daily Checklist'!$D$2:$D$2000=$A36)*(TEXT('Daily Checklist'!$B$2:$B$2000,"yyyy-mm-dd")=TEXT(($B$4+28),"yyyy-mm-dd"))))))</f>
        <v/>
      </c>
      <c r="AE36" s="25" t="str">
        <f aca="false">IF($A36="","",IF(SUMPRODUCT(('Daily Checklist'!$D$2:$D$2000=$A36)*(TEXT('Daily Checklist'!$B$2:$B$2000,"yyyy-mm-dd")=TEXT(($B$4+29),"yyyy-mm-dd")))=0,"-",IF(SUMPRODUCT(('Daily Checklist'!$D$2:$D$2000=$A36)*(TEXT('Daily Checklist'!$B$2:$B$2000,"yyyy-mm-dd")=TEXT(($B$4+29),"yyyy-mm-dd"))*('Daily Checklist'!$L$2:$L$2000="Y"))&gt;0,SUMPRODUCT(('Daily Checklist'!$D$2:$D$2000=$A36)*(TEXT('Daily Checklist'!$B$2:$B$2000,"yyyy-mm-dd")=TEXT(($B$4+29),"yyyy-mm-dd"))*('Daily Checklist'!$F$2:$F$2000="Done"))&amp;"/"&amp;SUMPRODUCT(('Daily Checklist'!$D$2:$D$2000=$A36)*(TEXT('Daily Checklist'!$B$2:$B$2000,"yyyy-mm-dd")=TEXT(($B$4+29),"yyyy-mm-dd")))&amp;" ESC",SUMPRODUCT(('Daily Checklist'!$D$2:$D$2000=$A36)*(TEXT('Daily Checklist'!$B$2:$B$2000,"yyyy-mm-dd")=TEXT(($B$4+29),"yyyy-mm-dd"))*('Daily Checklist'!$F$2:$F$2000="Done"))&amp;"/"&amp;SUMPRODUCT(('Daily Checklist'!$D$2:$D$2000=$A36)*(TEXT('Daily Checklist'!$B$2:$B$2000,"yyyy-mm-dd")=TEXT(($B$4+29),"yyyy-mm-dd"))))))</f>
        <v/>
      </c>
      <c r="AF36" s="25" t="str">
        <f aca="false">IF($A36="","",IF(SUMPRODUCT(('Daily Checklist'!$D$2:$D$2000=$A36)*(TEXT('Daily Checklist'!$B$2:$B$2000,"yyyy-mm-dd")=TEXT(($B$4+30),"yyyy-mm-dd")))=0,"-",IF(SUMPRODUCT(('Daily Checklist'!$D$2:$D$2000=$A36)*(TEXT('Daily Checklist'!$B$2:$B$2000,"yyyy-mm-dd")=TEXT(($B$4+30),"yyyy-mm-dd"))*('Daily Checklist'!$L$2:$L$2000="Y"))&gt;0,SUMPRODUCT(('Daily Checklist'!$D$2:$D$2000=$A36)*(TEXT('Daily Checklist'!$B$2:$B$2000,"yyyy-mm-dd")=TEXT(($B$4+30),"yyyy-mm-dd"))*('Daily Checklist'!$F$2:$F$2000="Done"))&amp;"/"&amp;SUMPRODUCT(('Daily Checklist'!$D$2:$D$2000=$A36)*(TEXT('Daily Checklist'!$B$2:$B$2000,"yyyy-mm-dd")=TEXT(($B$4+30),"yyyy-mm-dd")))&amp;" ESC",SUMPRODUCT(('Daily Checklist'!$D$2:$D$2000=$A36)*(TEXT('Daily Checklist'!$B$2:$B$2000,"yyyy-mm-dd")=TEXT(($B$4+30),"yyyy-mm-dd"))*('Daily Checklist'!$F$2:$F$2000="Done"))&amp;"/"&amp;SUMPRODUCT(('Daily Checklist'!$D$2:$D$2000=$A36)*(TEXT('Daily Checklist'!$B$2:$B$2000,"yyyy-mm-dd")=TEXT(($B$4+30),"yyyy-mm-dd"))))))</f>
        <v/>
      </c>
    </row>
    <row r="37" customFormat="false" ht="15" hidden="false" customHeight="true" outlineLevel="0" collapsed="false">
      <c r="A37" s="24" t="str">
        <f aca="false">IFERROR(IF(Employees!A32="","",Employees!A32),"")</f>
        <v/>
      </c>
      <c r="B37" s="25" t="str">
        <f aca="false">IF($A37="","",IF(SUMPRODUCT(('Daily Checklist'!$D$2:$D$2000=$A37)*(TEXT('Daily Checklist'!$B$2:$B$2000,"yyyy-mm-dd")=TEXT(($B$4+0),"yyyy-mm-dd")))=0,"-",IF(SUMPRODUCT(('Daily Checklist'!$D$2:$D$2000=$A37)*(TEXT('Daily Checklist'!$B$2:$B$2000,"yyyy-mm-dd")=TEXT(($B$4+0),"yyyy-mm-dd"))*('Daily Checklist'!$L$2:$L$2000="Y"))&gt;0,SUMPRODUCT(('Daily Checklist'!$D$2:$D$2000=$A37)*(TEXT('Daily Checklist'!$B$2:$B$2000,"yyyy-mm-dd")=TEXT(($B$4+0),"yyyy-mm-dd"))*('Daily Checklist'!$F$2:$F$2000="Done"))&amp;"/"&amp;SUMPRODUCT(('Daily Checklist'!$D$2:$D$2000=$A37)*(TEXT('Daily Checklist'!$B$2:$B$2000,"yyyy-mm-dd")=TEXT(($B$4+0),"yyyy-mm-dd")))&amp;" ESC",SUMPRODUCT(('Daily Checklist'!$D$2:$D$2000=$A37)*(TEXT('Daily Checklist'!$B$2:$B$2000,"yyyy-mm-dd")=TEXT(($B$4+0),"yyyy-mm-dd"))*('Daily Checklist'!$F$2:$F$2000="Done"))&amp;"/"&amp;SUMPRODUCT(('Daily Checklist'!$D$2:$D$2000=$A37)*(TEXT('Daily Checklist'!$B$2:$B$2000,"yyyy-mm-dd")=TEXT(($B$4+0),"yyyy-mm-dd"))))))</f>
        <v/>
      </c>
      <c r="C37" s="25" t="str">
        <f aca="false">IF($A37="","",IF(SUMPRODUCT(('Daily Checklist'!$D$2:$D$2000=$A37)*(TEXT('Daily Checklist'!$B$2:$B$2000,"yyyy-mm-dd")=TEXT(($B$4+1),"yyyy-mm-dd")))=0,"-",IF(SUMPRODUCT(('Daily Checklist'!$D$2:$D$2000=$A37)*(TEXT('Daily Checklist'!$B$2:$B$2000,"yyyy-mm-dd")=TEXT(($B$4+1),"yyyy-mm-dd"))*('Daily Checklist'!$L$2:$L$2000="Y"))&gt;0,SUMPRODUCT(('Daily Checklist'!$D$2:$D$2000=$A37)*(TEXT('Daily Checklist'!$B$2:$B$2000,"yyyy-mm-dd")=TEXT(($B$4+1),"yyyy-mm-dd"))*('Daily Checklist'!$F$2:$F$2000="Done"))&amp;"/"&amp;SUMPRODUCT(('Daily Checklist'!$D$2:$D$2000=$A37)*(TEXT('Daily Checklist'!$B$2:$B$2000,"yyyy-mm-dd")=TEXT(($B$4+1),"yyyy-mm-dd")))&amp;" ESC",SUMPRODUCT(('Daily Checklist'!$D$2:$D$2000=$A37)*(TEXT('Daily Checklist'!$B$2:$B$2000,"yyyy-mm-dd")=TEXT(($B$4+1),"yyyy-mm-dd"))*('Daily Checklist'!$F$2:$F$2000="Done"))&amp;"/"&amp;SUMPRODUCT(('Daily Checklist'!$D$2:$D$2000=$A37)*(TEXT('Daily Checklist'!$B$2:$B$2000,"yyyy-mm-dd")=TEXT(($B$4+1),"yyyy-mm-dd"))))))</f>
        <v/>
      </c>
      <c r="D37" s="25" t="str">
        <f aca="false">IF($A37="","",IF(SUMPRODUCT(('Daily Checklist'!$D$2:$D$2000=$A37)*(TEXT('Daily Checklist'!$B$2:$B$2000,"yyyy-mm-dd")=TEXT(($B$4+2),"yyyy-mm-dd")))=0,"-",IF(SUMPRODUCT(('Daily Checklist'!$D$2:$D$2000=$A37)*(TEXT('Daily Checklist'!$B$2:$B$2000,"yyyy-mm-dd")=TEXT(($B$4+2),"yyyy-mm-dd"))*('Daily Checklist'!$L$2:$L$2000="Y"))&gt;0,SUMPRODUCT(('Daily Checklist'!$D$2:$D$2000=$A37)*(TEXT('Daily Checklist'!$B$2:$B$2000,"yyyy-mm-dd")=TEXT(($B$4+2),"yyyy-mm-dd"))*('Daily Checklist'!$F$2:$F$2000="Done"))&amp;"/"&amp;SUMPRODUCT(('Daily Checklist'!$D$2:$D$2000=$A37)*(TEXT('Daily Checklist'!$B$2:$B$2000,"yyyy-mm-dd")=TEXT(($B$4+2),"yyyy-mm-dd")))&amp;" ESC",SUMPRODUCT(('Daily Checklist'!$D$2:$D$2000=$A37)*(TEXT('Daily Checklist'!$B$2:$B$2000,"yyyy-mm-dd")=TEXT(($B$4+2),"yyyy-mm-dd"))*('Daily Checklist'!$F$2:$F$2000="Done"))&amp;"/"&amp;SUMPRODUCT(('Daily Checklist'!$D$2:$D$2000=$A37)*(TEXT('Daily Checklist'!$B$2:$B$2000,"yyyy-mm-dd")=TEXT(($B$4+2),"yyyy-mm-dd"))))))</f>
        <v/>
      </c>
      <c r="E37" s="25" t="str">
        <f aca="false">IF($A37="","",IF(SUMPRODUCT(('Daily Checklist'!$D$2:$D$2000=$A37)*(TEXT('Daily Checklist'!$B$2:$B$2000,"yyyy-mm-dd")=TEXT(($B$4+3),"yyyy-mm-dd")))=0,"-",IF(SUMPRODUCT(('Daily Checklist'!$D$2:$D$2000=$A37)*(TEXT('Daily Checklist'!$B$2:$B$2000,"yyyy-mm-dd")=TEXT(($B$4+3),"yyyy-mm-dd"))*('Daily Checklist'!$L$2:$L$2000="Y"))&gt;0,SUMPRODUCT(('Daily Checklist'!$D$2:$D$2000=$A37)*(TEXT('Daily Checklist'!$B$2:$B$2000,"yyyy-mm-dd")=TEXT(($B$4+3),"yyyy-mm-dd"))*('Daily Checklist'!$F$2:$F$2000="Done"))&amp;"/"&amp;SUMPRODUCT(('Daily Checklist'!$D$2:$D$2000=$A37)*(TEXT('Daily Checklist'!$B$2:$B$2000,"yyyy-mm-dd")=TEXT(($B$4+3),"yyyy-mm-dd")))&amp;" ESC",SUMPRODUCT(('Daily Checklist'!$D$2:$D$2000=$A37)*(TEXT('Daily Checklist'!$B$2:$B$2000,"yyyy-mm-dd")=TEXT(($B$4+3),"yyyy-mm-dd"))*('Daily Checklist'!$F$2:$F$2000="Done"))&amp;"/"&amp;SUMPRODUCT(('Daily Checklist'!$D$2:$D$2000=$A37)*(TEXT('Daily Checklist'!$B$2:$B$2000,"yyyy-mm-dd")=TEXT(($B$4+3),"yyyy-mm-dd"))))))</f>
        <v/>
      </c>
      <c r="F37" s="25" t="str">
        <f aca="false">IF($A37="","",IF(SUMPRODUCT(('Daily Checklist'!$D$2:$D$2000=$A37)*(TEXT('Daily Checklist'!$B$2:$B$2000,"yyyy-mm-dd")=TEXT(($B$4+4),"yyyy-mm-dd")))=0,"-",IF(SUMPRODUCT(('Daily Checklist'!$D$2:$D$2000=$A37)*(TEXT('Daily Checklist'!$B$2:$B$2000,"yyyy-mm-dd")=TEXT(($B$4+4),"yyyy-mm-dd"))*('Daily Checklist'!$L$2:$L$2000="Y"))&gt;0,SUMPRODUCT(('Daily Checklist'!$D$2:$D$2000=$A37)*(TEXT('Daily Checklist'!$B$2:$B$2000,"yyyy-mm-dd")=TEXT(($B$4+4),"yyyy-mm-dd"))*('Daily Checklist'!$F$2:$F$2000="Done"))&amp;"/"&amp;SUMPRODUCT(('Daily Checklist'!$D$2:$D$2000=$A37)*(TEXT('Daily Checklist'!$B$2:$B$2000,"yyyy-mm-dd")=TEXT(($B$4+4),"yyyy-mm-dd")))&amp;" ESC",SUMPRODUCT(('Daily Checklist'!$D$2:$D$2000=$A37)*(TEXT('Daily Checklist'!$B$2:$B$2000,"yyyy-mm-dd")=TEXT(($B$4+4),"yyyy-mm-dd"))*('Daily Checklist'!$F$2:$F$2000="Done"))&amp;"/"&amp;SUMPRODUCT(('Daily Checklist'!$D$2:$D$2000=$A37)*(TEXT('Daily Checklist'!$B$2:$B$2000,"yyyy-mm-dd")=TEXT(($B$4+4),"yyyy-mm-dd"))))))</f>
        <v/>
      </c>
      <c r="G37" s="25" t="str">
        <f aca="false">IF($A37="","",IF(SUMPRODUCT(('Daily Checklist'!$D$2:$D$2000=$A37)*(TEXT('Daily Checklist'!$B$2:$B$2000,"yyyy-mm-dd")=TEXT(($B$4+5),"yyyy-mm-dd")))=0,"-",IF(SUMPRODUCT(('Daily Checklist'!$D$2:$D$2000=$A37)*(TEXT('Daily Checklist'!$B$2:$B$2000,"yyyy-mm-dd")=TEXT(($B$4+5),"yyyy-mm-dd"))*('Daily Checklist'!$L$2:$L$2000="Y"))&gt;0,SUMPRODUCT(('Daily Checklist'!$D$2:$D$2000=$A37)*(TEXT('Daily Checklist'!$B$2:$B$2000,"yyyy-mm-dd")=TEXT(($B$4+5),"yyyy-mm-dd"))*('Daily Checklist'!$F$2:$F$2000="Done"))&amp;"/"&amp;SUMPRODUCT(('Daily Checklist'!$D$2:$D$2000=$A37)*(TEXT('Daily Checklist'!$B$2:$B$2000,"yyyy-mm-dd")=TEXT(($B$4+5),"yyyy-mm-dd")))&amp;" ESC",SUMPRODUCT(('Daily Checklist'!$D$2:$D$2000=$A37)*(TEXT('Daily Checklist'!$B$2:$B$2000,"yyyy-mm-dd")=TEXT(($B$4+5),"yyyy-mm-dd"))*('Daily Checklist'!$F$2:$F$2000="Done"))&amp;"/"&amp;SUMPRODUCT(('Daily Checklist'!$D$2:$D$2000=$A37)*(TEXT('Daily Checklist'!$B$2:$B$2000,"yyyy-mm-dd")=TEXT(($B$4+5),"yyyy-mm-dd"))))))</f>
        <v/>
      </c>
      <c r="H37" s="25" t="str">
        <f aca="false">IF($A37="","",IF(SUMPRODUCT(('Daily Checklist'!$D$2:$D$2000=$A37)*(TEXT('Daily Checklist'!$B$2:$B$2000,"yyyy-mm-dd")=TEXT(($B$4+6),"yyyy-mm-dd")))=0,"-",IF(SUMPRODUCT(('Daily Checklist'!$D$2:$D$2000=$A37)*(TEXT('Daily Checklist'!$B$2:$B$2000,"yyyy-mm-dd")=TEXT(($B$4+6),"yyyy-mm-dd"))*('Daily Checklist'!$L$2:$L$2000="Y"))&gt;0,SUMPRODUCT(('Daily Checklist'!$D$2:$D$2000=$A37)*(TEXT('Daily Checklist'!$B$2:$B$2000,"yyyy-mm-dd")=TEXT(($B$4+6),"yyyy-mm-dd"))*('Daily Checklist'!$F$2:$F$2000="Done"))&amp;"/"&amp;SUMPRODUCT(('Daily Checklist'!$D$2:$D$2000=$A37)*(TEXT('Daily Checklist'!$B$2:$B$2000,"yyyy-mm-dd")=TEXT(($B$4+6),"yyyy-mm-dd")))&amp;" ESC",SUMPRODUCT(('Daily Checklist'!$D$2:$D$2000=$A37)*(TEXT('Daily Checklist'!$B$2:$B$2000,"yyyy-mm-dd")=TEXT(($B$4+6),"yyyy-mm-dd"))*('Daily Checklist'!$F$2:$F$2000="Done"))&amp;"/"&amp;SUMPRODUCT(('Daily Checklist'!$D$2:$D$2000=$A37)*(TEXT('Daily Checklist'!$B$2:$B$2000,"yyyy-mm-dd")=TEXT(($B$4+6),"yyyy-mm-dd"))))))</f>
        <v/>
      </c>
      <c r="I37" s="25" t="str">
        <f aca="false">IF($A37="","",IF(SUMPRODUCT(('Daily Checklist'!$D$2:$D$2000=$A37)*(TEXT('Daily Checklist'!$B$2:$B$2000,"yyyy-mm-dd")=TEXT(($B$4+7),"yyyy-mm-dd")))=0,"-",IF(SUMPRODUCT(('Daily Checklist'!$D$2:$D$2000=$A37)*(TEXT('Daily Checklist'!$B$2:$B$2000,"yyyy-mm-dd")=TEXT(($B$4+7),"yyyy-mm-dd"))*('Daily Checklist'!$L$2:$L$2000="Y"))&gt;0,SUMPRODUCT(('Daily Checklist'!$D$2:$D$2000=$A37)*(TEXT('Daily Checklist'!$B$2:$B$2000,"yyyy-mm-dd")=TEXT(($B$4+7),"yyyy-mm-dd"))*('Daily Checklist'!$F$2:$F$2000="Done"))&amp;"/"&amp;SUMPRODUCT(('Daily Checklist'!$D$2:$D$2000=$A37)*(TEXT('Daily Checklist'!$B$2:$B$2000,"yyyy-mm-dd")=TEXT(($B$4+7),"yyyy-mm-dd")))&amp;" ESC",SUMPRODUCT(('Daily Checklist'!$D$2:$D$2000=$A37)*(TEXT('Daily Checklist'!$B$2:$B$2000,"yyyy-mm-dd")=TEXT(($B$4+7),"yyyy-mm-dd"))*('Daily Checklist'!$F$2:$F$2000="Done"))&amp;"/"&amp;SUMPRODUCT(('Daily Checklist'!$D$2:$D$2000=$A37)*(TEXT('Daily Checklist'!$B$2:$B$2000,"yyyy-mm-dd")=TEXT(($B$4+7),"yyyy-mm-dd"))))))</f>
        <v/>
      </c>
      <c r="J37" s="25" t="str">
        <f aca="false">IF($A37="","",IF(SUMPRODUCT(('Daily Checklist'!$D$2:$D$2000=$A37)*(TEXT('Daily Checklist'!$B$2:$B$2000,"yyyy-mm-dd")=TEXT(($B$4+8),"yyyy-mm-dd")))=0,"-",IF(SUMPRODUCT(('Daily Checklist'!$D$2:$D$2000=$A37)*(TEXT('Daily Checklist'!$B$2:$B$2000,"yyyy-mm-dd")=TEXT(($B$4+8),"yyyy-mm-dd"))*('Daily Checklist'!$L$2:$L$2000="Y"))&gt;0,SUMPRODUCT(('Daily Checklist'!$D$2:$D$2000=$A37)*(TEXT('Daily Checklist'!$B$2:$B$2000,"yyyy-mm-dd")=TEXT(($B$4+8),"yyyy-mm-dd"))*('Daily Checklist'!$F$2:$F$2000="Done"))&amp;"/"&amp;SUMPRODUCT(('Daily Checklist'!$D$2:$D$2000=$A37)*(TEXT('Daily Checklist'!$B$2:$B$2000,"yyyy-mm-dd")=TEXT(($B$4+8),"yyyy-mm-dd")))&amp;" ESC",SUMPRODUCT(('Daily Checklist'!$D$2:$D$2000=$A37)*(TEXT('Daily Checklist'!$B$2:$B$2000,"yyyy-mm-dd")=TEXT(($B$4+8),"yyyy-mm-dd"))*('Daily Checklist'!$F$2:$F$2000="Done"))&amp;"/"&amp;SUMPRODUCT(('Daily Checklist'!$D$2:$D$2000=$A37)*(TEXT('Daily Checklist'!$B$2:$B$2000,"yyyy-mm-dd")=TEXT(($B$4+8),"yyyy-mm-dd"))))))</f>
        <v/>
      </c>
      <c r="K37" s="25" t="str">
        <f aca="false">IF($A37="","",IF(SUMPRODUCT(('Daily Checklist'!$D$2:$D$2000=$A37)*(TEXT('Daily Checklist'!$B$2:$B$2000,"yyyy-mm-dd")=TEXT(($B$4+9),"yyyy-mm-dd")))=0,"-",IF(SUMPRODUCT(('Daily Checklist'!$D$2:$D$2000=$A37)*(TEXT('Daily Checklist'!$B$2:$B$2000,"yyyy-mm-dd")=TEXT(($B$4+9),"yyyy-mm-dd"))*('Daily Checklist'!$L$2:$L$2000="Y"))&gt;0,SUMPRODUCT(('Daily Checklist'!$D$2:$D$2000=$A37)*(TEXT('Daily Checklist'!$B$2:$B$2000,"yyyy-mm-dd")=TEXT(($B$4+9),"yyyy-mm-dd"))*('Daily Checklist'!$F$2:$F$2000="Done"))&amp;"/"&amp;SUMPRODUCT(('Daily Checklist'!$D$2:$D$2000=$A37)*(TEXT('Daily Checklist'!$B$2:$B$2000,"yyyy-mm-dd")=TEXT(($B$4+9),"yyyy-mm-dd")))&amp;" ESC",SUMPRODUCT(('Daily Checklist'!$D$2:$D$2000=$A37)*(TEXT('Daily Checklist'!$B$2:$B$2000,"yyyy-mm-dd")=TEXT(($B$4+9),"yyyy-mm-dd"))*('Daily Checklist'!$F$2:$F$2000="Done"))&amp;"/"&amp;SUMPRODUCT(('Daily Checklist'!$D$2:$D$2000=$A37)*(TEXT('Daily Checklist'!$B$2:$B$2000,"yyyy-mm-dd")=TEXT(($B$4+9),"yyyy-mm-dd"))))))</f>
        <v/>
      </c>
      <c r="L37" s="25" t="str">
        <f aca="false">IF($A37="","",IF(SUMPRODUCT(('Daily Checklist'!$D$2:$D$2000=$A37)*(TEXT('Daily Checklist'!$B$2:$B$2000,"yyyy-mm-dd")=TEXT(($B$4+10),"yyyy-mm-dd")))=0,"-",IF(SUMPRODUCT(('Daily Checklist'!$D$2:$D$2000=$A37)*(TEXT('Daily Checklist'!$B$2:$B$2000,"yyyy-mm-dd")=TEXT(($B$4+10),"yyyy-mm-dd"))*('Daily Checklist'!$L$2:$L$2000="Y"))&gt;0,SUMPRODUCT(('Daily Checklist'!$D$2:$D$2000=$A37)*(TEXT('Daily Checklist'!$B$2:$B$2000,"yyyy-mm-dd")=TEXT(($B$4+10),"yyyy-mm-dd"))*('Daily Checklist'!$F$2:$F$2000="Done"))&amp;"/"&amp;SUMPRODUCT(('Daily Checklist'!$D$2:$D$2000=$A37)*(TEXT('Daily Checklist'!$B$2:$B$2000,"yyyy-mm-dd")=TEXT(($B$4+10),"yyyy-mm-dd")))&amp;" ESC",SUMPRODUCT(('Daily Checklist'!$D$2:$D$2000=$A37)*(TEXT('Daily Checklist'!$B$2:$B$2000,"yyyy-mm-dd")=TEXT(($B$4+10),"yyyy-mm-dd"))*('Daily Checklist'!$F$2:$F$2000="Done"))&amp;"/"&amp;SUMPRODUCT(('Daily Checklist'!$D$2:$D$2000=$A37)*(TEXT('Daily Checklist'!$B$2:$B$2000,"yyyy-mm-dd")=TEXT(($B$4+10),"yyyy-mm-dd"))))))</f>
        <v/>
      </c>
      <c r="M37" s="25" t="str">
        <f aca="false">IF($A37="","",IF(SUMPRODUCT(('Daily Checklist'!$D$2:$D$2000=$A37)*(TEXT('Daily Checklist'!$B$2:$B$2000,"yyyy-mm-dd")=TEXT(($B$4+11),"yyyy-mm-dd")))=0,"-",IF(SUMPRODUCT(('Daily Checklist'!$D$2:$D$2000=$A37)*(TEXT('Daily Checklist'!$B$2:$B$2000,"yyyy-mm-dd")=TEXT(($B$4+11),"yyyy-mm-dd"))*('Daily Checklist'!$L$2:$L$2000="Y"))&gt;0,SUMPRODUCT(('Daily Checklist'!$D$2:$D$2000=$A37)*(TEXT('Daily Checklist'!$B$2:$B$2000,"yyyy-mm-dd")=TEXT(($B$4+11),"yyyy-mm-dd"))*('Daily Checklist'!$F$2:$F$2000="Done"))&amp;"/"&amp;SUMPRODUCT(('Daily Checklist'!$D$2:$D$2000=$A37)*(TEXT('Daily Checklist'!$B$2:$B$2000,"yyyy-mm-dd")=TEXT(($B$4+11),"yyyy-mm-dd")))&amp;" ESC",SUMPRODUCT(('Daily Checklist'!$D$2:$D$2000=$A37)*(TEXT('Daily Checklist'!$B$2:$B$2000,"yyyy-mm-dd")=TEXT(($B$4+11),"yyyy-mm-dd"))*('Daily Checklist'!$F$2:$F$2000="Done"))&amp;"/"&amp;SUMPRODUCT(('Daily Checklist'!$D$2:$D$2000=$A37)*(TEXT('Daily Checklist'!$B$2:$B$2000,"yyyy-mm-dd")=TEXT(($B$4+11),"yyyy-mm-dd"))))))</f>
        <v/>
      </c>
      <c r="N37" s="25" t="str">
        <f aca="false">IF($A37="","",IF(SUMPRODUCT(('Daily Checklist'!$D$2:$D$2000=$A37)*(TEXT('Daily Checklist'!$B$2:$B$2000,"yyyy-mm-dd")=TEXT(($B$4+12),"yyyy-mm-dd")))=0,"-",IF(SUMPRODUCT(('Daily Checklist'!$D$2:$D$2000=$A37)*(TEXT('Daily Checklist'!$B$2:$B$2000,"yyyy-mm-dd")=TEXT(($B$4+12),"yyyy-mm-dd"))*('Daily Checklist'!$L$2:$L$2000="Y"))&gt;0,SUMPRODUCT(('Daily Checklist'!$D$2:$D$2000=$A37)*(TEXT('Daily Checklist'!$B$2:$B$2000,"yyyy-mm-dd")=TEXT(($B$4+12),"yyyy-mm-dd"))*('Daily Checklist'!$F$2:$F$2000="Done"))&amp;"/"&amp;SUMPRODUCT(('Daily Checklist'!$D$2:$D$2000=$A37)*(TEXT('Daily Checklist'!$B$2:$B$2000,"yyyy-mm-dd")=TEXT(($B$4+12),"yyyy-mm-dd")))&amp;" ESC",SUMPRODUCT(('Daily Checklist'!$D$2:$D$2000=$A37)*(TEXT('Daily Checklist'!$B$2:$B$2000,"yyyy-mm-dd")=TEXT(($B$4+12),"yyyy-mm-dd"))*('Daily Checklist'!$F$2:$F$2000="Done"))&amp;"/"&amp;SUMPRODUCT(('Daily Checklist'!$D$2:$D$2000=$A37)*(TEXT('Daily Checklist'!$B$2:$B$2000,"yyyy-mm-dd")=TEXT(($B$4+12),"yyyy-mm-dd"))))))</f>
        <v/>
      </c>
      <c r="O37" s="25" t="str">
        <f aca="false">IF($A37="","",IF(SUMPRODUCT(('Daily Checklist'!$D$2:$D$2000=$A37)*(TEXT('Daily Checklist'!$B$2:$B$2000,"yyyy-mm-dd")=TEXT(($B$4+13),"yyyy-mm-dd")))=0,"-",IF(SUMPRODUCT(('Daily Checklist'!$D$2:$D$2000=$A37)*(TEXT('Daily Checklist'!$B$2:$B$2000,"yyyy-mm-dd")=TEXT(($B$4+13),"yyyy-mm-dd"))*('Daily Checklist'!$L$2:$L$2000="Y"))&gt;0,SUMPRODUCT(('Daily Checklist'!$D$2:$D$2000=$A37)*(TEXT('Daily Checklist'!$B$2:$B$2000,"yyyy-mm-dd")=TEXT(($B$4+13),"yyyy-mm-dd"))*('Daily Checklist'!$F$2:$F$2000="Done"))&amp;"/"&amp;SUMPRODUCT(('Daily Checklist'!$D$2:$D$2000=$A37)*(TEXT('Daily Checklist'!$B$2:$B$2000,"yyyy-mm-dd")=TEXT(($B$4+13),"yyyy-mm-dd")))&amp;" ESC",SUMPRODUCT(('Daily Checklist'!$D$2:$D$2000=$A37)*(TEXT('Daily Checklist'!$B$2:$B$2000,"yyyy-mm-dd")=TEXT(($B$4+13),"yyyy-mm-dd"))*('Daily Checklist'!$F$2:$F$2000="Done"))&amp;"/"&amp;SUMPRODUCT(('Daily Checklist'!$D$2:$D$2000=$A37)*(TEXT('Daily Checklist'!$B$2:$B$2000,"yyyy-mm-dd")=TEXT(($B$4+13),"yyyy-mm-dd"))))))</f>
        <v/>
      </c>
      <c r="P37" s="25" t="str">
        <f aca="false">IF($A37="","",IF(SUMPRODUCT(('Daily Checklist'!$D$2:$D$2000=$A37)*(TEXT('Daily Checklist'!$B$2:$B$2000,"yyyy-mm-dd")=TEXT(($B$4+14),"yyyy-mm-dd")))=0,"-",IF(SUMPRODUCT(('Daily Checklist'!$D$2:$D$2000=$A37)*(TEXT('Daily Checklist'!$B$2:$B$2000,"yyyy-mm-dd")=TEXT(($B$4+14),"yyyy-mm-dd"))*('Daily Checklist'!$L$2:$L$2000="Y"))&gt;0,SUMPRODUCT(('Daily Checklist'!$D$2:$D$2000=$A37)*(TEXT('Daily Checklist'!$B$2:$B$2000,"yyyy-mm-dd")=TEXT(($B$4+14),"yyyy-mm-dd"))*('Daily Checklist'!$F$2:$F$2000="Done"))&amp;"/"&amp;SUMPRODUCT(('Daily Checklist'!$D$2:$D$2000=$A37)*(TEXT('Daily Checklist'!$B$2:$B$2000,"yyyy-mm-dd")=TEXT(($B$4+14),"yyyy-mm-dd")))&amp;" ESC",SUMPRODUCT(('Daily Checklist'!$D$2:$D$2000=$A37)*(TEXT('Daily Checklist'!$B$2:$B$2000,"yyyy-mm-dd")=TEXT(($B$4+14),"yyyy-mm-dd"))*('Daily Checklist'!$F$2:$F$2000="Done"))&amp;"/"&amp;SUMPRODUCT(('Daily Checklist'!$D$2:$D$2000=$A37)*(TEXT('Daily Checklist'!$B$2:$B$2000,"yyyy-mm-dd")=TEXT(($B$4+14),"yyyy-mm-dd"))))))</f>
        <v/>
      </c>
      <c r="Q37" s="25" t="str">
        <f aca="false">IF($A37="","",IF(SUMPRODUCT(('Daily Checklist'!$D$2:$D$2000=$A37)*(TEXT('Daily Checklist'!$B$2:$B$2000,"yyyy-mm-dd")=TEXT(($B$4+15),"yyyy-mm-dd")))=0,"-",IF(SUMPRODUCT(('Daily Checklist'!$D$2:$D$2000=$A37)*(TEXT('Daily Checklist'!$B$2:$B$2000,"yyyy-mm-dd")=TEXT(($B$4+15),"yyyy-mm-dd"))*('Daily Checklist'!$L$2:$L$2000="Y"))&gt;0,SUMPRODUCT(('Daily Checklist'!$D$2:$D$2000=$A37)*(TEXT('Daily Checklist'!$B$2:$B$2000,"yyyy-mm-dd")=TEXT(($B$4+15),"yyyy-mm-dd"))*('Daily Checklist'!$F$2:$F$2000="Done"))&amp;"/"&amp;SUMPRODUCT(('Daily Checklist'!$D$2:$D$2000=$A37)*(TEXT('Daily Checklist'!$B$2:$B$2000,"yyyy-mm-dd")=TEXT(($B$4+15),"yyyy-mm-dd")))&amp;" ESC",SUMPRODUCT(('Daily Checklist'!$D$2:$D$2000=$A37)*(TEXT('Daily Checklist'!$B$2:$B$2000,"yyyy-mm-dd")=TEXT(($B$4+15),"yyyy-mm-dd"))*('Daily Checklist'!$F$2:$F$2000="Done"))&amp;"/"&amp;SUMPRODUCT(('Daily Checklist'!$D$2:$D$2000=$A37)*(TEXT('Daily Checklist'!$B$2:$B$2000,"yyyy-mm-dd")=TEXT(($B$4+15),"yyyy-mm-dd"))))))</f>
        <v/>
      </c>
      <c r="R37" s="25" t="str">
        <f aca="false">IF($A37="","",IF(SUMPRODUCT(('Daily Checklist'!$D$2:$D$2000=$A37)*(TEXT('Daily Checklist'!$B$2:$B$2000,"yyyy-mm-dd")=TEXT(($B$4+16),"yyyy-mm-dd")))=0,"-",IF(SUMPRODUCT(('Daily Checklist'!$D$2:$D$2000=$A37)*(TEXT('Daily Checklist'!$B$2:$B$2000,"yyyy-mm-dd")=TEXT(($B$4+16),"yyyy-mm-dd"))*('Daily Checklist'!$L$2:$L$2000="Y"))&gt;0,SUMPRODUCT(('Daily Checklist'!$D$2:$D$2000=$A37)*(TEXT('Daily Checklist'!$B$2:$B$2000,"yyyy-mm-dd")=TEXT(($B$4+16),"yyyy-mm-dd"))*('Daily Checklist'!$F$2:$F$2000="Done"))&amp;"/"&amp;SUMPRODUCT(('Daily Checklist'!$D$2:$D$2000=$A37)*(TEXT('Daily Checklist'!$B$2:$B$2000,"yyyy-mm-dd")=TEXT(($B$4+16),"yyyy-mm-dd")))&amp;" ESC",SUMPRODUCT(('Daily Checklist'!$D$2:$D$2000=$A37)*(TEXT('Daily Checklist'!$B$2:$B$2000,"yyyy-mm-dd")=TEXT(($B$4+16),"yyyy-mm-dd"))*('Daily Checklist'!$F$2:$F$2000="Done"))&amp;"/"&amp;SUMPRODUCT(('Daily Checklist'!$D$2:$D$2000=$A37)*(TEXT('Daily Checklist'!$B$2:$B$2000,"yyyy-mm-dd")=TEXT(($B$4+16),"yyyy-mm-dd"))))))</f>
        <v/>
      </c>
      <c r="S37" s="25" t="str">
        <f aca="false">IF($A37="","",IF(SUMPRODUCT(('Daily Checklist'!$D$2:$D$2000=$A37)*(TEXT('Daily Checklist'!$B$2:$B$2000,"yyyy-mm-dd")=TEXT(($B$4+17),"yyyy-mm-dd")))=0,"-",IF(SUMPRODUCT(('Daily Checklist'!$D$2:$D$2000=$A37)*(TEXT('Daily Checklist'!$B$2:$B$2000,"yyyy-mm-dd")=TEXT(($B$4+17),"yyyy-mm-dd"))*('Daily Checklist'!$L$2:$L$2000="Y"))&gt;0,SUMPRODUCT(('Daily Checklist'!$D$2:$D$2000=$A37)*(TEXT('Daily Checklist'!$B$2:$B$2000,"yyyy-mm-dd")=TEXT(($B$4+17),"yyyy-mm-dd"))*('Daily Checklist'!$F$2:$F$2000="Done"))&amp;"/"&amp;SUMPRODUCT(('Daily Checklist'!$D$2:$D$2000=$A37)*(TEXT('Daily Checklist'!$B$2:$B$2000,"yyyy-mm-dd")=TEXT(($B$4+17),"yyyy-mm-dd")))&amp;" ESC",SUMPRODUCT(('Daily Checklist'!$D$2:$D$2000=$A37)*(TEXT('Daily Checklist'!$B$2:$B$2000,"yyyy-mm-dd")=TEXT(($B$4+17),"yyyy-mm-dd"))*('Daily Checklist'!$F$2:$F$2000="Done"))&amp;"/"&amp;SUMPRODUCT(('Daily Checklist'!$D$2:$D$2000=$A37)*(TEXT('Daily Checklist'!$B$2:$B$2000,"yyyy-mm-dd")=TEXT(($B$4+17),"yyyy-mm-dd"))))))</f>
        <v/>
      </c>
      <c r="T37" s="25" t="str">
        <f aca="false">IF($A37="","",IF(SUMPRODUCT(('Daily Checklist'!$D$2:$D$2000=$A37)*(TEXT('Daily Checklist'!$B$2:$B$2000,"yyyy-mm-dd")=TEXT(($B$4+18),"yyyy-mm-dd")))=0,"-",IF(SUMPRODUCT(('Daily Checklist'!$D$2:$D$2000=$A37)*(TEXT('Daily Checklist'!$B$2:$B$2000,"yyyy-mm-dd")=TEXT(($B$4+18),"yyyy-mm-dd"))*('Daily Checklist'!$L$2:$L$2000="Y"))&gt;0,SUMPRODUCT(('Daily Checklist'!$D$2:$D$2000=$A37)*(TEXT('Daily Checklist'!$B$2:$B$2000,"yyyy-mm-dd")=TEXT(($B$4+18),"yyyy-mm-dd"))*('Daily Checklist'!$F$2:$F$2000="Done"))&amp;"/"&amp;SUMPRODUCT(('Daily Checklist'!$D$2:$D$2000=$A37)*(TEXT('Daily Checklist'!$B$2:$B$2000,"yyyy-mm-dd")=TEXT(($B$4+18),"yyyy-mm-dd")))&amp;" ESC",SUMPRODUCT(('Daily Checklist'!$D$2:$D$2000=$A37)*(TEXT('Daily Checklist'!$B$2:$B$2000,"yyyy-mm-dd")=TEXT(($B$4+18),"yyyy-mm-dd"))*('Daily Checklist'!$F$2:$F$2000="Done"))&amp;"/"&amp;SUMPRODUCT(('Daily Checklist'!$D$2:$D$2000=$A37)*(TEXT('Daily Checklist'!$B$2:$B$2000,"yyyy-mm-dd")=TEXT(($B$4+18),"yyyy-mm-dd"))))))</f>
        <v/>
      </c>
      <c r="U37" s="25" t="str">
        <f aca="false">IF($A37="","",IF(SUMPRODUCT(('Daily Checklist'!$D$2:$D$2000=$A37)*(TEXT('Daily Checklist'!$B$2:$B$2000,"yyyy-mm-dd")=TEXT(($B$4+19),"yyyy-mm-dd")))=0,"-",IF(SUMPRODUCT(('Daily Checklist'!$D$2:$D$2000=$A37)*(TEXT('Daily Checklist'!$B$2:$B$2000,"yyyy-mm-dd")=TEXT(($B$4+19),"yyyy-mm-dd"))*('Daily Checklist'!$L$2:$L$2000="Y"))&gt;0,SUMPRODUCT(('Daily Checklist'!$D$2:$D$2000=$A37)*(TEXT('Daily Checklist'!$B$2:$B$2000,"yyyy-mm-dd")=TEXT(($B$4+19),"yyyy-mm-dd"))*('Daily Checklist'!$F$2:$F$2000="Done"))&amp;"/"&amp;SUMPRODUCT(('Daily Checklist'!$D$2:$D$2000=$A37)*(TEXT('Daily Checklist'!$B$2:$B$2000,"yyyy-mm-dd")=TEXT(($B$4+19),"yyyy-mm-dd")))&amp;" ESC",SUMPRODUCT(('Daily Checklist'!$D$2:$D$2000=$A37)*(TEXT('Daily Checklist'!$B$2:$B$2000,"yyyy-mm-dd")=TEXT(($B$4+19),"yyyy-mm-dd"))*('Daily Checklist'!$F$2:$F$2000="Done"))&amp;"/"&amp;SUMPRODUCT(('Daily Checklist'!$D$2:$D$2000=$A37)*(TEXT('Daily Checklist'!$B$2:$B$2000,"yyyy-mm-dd")=TEXT(($B$4+19),"yyyy-mm-dd"))))))</f>
        <v/>
      </c>
      <c r="V37" s="25" t="str">
        <f aca="false">IF($A37="","",IF(SUMPRODUCT(('Daily Checklist'!$D$2:$D$2000=$A37)*(TEXT('Daily Checklist'!$B$2:$B$2000,"yyyy-mm-dd")=TEXT(($B$4+20),"yyyy-mm-dd")))=0,"-",IF(SUMPRODUCT(('Daily Checklist'!$D$2:$D$2000=$A37)*(TEXT('Daily Checklist'!$B$2:$B$2000,"yyyy-mm-dd")=TEXT(($B$4+20),"yyyy-mm-dd"))*('Daily Checklist'!$L$2:$L$2000="Y"))&gt;0,SUMPRODUCT(('Daily Checklist'!$D$2:$D$2000=$A37)*(TEXT('Daily Checklist'!$B$2:$B$2000,"yyyy-mm-dd")=TEXT(($B$4+20),"yyyy-mm-dd"))*('Daily Checklist'!$F$2:$F$2000="Done"))&amp;"/"&amp;SUMPRODUCT(('Daily Checklist'!$D$2:$D$2000=$A37)*(TEXT('Daily Checklist'!$B$2:$B$2000,"yyyy-mm-dd")=TEXT(($B$4+20),"yyyy-mm-dd")))&amp;" ESC",SUMPRODUCT(('Daily Checklist'!$D$2:$D$2000=$A37)*(TEXT('Daily Checklist'!$B$2:$B$2000,"yyyy-mm-dd")=TEXT(($B$4+20),"yyyy-mm-dd"))*('Daily Checklist'!$F$2:$F$2000="Done"))&amp;"/"&amp;SUMPRODUCT(('Daily Checklist'!$D$2:$D$2000=$A37)*(TEXT('Daily Checklist'!$B$2:$B$2000,"yyyy-mm-dd")=TEXT(($B$4+20),"yyyy-mm-dd"))))))</f>
        <v/>
      </c>
      <c r="W37" s="25" t="str">
        <f aca="false">IF($A37="","",IF(SUMPRODUCT(('Daily Checklist'!$D$2:$D$2000=$A37)*(TEXT('Daily Checklist'!$B$2:$B$2000,"yyyy-mm-dd")=TEXT(($B$4+21),"yyyy-mm-dd")))=0,"-",IF(SUMPRODUCT(('Daily Checklist'!$D$2:$D$2000=$A37)*(TEXT('Daily Checklist'!$B$2:$B$2000,"yyyy-mm-dd")=TEXT(($B$4+21),"yyyy-mm-dd"))*('Daily Checklist'!$L$2:$L$2000="Y"))&gt;0,SUMPRODUCT(('Daily Checklist'!$D$2:$D$2000=$A37)*(TEXT('Daily Checklist'!$B$2:$B$2000,"yyyy-mm-dd")=TEXT(($B$4+21),"yyyy-mm-dd"))*('Daily Checklist'!$F$2:$F$2000="Done"))&amp;"/"&amp;SUMPRODUCT(('Daily Checklist'!$D$2:$D$2000=$A37)*(TEXT('Daily Checklist'!$B$2:$B$2000,"yyyy-mm-dd")=TEXT(($B$4+21),"yyyy-mm-dd")))&amp;" ESC",SUMPRODUCT(('Daily Checklist'!$D$2:$D$2000=$A37)*(TEXT('Daily Checklist'!$B$2:$B$2000,"yyyy-mm-dd")=TEXT(($B$4+21),"yyyy-mm-dd"))*('Daily Checklist'!$F$2:$F$2000="Done"))&amp;"/"&amp;SUMPRODUCT(('Daily Checklist'!$D$2:$D$2000=$A37)*(TEXT('Daily Checklist'!$B$2:$B$2000,"yyyy-mm-dd")=TEXT(($B$4+21),"yyyy-mm-dd"))))))</f>
        <v/>
      </c>
      <c r="X37" s="25" t="str">
        <f aca="false">IF($A37="","",IF(SUMPRODUCT(('Daily Checklist'!$D$2:$D$2000=$A37)*(TEXT('Daily Checklist'!$B$2:$B$2000,"yyyy-mm-dd")=TEXT(($B$4+22),"yyyy-mm-dd")))=0,"-",IF(SUMPRODUCT(('Daily Checklist'!$D$2:$D$2000=$A37)*(TEXT('Daily Checklist'!$B$2:$B$2000,"yyyy-mm-dd")=TEXT(($B$4+22),"yyyy-mm-dd"))*('Daily Checklist'!$L$2:$L$2000="Y"))&gt;0,SUMPRODUCT(('Daily Checklist'!$D$2:$D$2000=$A37)*(TEXT('Daily Checklist'!$B$2:$B$2000,"yyyy-mm-dd")=TEXT(($B$4+22),"yyyy-mm-dd"))*('Daily Checklist'!$F$2:$F$2000="Done"))&amp;"/"&amp;SUMPRODUCT(('Daily Checklist'!$D$2:$D$2000=$A37)*(TEXT('Daily Checklist'!$B$2:$B$2000,"yyyy-mm-dd")=TEXT(($B$4+22),"yyyy-mm-dd")))&amp;" ESC",SUMPRODUCT(('Daily Checklist'!$D$2:$D$2000=$A37)*(TEXT('Daily Checklist'!$B$2:$B$2000,"yyyy-mm-dd")=TEXT(($B$4+22),"yyyy-mm-dd"))*('Daily Checklist'!$F$2:$F$2000="Done"))&amp;"/"&amp;SUMPRODUCT(('Daily Checklist'!$D$2:$D$2000=$A37)*(TEXT('Daily Checklist'!$B$2:$B$2000,"yyyy-mm-dd")=TEXT(($B$4+22),"yyyy-mm-dd"))))))</f>
        <v/>
      </c>
      <c r="Y37" s="25" t="str">
        <f aca="false">IF($A37="","",IF(SUMPRODUCT(('Daily Checklist'!$D$2:$D$2000=$A37)*(TEXT('Daily Checklist'!$B$2:$B$2000,"yyyy-mm-dd")=TEXT(($B$4+23),"yyyy-mm-dd")))=0,"-",IF(SUMPRODUCT(('Daily Checklist'!$D$2:$D$2000=$A37)*(TEXT('Daily Checklist'!$B$2:$B$2000,"yyyy-mm-dd")=TEXT(($B$4+23),"yyyy-mm-dd"))*('Daily Checklist'!$L$2:$L$2000="Y"))&gt;0,SUMPRODUCT(('Daily Checklist'!$D$2:$D$2000=$A37)*(TEXT('Daily Checklist'!$B$2:$B$2000,"yyyy-mm-dd")=TEXT(($B$4+23),"yyyy-mm-dd"))*('Daily Checklist'!$F$2:$F$2000="Done"))&amp;"/"&amp;SUMPRODUCT(('Daily Checklist'!$D$2:$D$2000=$A37)*(TEXT('Daily Checklist'!$B$2:$B$2000,"yyyy-mm-dd")=TEXT(($B$4+23),"yyyy-mm-dd")))&amp;" ESC",SUMPRODUCT(('Daily Checklist'!$D$2:$D$2000=$A37)*(TEXT('Daily Checklist'!$B$2:$B$2000,"yyyy-mm-dd")=TEXT(($B$4+23),"yyyy-mm-dd"))*('Daily Checklist'!$F$2:$F$2000="Done"))&amp;"/"&amp;SUMPRODUCT(('Daily Checklist'!$D$2:$D$2000=$A37)*(TEXT('Daily Checklist'!$B$2:$B$2000,"yyyy-mm-dd")=TEXT(($B$4+23),"yyyy-mm-dd"))))))</f>
        <v/>
      </c>
      <c r="Z37" s="25" t="str">
        <f aca="false">IF($A37="","",IF(SUMPRODUCT(('Daily Checklist'!$D$2:$D$2000=$A37)*(TEXT('Daily Checklist'!$B$2:$B$2000,"yyyy-mm-dd")=TEXT(($B$4+24),"yyyy-mm-dd")))=0,"-",IF(SUMPRODUCT(('Daily Checklist'!$D$2:$D$2000=$A37)*(TEXT('Daily Checklist'!$B$2:$B$2000,"yyyy-mm-dd")=TEXT(($B$4+24),"yyyy-mm-dd"))*('Daily Checklist'!$L$2:$L$2000="Y"))&gt;0,SUMPRODUCT(('Daily Checklist'!$D$2:$D$2000=$A37)*(TEXT('Daily Checklist'!$B$2:$B$2000,"yyyy-mm-dd")=TEXT(($B$4+24),"yyyy-mm-dd"))*('Daily Checklist'!$F$2:$F$2000="Done"))&amp;"/"&amp;SUMPRODUCT(('Daily Checklist'!$D$2:$D$2000=$A37)*(TEXT('Daily Checklist'!$B$2:$B$2000,"yyyy-mm-dd")=TEXT(($B$4+24),"yyyy-mm-dd")))&amp;" ESC",SUMPRODUCT(('Daily Checklist'!$D$2:$D$2000=$A37)*(TEXT('Daily Checklist'!$B$2:$B$2000,"yyyy-mm-dd")=TEXT(($B$4+24),"yyyy-mm-dd"))*('Daily Checklist'!$F$2:$F$2000="Done"))&amp;"/"&amp;SUMPRODUCT(('Daily Checklist'!$D$2:$D$2000=$A37)*(TEXT('Daily Checklist'!$B$2:$B$2000,"yyyy-mm-dd")=TEXT(($B$4+24),"yyyy-mm-dd"))))))</f>
        <v/>
      </c>
      <c r="AA37" s="25" t="str">
        <f aca="false">IF($A37="","",IF(SUMPRODUCT(('Daily Checklist'!$D$2:$D$2000=$A37)*(TEXT('Daily Checklist'!$B$2:$B$2000,"yyyy-mm-dd")=TEXT(($B$4+25),"yyyy-mm-dd")))=0,"-",IF(SUMPRODUCT(('Daily Checklist'!$D$2:$D$2000=$A37)*(TEXT('Daily Checklist'!$B$2:$B$2000,"yyyy-mm-dd")=TEXT(($B$4+25),"yyyy-mm-dd"))*('Daily Checklist'!$L$2:$L$2000="Y"))&gt;0,SUMPRODUCT(('Daily Checklist'!$D$2:$D$2000=$A37)*(TEXT('Daily Checklist'!$B$2:$B$2000,"yyyy-mm-dd")=TEXT(($B$4+25),"yyyy-mm-dd"))*('Daily Checklist'!$F$2:$F$2000="Done"))&amp;"/"&amp;SUMPRODUCT(('Daily Checklist'!$D$2:$D$2000=$A37)*(TEXT('Daily Checklist'!$B$2:$B$2000,"yyyy-mm-dd")=TEXT(($B$4+25),"yyyy-mm-dd")))&amp;" ESC",SUMPRODUCT(('Daily Checklist'!$D$2:$D$2000=$A37)*(TEXT('Daily Checklist'!$B$2:$B$2000,"yyyy-mm-dd")=TEXT(($B$4+25),"yyyy-mm-dd"))*('Daily Checklist'!$F$2:$F$2000="Done"))&amp;"/"&amp;SUMPRODUCT(('Daily Checklist'!$D$2:$D$2000=$A37)*(TEXT('Daily Checklist'!$B$2:$B$2000,"yyyy-mm-dd")=TEXT(($B$4+25),"yyyy-mm-dd"))))))</f>
        <v/>
      </c>
      <c r="AB37" s="25" t="str">
        <f aca="false">IF($A37="","",IF(SUMPRODUCT(('Daily Checklist'!$D$2:$D$2000=$A37)*(TEXT('Daily Checklist'!$B$2:$B$2000,"yyyy-mm-dd")=TEXT(($B$4+26),"yyyy-mm-dd")))=0,"-",IF(SUMPRODUCT(('Daily Checklist'!$D$2:$D$2000=$A37)*(TEXT('Daily Checklist'!$B$2:$B$2000,"yyyy-mm-dd")=TEXT(($B$4+26),"yyyy-mm-dd"))*('Daily Checklist'!$L$2:$L$2000="Y"))&gt;0,SUMPRODUCT(('Daily Checklist'!$D$2:$D$2000=$A37)*(TEXT('Daily Checklist'!$B$2:$B$2000,"yyyy-mm-dd")=TEXT(($B$4+26),"yyyy-mm-dd"))*('Daily Checklist'!$F$2:$F$2000="Done"))&amp;"/"&amp;SUMPRODUCT(('Daily Checklist'!$D$2:$D$2000=$A37)*(TEXT('Daily Checklist'!$B$2:$B$2000,"yyyy-mm-dd")=TEXT(($B$4+26),"yyyy-mm-dd")))&amp;" ESC",SUMPRODUCT(('Daily Checklist'!$D$2:$D$2000=$A37)*(TEXT('Daily Checklist'!$B$2:$B$2000,"yyyy-mm-dd")=TEXT(($B$4+26),"yyyy-mm-dd"))*('Daily Checklist'!$F$2:$F$2000="Done"))&amp;"/"&amp;SUMPRODUCT(('Daily Checklist'!$D$2:$D$2000=$A37)*(TEXT('Daily Checklist'!$B$2:$B$2000,"yyyy-mm-dd")=TEXT(($B$4+26),"yyyy-mm-dd"))))))</f>
        <v/>
      </c>
      <c r="AC37" s="25" t="str">
        <f aca="false">IF($A37="","",IF(SUMPRODUCT(('Daily Checklist'!$D$2:$D$2000=$A37)*(TEXT('Daily Checklist'!$B$2:$B$2000,"yyyy-mm-dd")=TEXT(($B$4+27),"yyyy-mm-dd")))=0,"-",IF(SUMPRODUCT(('Daily Checklist'!$D$2:$D$2000=$A37)*(TEXT('Daily Checklist'!$B$2:$B$2000,"yyyy-mm-dd")=TEXT(($B$4+27),"yyyy-mm-dd"))*('Daily Checklist'!$L$2:$L$2000="Y"))&gt;0,SUMPRODUCT(('Daily Checklist'!$D$2:$D$2000=$A37)*(TEXT('Daily Checklist'!$B$2:$B$2000,"yyyy-mm-dd")=TEXT(($B$4+27),"yyyy-mm-dd"))*('Daily Checklist'!$F$2:$F$2000="Done"))&amp;"/"&amp;SUMPRODUCT(('Daily Checklist'!$D$2:$D$2000=$A37)*(TEXT('Daily Checklist'!$B$2:$B$2000,"yyyy-mm-dd")=TEXT(($B$4+27),"yyyy-mm-dd")))&amp;" ESC",SUMPRODUCT(('Daily Checklist'!$D$2:$D$2000=$A37)*(TEXT('Daily Checklist'!$B$2:$B$2000,"yyyy-mm-dd")=TEXT(($B$4+27),"yyyy-mm-dd"))*('Daily Checklist'!$F$2:$F$2000="Done"))&amp;"/"&amp;SUMPRODUCT(('Daily Checklist'!$D$2:$D$2000=$A37)*(TEXT('Daily Checklist'!$B$2:$B$2000,"yyyy-mm-dd")=TEXT(($B$4+27),"yyyy-mm-dd"))))))</f>
        <v/>
      </c>
      <c r="AD37" s="25" t="str">
        <f aca="false">IF($A37="","",IF(SUMPRODUCT(('Daily Checklist'!$D$2:$D$2000=$A37)*(TEXT('Daily Checklist'!$B$2:$B$2000,"yyyy-mm-dd")=TEXT(($B$4+28),"yyyy-mm-dd")))=0,"-",IF(SUMPRODUCT(('Daily Checklist'!$D$2:$D$2000=$A37)*(TEXT('Daily Checklist'!$B$2:$B$2000,"yyyy-mm-dd")=TEXT(($B$4+28),"yyyy-mm-dd"))*('Daily Checklist'!$L$2:$L$2000="Y"))&gt;0,SUMPRODUCT(('Daily Checklist'!$D$2:$D$2000=$A37)*(TEXT('Daily Checklist'!$B$2:$B$2000,"yyyy-mm-dd")=TEXT(($B$4+28),"yyyy-mm-dd"))*('Daily Checklist'!$F$2:$F$2000="Done"))&amp;"/"&amp;SUMPRODUCT(('Daily Checklist'!$D$2:$D$2000=$A37)*(TEXT('Daily Checklist'!$B$2:$B$2000,"yyyy-mm-dd")=TEXT(($B$4+28),"yyyy-mm-dd")))&amp;" ESC",SUMPRODUCT(('Daily Checklist'!$D$2:$D$2000=$A37)*(TEXT('Daily Checklist'!$B$2:$B$2000,"yyyy-mm-dd")=TEXT(($B$4+28),"yyyy-mm-dd"))*('Daily Checklist'!$F$2:$F$2000="Done"))&amp;"/"&amp;SUMPRODUCT(('Daily Checklist'!$D$2:$D$2000=$A37)*(TEXT('Daily Checklist'!$B$2:$B$2000,"yyyy-mm-dd")=TEXT(($B$4+28),"yyyy-mm-dd"))))))</f>
        <v/>
      </c>
      <c r="AE37" s="25" t="str">
        <f aca="false">IF($A37="","",IF(SUMPRODUCT(('Daily Checklist'!$D$2:$D$2000=$A37)*(TEXT('Daily Checklist'!$B$2:$B$2000,"yyyy-mm-dd")=TEXT(($B$4+29),"yyyy-mm-dd")))=0,"-",IF(SUMPRODUCT(('Daily Checklist'!$D$2:$D$2000=$A37)*(TEXT('Daily Checklist'!$B$2:$B$2000,"yyyy-mm-dd")=TEXT(($B$4+29),"yyyy-mm-dd"))*('Daily Checklist'!$L$2:$L$2000="Y"))&gt;0,SUMPRODUCT(('Daily Checklist'!$D$2:$D$2000=$A37)*(TEXT('Daily Checklist'!$B$2:$B$2000,"yyyy-mm-dd")=TEXT(($B$4+29),"yyyy-mm-dd"))*('Daily Checklist'!$F$2:$F$2000="Done"))&amp;"/"&amp;SUMPRODUCT(('Daily Checklist'!$D$2:$D$2000=$A37)*(TEXT('Daily Checklist'!$B$2:$B$2000,"yyyy-mm-dd")=TEXT(($B$4+29),"yyyy-mm-dd")))&amp;" ESC",SUMPRODUCT(('Daily Checklist'!$D$2:$D$2000=$A37)*(TEXT('Daily Checklist'!$B$2:$B$2000,"yyyy-mm-dd")=TEXT(($B$4+29),"yyyy-mm-dd"))*('Daily Checklist'!$F$2:$F$2000="Done"))&amp;"/"&amp;SUMPRODUCT(('Daily Checklist'!$D$2:$D$2000=$A37)*(TEXT('Daily Checklist'!$B$2:$B$2000,"yyyy-mm-dd")=TEXT(($B$4+29),"yyyy-mm-dd"))))))</f>
        <v/>
      </c>
      <c r="AF37" s="25" t="str">
        <f aca="false">IF($A37="","",IF(SUMPRODUCT(('Daily Checklist'!$D$2:$D$2000=$A37)*(TEXT('Daily Checklist'!$B$2:$B$2000,"yyyy-mm-dd")=TEXT(($B$4+30),"yyyy-mm-dd")))=0,"-",IF(SUMPRODUCT(('Daily Checklist'!$D$2:$D$2000=$A37)*(TEXT('Daily Checklist'!$B$2:$B$2000,"yyyy-mm-dd")=TEXT(($B$4+30),"yyyy-mm-dd"))*('Daily Checklist'!$L$2:$L$2000="Y"))&gt;0,SUMPRODUCT(('Daily Checklist'!$D$2:$D$2000=$A37)*(TEXT('Daily Checklist'!$B$2:$B$2000,"yyyy-mm-dd")=TEXT(($B$4+30),"yyyy-mm-dd"))*('Daily Checklist'!$F$2:$F$2000="Done"))&amp;"/"&amp;SUMPRODUCT(('Daily Checklist'!$D$2:$D$2000=$A37)*(TEXT('Daily Checklist'!$B$2:$B$2000,"yyyy-mm-dd")=TEXT(($B$4+30),"yyyy-mm-dd")))&amp;" ESC",SUMPRODUCT(('Daily Checklist'!$D$2:$D$2000=$A37)*(TEXT('Daily Checklist'!$B$2:$B$2000,"yyyy-mm-dd")=TEXT(($B$4+30),"yyyy-mm-dd"))*('Daily Checklist'!$F$2:$F$2000="Done"))&amp;"/"&amp;SUMPRODUCT(('Daily Checklist'!$D$2:$D$2000=$A37)*(TEXT('Daily Checklist'!$B$2:$B$2000,"yyyy-mm-dd")=TEXT(($B$4+30),"yyyy-mm-dd"))))))</f>
        <v/>
      </c>
    </row>
    <row r="38" customFormat="false" ht="15" hidden="false" customHeight="true" outlineLevel="0" collapsed="false">
      <c r="A38" s="24" t="str">
        <f aca="false">IFERROR(IF(Employees!A33="","",Employees!A33),"")</f>
        <v/>
      </c>
      <c r="B38" s="25" t="str">
        <f aca="false">IF($A38="","",IF(SUMPRODUCT(('Daily Checklist'!$D$2:$D$2000=$A38)*(TEXT('Daily Checklist'!$B$2:$B$2000,"yyyy-mm-dd")=TEXT(($B$4+0),"yyyy-mm-dd")))=0,"-",IF(SUMPRODUCT(('Daily Checklist'!$D$2:$D$2000=$A38)*(TEXT('Daily Checklist'!$B$2:$B$2000,"yyyy-mm-dd")=TEXT(($B$4+0),"yyyy-mm-dd"))*('Daily Checklist'!$L$2:$L$2000="Y"))&gt;0,SUMPRODUCT(('Daily Checklist'!$D$2:$D$2000=$A38)*(TEXT('Daily Checklist'!$B$2:$B$2000,"yyyy-mm-dd")=TEXT(($B$4+0),"yyyy-mm-dd"))*('Daily Checklist'!$F$2:$F$2000="Done"))&amp;"/"&amp;SUMPRODUCT(('Daily Checklist'!$D$2:$D$2000=$A38)*(TEXT('Daily Checklist'!$B$2:$B$2000,"yyyy-mm-dd")=TEXT(($B$4+0),"yyyy-mm-dd")))&amp;" ESC",SUMPRODUCT(('Daily Checklist'!$D$2:$D$2000=$A38)*(TEXT('Daily Checklist'!$B$2:$B$2000,"yyyy-mm-dd")=TEXT(($B$4+0),"yyyy-mm-dd"))*('Daily Checklist'!$F$2:$F$2000="Done"))&amp;"/"&amp;SUMPRODUCT(('Daily Checklist'!$D$2:$D$2000=$A38)*(TEXT('Daily Checklist'!$B$2:$B$2000,"yyyy-mm-dd")=TEXT(($B$4+0),"yyyy-mm-dd"))))))</f>
        <v/>
      </c>
      <c r="C38" s="25" t="str">
        <f aca="false">IF($A38="","",IF(SUMPRODUCT(('Daily Checklist'!$D$2:$D$2000=$A38)*(TEXT('Daily Checklist'!$B$2:$B$2000,"yyyy-mm-dd")=TEXT(($B$4+1),"yyyy-mm-dd")))=0,"-",IF(SUMPRODUCT(('Daily Checklist'!$D$2:$D$2000=$A38)*(TEXT('Daily Checklist'!$B$2:$B$2000,"yyyy-mm-dd")=TEXT(($B$4+1),"yyyy-mm-dd"))*('Daily Checklist'!$L$2:$L$2000="Y"))&gt;0,SUMPRODUCT(('Daily Checklist'!$D$2:$D$2000=$A38)*(TEXT('Daily Checklist'!$B$2:$B$2000,"yyyy-mm-dd")=TEXT(($B$4+1),"yyyy-mm-dd"))*('Daily Checklist'!$F$2:$F$2000="Done"))&amp;"/"&amp;SUMPRODUCT(('Daily Checklist'!$D$2:$D$2000=$A38)*(TEXT('Daily Checklist'!$B$2:$B$2000,"yyyy-mm-dd")=TEXT(($B$4+1),"yyyy-mm-dd")))&amp;" ESC",SUMPRODUCT(('Daily Checklist'!$D$2:$D$2000=$A38)*(TEXT('Daily Checklist'!$B$2:$B$2000,"yyyy-mm-dd")=TEXT(($B$4+1),"yyyy-mm-dd"))*('Daily Checklist'!$F$2:$F$2000="Done"))&amp;"/"&amp;SUMPRODUCT(('Daily Checklist'!$D$2:$D$2000=$A38)*(TEXT('Daily Checklist'!$B$2:$B$2000,"yyyy-mm-dd")=TEXT(($B$4+1),"yyyy-mm-dd"))))))</f>
        <v/>
      </c>
      <c r="D38" s="25" t="str">
        <f aca="false">IF($A38="","",IF(SUMPRODUCT(('Daily Checklist'!$D$2:$D$2000=$A38)*(TEXT('Daily Checklist'!$B$2:$B$2000,"yyyy-mm-dd")=TEXT(($B$4+2),"yyyy-mm-dd")))=0,"-",IF(SUMPRODUCT(('Daily Checklist'!$D$2:$D$2000=$A38)*(TEXT('Daily Checklist'!$B$2:$B$2000,"yyyy-mm-dd")=TEXT(($B$4+2),"yyyy-mm-dd"))*('Daily Checklist'!$L$2:$L$2000="Y"))&gt;0,SUMPRODUCT(('Daily Checklist'!$D$2:$D$2000=$A38)*(TEXT('Daily Checklist'!$B$2:$B$2000,"yyyy-mm-dd")=TEXT(($B$4+2),"yyyy-mm-dd"))*('Daily Checklist'!$F$2:$F$2000="Done"))&amp;"/"&amp;SUMPRODUCT(('Daily Checklist'!$D$2:$D$2000=$A38)*(TEXT('Daily Checklist'!$B$2:$B$2000,"yyyy-mm-dd")=TEXT(($B$4+2),"yyyy-mm-dd")))&amp;" ESC",SUMPRODUCT(('Daily Checklist'!$D$2:$D$2000=$A38)*(TEXT('Daily Checklist'!$B$2:$B$2000,"yyyy-mm-dd")=TEXT(($B$4+2),"yyyy-mm-dd"))*('Daily Checklist'!$F$2:$F$2000="Done"))&amp;"/"&amp;SUMPRODUCT(('Daily Checklist'!$D$2:$D$2000=$A38)*(TEXT('Daily Checklist'!$B$2:$B$2000,"yyyy-mm-dd")=TEXT(($B$4+2),"yyyy-mm-dd"))))))</f>
        <v/>
      </c>
      <c r="E38" s="25" t="str">
        <f aca="false">IF($A38="","",IF(SUMPRODUCT(('Daily Checklist'!$D$2:$D$2000=$A38)*(TEXT('Daily Checklist'!$B$2:$B$2000,"yyyy-mm-dd")=TEXT(($B$4+3),"yyyy-mm-dd")))=0,"-",IF(SUMPRODUCT(('Daily Checklist'!$D$2:$D$2000=$A38)*(TEXT('Daily Checklist'!$B$2:$B$2000,"yyyy-mm-dd")=TEXT(($B$4+3),"yyyy-mm-dd"))*('Daily Checklist'!$L$2:$L$2000="Y"))&gt;0,SUMPRODUCT(('Daily Checklist'!$D$2:$D$2000=$A38)*(TEXT('Daily Checklist'!$B$2:$B$2000,"yyyy-mm-dd")=TEXT(($B$4+3),"yyyy-mm-dd"))*('Daily Checklist'!$F$2:$F$2000="Done"))&amp;"/"&amp;SUMPRODUCT(('Daily Checklist'!$D$2:$D$2000=$A38)*(TEXT('Daily Checklist'!$B$2:$B$2000,"yyyy-mm-dd")=TEXT(($B$4+3),"yyyy-mm-dd")))&amp;" ESC",SUMPRODUCT(('Daily Checklist'!$D$2:$D$2000=$A38)*(TEXT('Daily Checklist'!$B$2:$B$2000,"yyyy-mm-dd")=TEXT(($B$4+3),"yyyy-mm-dd"))*('Daily Checklist'!$F$2:$F$2000="Done"))&amp;"/"&amp;SUMPRODUCT(('Daily Checklist'!$D$2:$D$2000=$A38)*(TEXT('Daily Checklist'!$B$2:$B$2000,"yyyy-mm-dd")=TEXT(($B$4+3),"yyyy-mm-dd"))))))</f>
        <v/>
      </c>
      <c r="F38" s="25" t="str">
        <f aca="false">IF($A38="","",IF(SUMPRODUCT(('Daily Checklist'!$D$2:$D$2000=$A38)*(TEXT('Daily Checklist'!$B$2:$B$2000,"yyyy-mm-dd")=TEXT(($B$4+4),"yyyy-mm-dd")))=0,"-",IF(SUMPRODUCT(('Daily Checklist'!$D$2:$D$2000=$A38)*(TEXT('Daily Checklist'!$B$2:$B$2000,"yyyy-mm-dd")=TEXT(($B$4+4),"yyyy-mm-dd"))*('Daily Checklist'!$L$2:$L$2000="Y"))&gt;0,SUMPRODUCT(('Daily Checklist'!$D$2:$D$2000=$A38)*(TEXT('Daily Checklist'!$B$2:$B$2000,"yyyy-mm-dd")=TEXT(($B$4+4),"yyyy-mm-dd"))*('Daily Checklist'!$F$2:$F$2000="Done"))&amp;"/"&amp;SUMPRODUCT(('Daily Checklist'!$D$2:$D$2000=$A38)*(TEXT('Daily Checklist'!$B$2:$B$2000,"yyyy-mm-dd")=TEXT(($B$4+4),"yyyy-mm-dd")))&amp;" ESC",SUMPRODUCT(('Daily Checklist'!$D$2:$D$2000=$A38)*(TEXT('Daily Checklist'!$B$2:$B$2000,"yyyy-mm-dd")=TEXT(($B$4+4),"yyyy-mm-dd"))*('Daily Checklist'!$F$2:$F$2000="Done"))&amp;"/"&amp;SUMPRODUCT(('Daily Checklist'!$D$2:$D$2000=$A38)*(TEXT('Daily Checklist'!$B$2:$B$2000,"yyyy-mm-dd")=TEXT(($B$4+4),"yyyy-mm-dd"))))))</f>
        <v/>
      </c>
      <c r="G38" s="25" t="str">
        <f aca="false">IF($A38="","",IF(SUMPRODUCT(('Daily Checklist'!$D$2:$D$2000=$A38)*(TEXT('Daily Checklist'!$B$2:$B$2000,"yyyy-mm-dd")=TEXT(($B$4+5),"yyyy-mm-dd")))=0,"-",IF(SUMPRODUCT(('Daily Checklist'!$D$2:$D$2000=$A38)*(TEXT('Daily Checklist'!$B$2:$B$2000,"yyyy-mm-dd")=TEXT(($B$4+5),"yyyy-mm-dd"))*('Daily Checklist'!$L$2:$L$2000="Y"))&gt;0,SUMPRODUCT(('Daily Checklist'!$D$2:$D$2000=$A38)*(TEXT('Daily Checklist'!$B$2:$B$2000,"yyyy-mm-dd")=TEXT(($B$4+5),"yyyy-mm-dd"))*('Daily Checklist'!$F$2:$F$2000="Done"))&amp;"/"&amp;SUMPRODUCT(('Daily Checklist'!$D$2:$D$2000=$A38)*(TEXT('Daily Checklist'!$B$2:$B$2000,"yyyy-mm-dd")=TEXT(($B$4+5),"yyyy-mm-dd")))&amp;" ESC",SUMPRODUCT(('Daily Checklist'!$D$2:$D$2000=$A38)*(TEXT('Daily Checklist'!$B$2:$B$2000,"yyyy-mm-dd")=TEXT(($B$4+5),"yyyy-mm-dd"))*('Daily Checklist'!$F$2:$F$2000="Done"))&amp;"/"&amp;SUMPRODUCT(('Daily Checklist'!$D$2:$D$2000=$A38)*(TEXT('Daily Checklist'!$B$2:$B$2000,"yyyy-mm-dd")=TEXT(($B$4+5),"yyyy-mm-dd"))))))</f>
        <v/>
      </c>
      <c r="H38" s="25" t="str">
        <f aca="false">IF($A38="","",IF(SUMPRODUCT(('Daily Checklist'!$D$2:$D$2000=$A38)*(TEXT('Daily Checklist'!$B$2:$B$2000,"yyyy-mm-dd")=TEXT(($B$4+6),"yyyy-mm-dd")))=0,"-",IF(SUMPRODUCT(('Daily Checklist'!$D$2:$D$2000=$A38)*(TEXT('Daily Checklist'!$B$2:$B$2000,"yyyy-mm-dd")=TEXT(($B$4+6),"yyyy-mm-dd"))*('Daily Checklist'!$L$2:$L$2000="Y"))&gt;0,SUMPRODUCT(('Daily Checklist'!$D$2:$D$2000=$A38)*(TEXT('Daily Checklist'!$B$2:$B$2000,"yyyy-mm-dd")=TEXT(($B$4+6),"yyyy-mm-dd"))*('Daily Checklist'!$F$2:$F$2000="Done"))&amp;"/"&amp;SUMPRODUCT(('Daily Checklist'!$D$2:$D$2000=$A38)*(TEXT('Daily Checklist'!$B$2:$B$2000,"yyyy-mm-dd")=TEXT(($B$4+6),"yyyy-mm-dd")))&amp;" ESC",SUMPRODUCT(('Daily Checklist'!$D$2:$D$2000=$A38)*(TEXT('Daily Checklist'!$B$2:$B$2000,"yyyy-mm-dd")=TEXT(($B$4+6),"yyyy-mm-dd"))*('Daily Checklist'!$F$2:$F$2000="Done"))&amp;"/"&amp;SUMPRODUCT(('Daily Checklist'!$D$2:$D$2000=$A38)*(TEXT('Daily Checklist'!$B$2:$B$2000,"yyyy-mm-dd")=TEXT(($B$4+6),"yyyy-mm-dd"))))))</f>
        <v/>
      </c>
      <c r="I38" s="25" t="str">
        <f aca="false">IF($A38="","",IF(SUMPRODUCT(('Daily Checklist'!$D$2:$D$2000=$A38)*(TEXT('Daily Checklist'!$B$2:$B$2000,"yyyy-mm-dd")=TEXT(($B$4+7),"yyyy-mm-dd")))=0,"-",IF(SUMPRODUCT(('Daily Checklist'!$D$2:$D$2000=$A38)*(TEXT('Daily Checklist'!$B$2:$B$2000,"yyyy-mm-dd")=TEXT(($B$4+7),"yyyy-mm-dd"))*('Daily Checklist'!$L$2:$L$2000="Y"))&gt;0,SUMPRODUCT(('Daily Checklist'!$D$2:$D$2000=$A38)*(TEXT('Daily Checklist'!$B$2:$B$2000,"yyyy-mm-dd")=TEXT(($B$4+7),"yyyy-mm-dd"))*('Daily Checklist'!$F$2:$F$2000="Done"))&amp;"/"&amp;SUMPRODUCT(('Daily Checklist'!$D$2:$D$2000=$A38)*(TEXT('Daily Checklist'!$B$2:$B$2000,"yyyy-mm-dd")=TEXT(($B$4+7),"yyyy-mm-dd")))&amp;" ESC",SUMPRODUCT(('Daily Checklist'!$D$2:$D$2000=$A38)*(TEXT('Daily Checklist'!$B$2:$B$2000,"yyyy-mm-dd")=TEXT(($B$4+7),"yyyy-mm-dd"))*('Daily Checklist'!$F$2:$F$2000="Done"))&amp;"/"&amp;SUMPRODUCT(('Daily Checklist'!$D$2:$D$2000=$A38)*(TEXT('Daily Checklist'!$B$2:$B$2000,"yyyy-mm-dd")=TEXT(($B$4+7),"yyyy-mm-dd"))))))</f>
        <v/>
      </c>
      <c r="J38" s="25" t="str">
        <f aca="false">IF($A38="","",IF(SUMPRODUCT(('Daily Checklist'!$D$2:$D$2000=$A38)*(TEXT('Daily Checklist'!$B$2:$B$2000,"yyyy-mm-dd")=TEXT(($B$4+8),"yyyy-mm-dd")))=0,"-",IF(SUMPRODUCT(('Daily Checklist'!$D$2:$D$2000=$A38)*(TEXT('Daily Checklist'!$B$2:$B$2000,"yyyy-mm-dd")=TEXT(($B$4+8),"yyyy-mm-dd"))*('Daily Checklist'!$L$2:$L$2000="Y"))&gt;0,SUMPRODUCT(('Daily Checklist'!$D$2:$D$2000=$A38)*(TEXT('Daily Checklist'!$B$2:$B$2000,"yyyy-mm-dd")=TEXT(($B$4+8),"yyyy-mm-dd"))*('Daily Checklist'!$F$2:$F$2000="Done"))&amp;"/"&amp;SUMPRODUCT(('Daily Checklist'!$D$2:$D$2000=$A38)*(TEXT('Daily Checklist'!$B$2:$B$2000,"yyyy-mm-dd")=TEXT(($B$4+8),"yyyy-mm-dd")))&amp;" ESC",SUMPRODUCT(('Daily Checklist'!$D$2:$D$2000=$A38)*(TEXT('Daily Checklist'!$B$2:$B$2000,"yyyy-mm-dd")=TEXT(($B$4+8),"yyyy-mm-dd"))*('Daily Checklist'!$F$2:$F$2000="Done"))&amp;"/"&amp;SUMPRODUCT(('Daily Checklist'!$D$2:$D$2000=$A38)*(TEXT('Daily Checklist'!$B$2:$B$2000,"yyyy-mm-dd")=TEXT(($B$4+8),"yyyy-mm-dd"))))))</f>
        <v/>
      </c>
      <c r="K38" s="25" t="str">
        <f aca="false">IF($A38="","",IF(SUMPRODUCT(('Daily Checklist'!$D$2:$D$2000=$A38)*(TEXT('Daily Checklist'!$B$2:$B$2000,"yyyy-mm-dd")=TEXT(($B$4+9),"yyyy-mm-dd")))=0,"-",IF(SUMPRODUCT(('Daily Checklist'!$D$2:$D$2000=$A38)*(TEXT('Daily Checklist'!$B$2:$B$2000,"yyyy-mm-dd")=TEXT(($B$4+9),"yyyy-mm-dd"))*('Daily Checklist'!$L$2:$L$2000="Y"))&gt;0,SUMPRODUCT(('Daily Checklist'!$D$2:$D$2000=$A38)*(TEXT('Daily Checklist'!$B$2:$B$2000,"yyyy-mm-dd")=TEXT(($B$4+9),"yyyy-mm-dd"))*('Daily Checklist'!$F$2:$F$2000="Done"))&amp;"/"&amp;SUMPRODUCT(('Daily Checklist'!$D$2:$D$2000=$A38)*(TEXT('Daily Checklist'!$B$2:$B$2000,"yyyy-mm-dd")=TEXT(($B$4+9),"yyyy-mm-dd")))&amp;" ESC",SUMPRODUCT(('Daily Checklist'!$D$2:$D$2000=$A38)*(TEXT('Daily Checklist'!$B$2:$B$2000,"yyyy-mm-dd")=TEXT(($B$4+9),"yyyy-mm-dd"))*('Daily Checklist'!$F$2:$F$2000="Done"))&amp;"/"&amp;SUMPRODUCT(('Daily Checklist'!$D$2:$D$2000=$A38)*(TEXT('Daily Checklist'!$B$2:$B$2000,"yyyy-mm-dd")=TEXT(($B$4+9),"yyyy-mm-dd"))))))</f>
        <v/>
      </c>
      <c r="L38" s="25" t="str">
        <f aca="false">IF($A38="","",IF(SUMPRODUCT(('Daily Checklist'!$D$2:$D$2000=$A38)*(TEXT('Daily Checklist'!$B$2:$B$2000,"yyyy-mm-dd")=TEXT(($B$4+10),"yyyy-mm-dd")))=0,"-",IF(SUMPRODUCT(('Daily Checklist'!$D$2:$D$2000=$A38)*(TEXT('Daily Checklist'!$B$2:$B$2000,"yyyy-mm-dd")=TEXT(($B$4+10),"yyyy-mm-dd"))*('Daily Checklist'!$L$2:$L$2000="Y"))&gt;0,SUMPRODUCT(('Daily Checklist'!$D$2:$D$2000=$A38)*(TEXT('Daily Checklist'!$B$2:$B$2000,"yyyy-mm-dd")=TEXT(($B$4+10),"yyyy-mm-dd"))*('Daily Checklist'!$F$2:$F$2000="Done"))&amp;"/"&amp;SUMPRODUCT(('Daily Checklist'!$D$2:$D$2000=$A38)*(TEXT('Daily Checklist'!$B$2:$B$2000,"yyyy-mm-dd")=TEXT(($B$4+10),"yyyy-mm-dd")))&amp;" ESC",SUMPRODUCT(('Daily Checklist'!$D$2:$D$2000=$A38)*(TEXT('Daily Checklist'!$B$2:$B$2000,"yyyy-mm-dd")=TEXT(($B$4+10),"yyyy-mm-dd"))*('Daily Checklist'!$F$2:$F$2000="Done"))&amp;"/"&amp;SUMPRODUCT(('Daily Checklist'!$D$2:$D$2000=$A38)*(TEXT('Daily Checklist'!$B$2:$B$2000,"yyyy-mm-dd")=TEXT(($B$4+10),"yyyy-mm-dd"))))))</f>
        <v/>
      </c>
      <c r="M38" s="25" t="str">
        <f aca="false">IF($A38="","",IF(SUMPRODUCT(('Daily Checklist'!$D$2:$D$2000=$A38)*(TEXT('Daily Checklist'!$B$2:$B$2000,"yyyy-mm-dd")=TEXT(($B$4+11),"yyyy-mm-dd")))=0,"-",IF(SUMPRODUCT(('Daily Checklist'!$D$2:$D$2000=$A38)*(TEXT('Daily Checklist'!$B$2:$B$2000,"yyyy-mm-dd")=TEXT(($B$4+11),"yyyy-mm-dd"))*('Daily Checklist'!$L$2:$L$2000="Y"))&gt;0,SUMPRODUCT(('Daily Checklist'!$D$2:$D$2000=$A38)*(TEXT('Daily Checklist'!$B$2:$B$2000,"yyyy-mm-dd")=TEXT(($B$4+11),"yyyy-mm-dd"))*('Daily Checklist'!$F$2:$F$2000="Done"))&amp;"/"&amp;SUMPRODUCT(('Daily Checklist'!$D$2:$D$2000=$A38)*(TEXT('Daily Checklist'!$B$2:$B$2000,"yyyy-mm-dd")=TEXT(($B$4+11),"yyyy-mm-dd")))&amp;" ESC",SUMPRODUCT(('Daily Checklist'!$D$2:$D$2000=$A38)*(TEXT('Daily Checklist'!$B$2:$B$2000,"yyyy-mm-dd")=TEXT(($B$4+11),"yyyy-mm-dd"))*('Daily Checklist'!$F$2:$F$2000="Done"))&amp;"/"&amp;SUMPRODUCT(('Daily Checklist'!$D$2:$D$2000=$A38)*(TEXT('Daily Checklist'!$B$2:$B$2000,"yyyy-mm-dd")=TEXT(($B$4+11),"yyyy-mm-dd"))))))</f>
        <v/>
      </c>
      <c r="N38" s="25" t="str">
        <f aca="false">IF($A38="","",IF(SUMPRODUCT(('Daily Checklist'!$D$2:$D$2000=$A38)*(TEXT('Daily Checklist'!$B$2:$B$2000,"yyyy-mm-dd")=TEXT(($B$4+12),"yyyy-mm-dd")))=0,"-",IF(SUMPRODUCT(('Daily Checklist'!$D$2:$D$2000=$A38)*(TEXT('Daily Checklist'!$B$2:$B$2000,"yyyy-mm-dd")=TEXT(($B$4+12),"yyyy-mm-dd"))*('Daily Checklist'!$L$2:$L$2000="Y"))&gt;0,SUMPRODUCT(('Daily Checklist'!$D$2:$D$2000=$A38)*(TEXT('Daily Checklist'!$B$2:$B$2000,"yyyy-mm-dd")=TEXT(($B$4+12),"yyyy-mm-dd"))*('Daily Checklist'!$F$2:$F$2000="Done"))&amp;"/"&amp;SUMPRODUCT(('Daily Checklist'!$D$2:$D$2000=$A38)*(TEXT('Daily Checklist'!$B$2:$B$2000,"yyyy-mm-dd")=TEXT(($B$4+12),"yyyy-mm-dd")))&amp;" ESC",SUMPRODUCT(('Daily Checklist'!$D$2:$D$2000=$A38)*(TEXT('Daily Checklist'!$B$2:$B$2000,"yyyy-mm-dd")=TEXT(($B$4+12),"yyyy-mm-dd"))*('Daily Checklist'!$F$2:$F$2000="Done"))&amp;"/"&amp;SUMPRODUCT(('Daily Checklist'!$D$2:$D$2000=$A38)*(TEXT('Daily Checklist'!$B$2:$B$2000,"yyyy-mm-dd")=TEXT(($B$4+12),"yyyy-mm-dd"))))))</f>
        <v/>
      </c>
      <c r="O38" s="25" t="str">
        <f aca="false">IF($A38="","",IF(SUMPRODUCT(('Daily Checklist'!$D$2:$D$2000=$A38)*(TEXT('Daily Checklist'!$B$2:$B$2000,"yyyy-mm-dd")=TEXT(($B$4+13),"yyyy-mm-dd")))=0,"-",IF(SUMPRODUCT(('Daily Checklist'!$D$2:$D$2000=$A38)*(TEXT('Daily Checklist'!$B$2:$B$2000,"yyyy-mm-dd")=TEXT(($B$4+13),"yyyy-mm-dd"))*('Daily Checklist'!$L$2:$L$2000="Y"))&gt;0,SUMPRODUCT(('Daily Checklist'!$D$2:$D$2000=$A38)*(TEXT('Daily Checklist'!$B$2:$B$2000,"yyyy-mm-dd")=TEXT(($B$4+13),"yyyy-mm-dd"))*('Daily Checklist'!$F$2:$F$2000="Done"))&amp;"/"&amp;SUMPRODUCT(('Daily Checklist'!$D$2:$D$2000=$A38)*(TEXT('Daily Checklist'!$B$2:$B$2000,"yyyy-mm-dd")=TEXT(($B$4+13),"yyyy-mm-dd")))&amp;" ESC",SUMPRODUCT(('Daily Checklist'!$D$2:$D$2000=$A38)*(TEXT('Daily Checklist'!$B$2:$B$2000,"yyyy-mm-dd")=TEXT(($B$4+13),"yyyy-mm-dd"))*('Daily Checklist'!$F$2:$F$2000="Done"))&amp;"/"&amp;SUMPRODUCT(('Daily Checklist'!$D$2:$D$2000=$A38)*(TEXT('Daily Checklist'!$B$2:$B$2000,"yyyy-mm-dd")=TEXT(($B$4+13),"yyyy-mm-dd"))))))</f>
        <v/>
      </c>
      <c r="P38" s="25" t="str">
        <f aca="false">IF($A38="","",IF(SUMPRODUCT(('Daily Checklist'!$D$2:$D$2000=$A38)*(TEXT('Daily Checklist'!$B$2:$B$2000,"yyyy-mm-dd")=TEXT(($B$4+14),"yyyy-mm-dd")))=0,"-",IF(SUMPRODUCT(('Daily Checklist'!$D$2:$D$2000=$A38)*(TEXT('Daily Checklist'!$B$2:$B$2000,"yyyy-mm-dd")=TEXT(($B$4+14),"yyyy-mm-dd"))*('Daily Checklist'!$L$2:$L$2000="Y"))&gt;0,SUMPRODUCT(('Daily Checklist'!$D$2:$D$2000=$A38)*(TEXT('Daily Checklist'!$B$2:$B$2000,"yyyy-mm-dd")=TEXT(($B$4+14),"yyyy-mm-dd"))*('Daily Checklist'!$F$2:$F$2000="Done"))&amp;"/"&amp;SUMPRODUCT(('Daily Checklist'!$D$2:$D$2000=$A38)*(TEXT('Daily Checklist'!$B$2:$B$2000,"yyyy-mm-dd")=TEXT(($B$4+14),"yyyy-mm-dd")))&amp;" ESC",SUMPRODUCT(('Daily Checklist'!$D$2:$D$2000=$A38)*(TEXT('Daily Checklist'!$B$2:$B$2000,"yyyy-mm-dd")=TEXT(($B$4+14),"yyyy-mm-dd"))*('Daily Checklist'!$F$2:$F$2000="Done"))&amp;"/"&amp;SUMPRODUCT(('Daily Checklist'!$D$2:$D$2000=$A38)*(TEXT('Daily Checklist'!$B$2:$B$2000,"yyyy-mm-dd")=TEXT(($B$4+14),"yyyy-mm-dd"))))))</f>
        <v/>
      </c>
      <c r="Q38" s="25" t="str">
        <f aca="false">IF($A38="","",IF(SUMPRODUCT(('Daily Checklist'!$D$2:$D$2000=$A38)*(TEXT('Daily Checklist'!$B$2:$B$2000,"yyyy-mm-dd")=TEXT(($B$4+15),"yyyy-mm-dd")))=0,"-",IF(SUMPRODUCT(('Daily Checklist'!$D$2:$D$2000=$A38)*(TEXT('Daily Checklist'!$B$2:$B$2000,"yyyy-mm-dd")=TEXT(($B$4+15),"yyyy-mm-dd"))*('Daily Checklist'!$L$2:$L$2000="Y"))&gt;0,SUMPRODUCT(('Daily Checklist'!$D$2:$D$2000=$A38)*(TEXT('Daily Checklist'!$B$2:$B$2000,"yyyy-mm-dd")=TEXT(($B$4+15),"yyyy-mm-dd"))*('Daily Checklist'!$F$2:$F$2000="Done"))&amp;"/"&amp;SUMPRODUCT(('Daily Checklist'!$D$2:$D$2000=$A38)*(TEXT('Daily Checklist'!$B$2:$B$2000,"yyyy-mm-dd")=TEXT(($B$4+15),"yyyy-mm-dd")))&amp;" ESC",SUMPRODUCT(('Daily Checklist'!$D$2:$D$2000=$A38)*(TEXT('Daily Checklist'!$B$2:$B$2000,"yyyy-mm-dd")=TEXT(($B$4+15),"yyyy-mm-dd"))*('Daily Checklist'!$F$2:$F$2000="Done"))&amp;"/"&amp;SUMPRODUCT(('Daily Checklist'!$D$2:$D$2000=$A38)*(TEXT('Daily Checklist'!$B$2:$B$2000,"yyyy-mm-dd")=TEXT(($B$4+15),"yyyy-mm-dd"))))))</f>
        <v/>
      </c>
      <c r="R38" s="25" t="str">
        <f aca="false">IF($A38="","",IF(SUMPRODUCT(('Daily Checklist'!$D$2:$D$2000=$A38)*(TEXT('Daily Checklist'!$B$2:$B$2000,"yyyy-mm-dd")=TEXT(($B$4+16),"yyyy-mm-dd")))=0,"-",IF(SUMPRODUCT(('Daily Checklist'!$D$2:$D$2000=$A38)*(TEXT('Daily Checklist'!$B$2:$B$2000,"yyyy-mm-dd")=TEXT(($B$4+16),"yyyy-mm-dd"))*('Daily Checklist'!$L$2:$L$2000="Y"))&gt;0,SUMPRODUCT(('Daily Checklist'!$D$2:$D$2000=$A38)*(TEXT('Daily Checklist'!$B$2:$B$2000,"yyyy-mm-dd")=TEXT(($B$4+16),"yyyy-mm-dd"))*('Daily Checklist'!$F$2:$F$2000="Done"))&amp;"/"&amp;SUMPRODUCT(('Daily Checklist'!$D$2:$D$2000=$A38)*(TEXT('Daily Checklist'!$B$2:$B$2000,"yyyy-mm-dd")=TEXT(($B$4+16),"yyyy-mm-dd")))&amp;" ESC",SUMPRODUCT(('Daily Checklist'!$D$2:$D$2000=$A38)*(TEXT('Daily Checklist'!$B$2:$B$2000,"yyyy-mm-dd")=TEXT(($B$4+16),"yyyy-mm-dd"))*('Daily Checklist'!$F$2:$F$2000="Done"))&amp;"/"&amp;SUMPRODUCT(('Daily Checklist'!$D$2:$D$2000=$A38)*(TEXT('Daily Checklist'!$B$2:$B$2000,"yyyy-mm-dd")=TEXT(($B$4+16),"yyyy-mm-dd"))))))</f>
        <v/>
      </c>
      <c r="S38" s="25" t="str">
        <f aca="false">IF($A38="","",IF(SUMPRODUCT(('Daily Checklist'!$D$2:$D$2000=$A38)*(TEXT('Daily Checklist'!$B$2:$B$2000,"yyyy-mm-dd")=TEXT(($B$4+17),"yyyy-mm-dd")))=0,"-",IF(SUMPRODUCT(('Daily Checklist'!$D$2:$D$2000=$A38)*(TEXT('Daily Checklist'!$B$2:$B$2000,"yyyy-mm-dd")=TEXT(($B$4+17),"yyyy-mm-dd"))*('Daily Checklist'!$L$2:$L$2000="Y"))&gt;0,SUMPRODUCT(('Daily Checklist'!$D$2:$D$2000=$A38)*(TEXT('Daily Checklist'!$B$2:$B$2000,"yyyy-mm-dd")=TEXT(($B$4+17),"yyyy-mm-dd"))*('Daily Checklist'!$F$2:$F$2000="Done"))&amp;"/"&amp;SUMPRODUCT(('Daily Checklist'!$D$2:$D$2000=$A38)*(TEXT('Daily Checklist'!$B$2:$B$2000,"yyyy-mm-dd")=TEXT(($B$4+17),"yyyy-mm-dd")))&amp;" ESC",SUMPRODUCT(('Daily Checklist'!$D$2:$D$2000=$A38)*(TEXT('Daily Checklist'!$B$2:$B$2000,"yyyy-mm-dd")=TEXT(($B$4+17),"yyyy-mm-dd"))*('Daily Checklist'!$F$2:$F$2000="Done"))&amp;"/"&amp;SUMPRODUCT(('Daily Checklist'!$D$2:$D$2000=$A38)*(TEXT('Daily Checklist'!$B$2:$B$2000,"yyyy-mm-dd")=TEXT(($B$4+17),"yyyy-mm-dd"))))))</f>
        <v/>
      </c>
      <c r="T38" s="25" t="str">
        <f aca="false">IF($A38="","",IF(SUMPRODUCT(('Daily Checklist'!$D$2:$D$2000=$A38)*(TEXT('Daily Checklist'!$B$2:$B$2000,"yyyy-mm-dd")=TEXT(($B$4+18),"yyyy-mm-dd")))=0,"-",IF(SUMPRODUCT(('Daily Checklist'!$D$2:$D$2000=$A38)*(TEXT('Daily Checklist'!$B$2:$B$2000,"yyyy-mm-dd")=TEXT(($B$4+18),"yyyy-mm-dd"))*('Daily Checklist'!$L$2:$L$2000="Y"))&gt;0,SUMPRODUCT(('Daily Checklist'!$D$2:$D$2000=$A38)*(TEXT('Daily Checklist'!$B$2:$B$2000,"yyyy-mm-dd")=TEXT(($B$4+18),"yyyy-mm-dd"))*('Daily Checklist'!$F$2:$F$2000="Done"))&amp;"/"&amp;SUMPRODUCT(('Daily Checklist'!$D$2:$D$2000=$A38)*(TEXT('Daily Checklist'!$B$2:$B$2000,"yyyy-mm-dd")=TEXT(($B$4+18),"yyyy-mm-dd")))&amp;" ESC",SUMPRODUCT(('Daily Checklist'!$D$2:$D$2000=$A38)*(TEXT('Daily Checklist'!$B$2:$B$2000,"yyyy-mm-dd")=TEXT(($B$4+18),"yyyy-mm-dd"))*('Daily Checklist'!$F$2:$F$2000="Done"))&amp;"/"&amp;SUMPRODUCT(('Daily Checklist'!$D$2:$D$2000=$A38)*(TEXT('Daily Checklist'!$B$2:$B$2000,"yyyy-mm-dd")=TEXT(($B$4+18),"yyyy-mm-dd"))))))</f>
        <v/>
      </c>
      <c r="U38" s="25" t="str">
        <f aca="false">IF($A38="","",IF(SUMPRODUCT(('Daily Checklist'!$D$2:$D$2000=$A38)*(TEXT('Daily Checklist'!$B$2:$B$2000,"yyyy-mm-dd")=TEXT(($B$4+19),"yyyy-mm-dd")))=0,"-",IF(SUMPRODUCT(('Daily Checklist'!$D$2:$D$2000=$A38)*(TEXT('Daily Checklist'!$B$2:$B$2000,"yyyy-mm-dd")=TEXT(($B$4+19),"yyyy-mm-dd"))*('Daily Checklist'!$L$2:$L$2000="Y"))&gt;0,SUMPRODUCT(('Daily Checklist'!$D$2:$D$2000=$A38)*(TEXT('Daily Checklist'!$B$2:$B$2000,"yyyy-mm-dd")=TEXT(($B$4+19),"yyyy-mm-dd"))*('Daily Checklist'!$F$2:$F$2000="Done"))&amp;"/"&amp;SUMPRODUCT(('Daily Checklist'!$D$2:$D$2000=$A38)*(TEXT('Daily Checklist'!$B$2:$B$2000,"yyyy-mm-dd")=TEXT(($B$4+19),"yyyy-mm-dd")))&amp;" ESC",SUMPRODUCT(('Daily Checklist'!$D$2:$D$2000=$A38)*(TEXT('Daily Checklist'!$B$2:$B$2000,"yyyy-mm-dd")=TEXT(($B$4+19),"yyyy-mm-dd"))*('Daily Checklist'!$F$2:$F$2000="Done"))&amp;"/"&amp;SUMPRODUCT(('Daily Checklist'!$D$2:$D$2000=$A38)*(TEXT('Daily Checklist'!$B$2:$B$2000,"yyyy-mm-dd")=TEXT(($B$4+19),"yyyy-mm-dd"))))))</f>
        <v/>
      </c>
      <c r="V38" s="25" t="str">
        <f aca="false">IF($A38="","",IF(SUMPRODUCT(('Daily Checklist'!$D$2:$D$2000=$A38)*(TEXT('Daily Checklist'!$B$2:$B$2000,"yyyy-mm-dd")=TEXT(($B$4+20),"yyyy-mm-dd")))=0,"-",IF(SUMPRODUCT(('Daily Checklist'!$D$2:$D$2000=$A38)*(TEXT('Daily Checklist'!$B$2:$B$2000,"yyyy-mm-dd")=TEXT(($B$4+20),"yyyy-mm-dd"))*('Daily Checklist'!$L$2:$L$2000="Y"))&gt;0,SUMPRODUCT(('Daily Checklist'!$D$2:$D$2000=$A38)*(TEXT('Daily Checklist'!$B$2:$B$2000,"yyyy-mm-dd")=TEXT(($B$4+20),"yyyy-mm-dd"))*('Daily Checklist'!$F$2:$F$2000="Done"))&amp;"/"&amp;SUMPRODUCT(('Daily Checklist'!$D$2:$D$2000=$A38)*(TEXT('Daily Checklist'!$B$2:$B$2000,"yyyy-mm-dd")=TEXT(($B$4+20),"yyyy-mm-dd")))&amp;" ESC",SUMPRODUCT(('Daily Checklist'!$D$2:$D$2000=$A38)*(TEXT('Daily Checklist'!$B$2:$B$2000,"yyyy-mm-dd")=TEXT(($B$4+20),"yyyy-mm-dd"))*('Daily Checklist'!$F$2:$F$2000="Done"))&amp;"/"&amp;SUMPRODUCT(('Daily Checklist'!$D$2:$D$2000=$A38)*(TEXT('Daily Checklist'!$B$2:$B$2000,"yyyy-mm-dd")=TEXT(($B$4+20),"yyyy-mm-dd"))))))</f>
        <v/>
      </c>
      <c r="W38" s="25" t="str">
        <f aca="false">IF($A38="","",IF(SUMPRODUCT(('Daily Checklist'!$D$2:$D$2000=$A38)*(TEXT('Daily Checklist'!$B$2:$B$2000,"yyyy-mm-dd")=TEXT(($B$4+21),"yyyy-mm-dd")))=0,"-",IF(SUMPRODUCT(('Daily Checklist'!$D$2:$D$2000=$A38)*(TEXT('Daily Checklist'!$B$2:$B$2000,"yyyy-mm-dd")=TEXT(($B$4+21),"yyyy-mm-dd"))*('Daily Checklist'!$L$2:$L$2000="Y"))&gt;0,SUMPRODUCT(('Daily Checklist'!$D$2:$D$2000=$A38)*(TEXT('Daily Checklist'!$B$2:$B$2000,"yyyy-mm-dd")=TEXT(($B$4+21),"yyyy-mm-dd"))*('Daily Checklist'!$F$2:$F$2000="Done"))&amp;"/"&amp;SUMPRODUCT(('Daily Checklist'!$D$2:$D$2000=$A38)*(TEXT('Daily Checklist'!$B$2:$B$2000,"yyyy-mm-dd")=TEXT(($B$4+21),"yyyy-mm-dd")))&amp;" ESC",SUMPRODUCT(('Daily Checklist'!$D$2:$D$2000=$A38)*(TEXT('Daily Checklist'!$B$2:$B$2000,"yyyy-mm-dd")=TEXT(($B$4+21),"yyyy-mm-dd"))*('Daily Checklist'!$F$2:$F$2000="Done"))&amp;"/"&amp;SUMPRODUCT(('Daily Checklist'!$D$2:$D$2000=$A38)*(TEXT('Daily Checklist'!$B$2:$B$2000,"yyyy-mm-dd")=TEXT(($B$4+21),"yyyy-mm-dd"))))))</f>
        <v/>
      </c>
      <c r="X38" s="25" t="str">
        <f aca="false">IF($A38="","",IF(SUMPRODUCT(('Daily Checklist'!$D$2:$D$2000=$A38)*(TEXT('Daily Checklist'!$B$2:$B$2000,"yyyy-mm-dd")=TEXT(($B$4+22),"yyyy-mm-dd")))=0,"-",IF(SUMPRODUCT(('Daily Checklist'!$D$2:$D$2000=$A38)*(TEXT('Daily Checklist'!$B$2:$B$2000,"yyyy-mm-dd")=TEXT(($B$4+22),"yyyy-mm-dd"))*('Daily Checklist'!$L$2:$L$2000="Y"))&gt;0,SUMPRODUCT(('Daily Checklist'!$D$2:$D$2000=$A38)*(TEXT('Daily Checklist'!$B$2:$B$2000,"yyyy-mm-dd")=TEXT(($B$4+22),"yyyy-mm-dd"))*('Daily Checklist'!$F$2:$F$2000="Done"))&amp;"/"&amp;SUMPRODUCT(('Daily Checklist'!$D$2:$D$2000=$A38)*(TEXT('Daily Checklist'!$B$2:$B$2000,"yyyy-mm-dd")=TEXT(($B$4+22),"yyyy-mm-dd")))&amp;" ESC",SUMPRODUCT(('Daily Checklist'!$D$2:$D$2000=$A38)*(TEXT('Daily Checklist'!$B$2:$B$2000,"yyyy-mm-dd")=TEXT(($B$4+22),"yyyy-mm-dd"))*('Daily Checklist'!$F$2:$F$2000="Done"))&amp;"/"&amp;SUMPRODUCT(('Daily Checklist'!$D$2:$D$2000=$A38)*(TEXT('Daily Checklist'!$B$2:$B$2000,"yyyy-mm-dd")=TEXT(($B$4+22),"yyyy-mm-dd"))))))</f>
        <v/>
      </c>
      <c r="Y38" s="25" t="str">
        <f aca="false">IF($A38="","",IF(SUMPRODUCT(('Daily Checklist'!$D$2:$D$2000=$A38)*(TEXT('Daily Checklist'!$B$2:$B$2000,"yyyy-mm-dd")=TEXT(($B$4+23),"yyyy-mm-dd")))=0,"-",IF(SUMPRODUCT(('Daily Checklist'!$D$2:$D$2000=$A38)*(TEXT('Daily Checklist'!$B$2:$B$2000,"yyyy-mm-dd")=TEXT(($B$4+23),"yyyy-mm-dd"))*('Daily Checklist'!$L$2:$L$2000="Y"))&gt;0,SUMPRODUCT(('Daily Checklist'!$D$2:$D$2000=$A38)*(TEXT('Daily Checklist'!$B$2:$B$2000,"yyyy-mm-dd")=TEXT(($B$4+23),"yyyy-mm-dd"))*('Daily Checklist'!$F$2:$F$2000="Done"))&amp;"/"&amp;SUMPRODUCT(('Daily Checklist'!$D$2:$D$2000=$A38)*(TEXT('Daily Checklist'!$B$2:$B$2000,"yyyy-mm-dd")=TEXT(($B$4+23),"yyyy-mm-dd")))&amp;" ESC",SUMPRODUCT(('Daily Checklist'!$D$2:$D$2000=$A38)*(TEXT('Daily Checklist'!$B$2:$B$2000,"yyyy-mm-dd")=TEXT(($B$4+23),"yyyy-mm-dd"))*('Daily Checklist'!$F$2:$F$2000="Done"))&amp;"/"&amp;SUMPRODUCT(('Daily Checklist'!$D$2:$D$2000=$A38)*(TEXT('Daily Checklist'!$B$2:$B$2000,"yyyy-mm-dd")=TEXT(($B$4+23),"yyyy-mm-dd"))))))</f>
        <v/>
      </c>
      <c r="Z38" s="25" t="str">
        <f aca="false">IF($A38="","",IF(SUMPRODUCT(('Daily Checklist'!$D$2:$D$2000=$A38)*(TEXT('Daily Checklist'!$B$2:$B$2000,"yyyy-mm-dd")=TEXT(($B$4+24),"yyyy-mm-dd")))=0,"-",IF(SUMPRODUCT(('Daily Checklist'!$D$2:$D$2000=$A38)*(TEXT('Daily Checklist'!$B$2:$B$2000,"yyyy-mm-dd")=TEXT(($B$4+24),"yyyy-mm-dd"))*('Daily Checklist'!$L$2:$L$2000="Y"))&gt;0,SUMPRODUCT(('Daily Checklist'!$D$2:$D$2000=$A38)*(TEXT('Daily Checklist'!$B$2:$B$2000,"yyyy-mm-dd")=TEXT(($B$4+24),"yyyy-mm-dd"))*('Daily Checklist'!$F$2:$F$2000="Done"))&amp;"/"&amp;SUMPRODUCT(('Daily Checklist'!$D$2:$D$2000=$A38)*(TEXT('Daily Checklist'!$B$2:$B$2000,"yyyy-mm-dd")=TEXT(($B$4+24),"yyyy-mm-dd")))&amp;" ESC",SUMPRODUCT(('Daily Checklist'!$D$2:$D$2000=$A38)*(TEXT('Daily Checklist'!$B$2:$B$2000,"yyyy-mm-dd")=TEXT(($B$4+24),"yyyy-mm-dd"))*('Daily Checklist'!$F$2:$F$2000="Done"))&amp;"/"&amp;SUMPRODUCT(('Daily Checklist'!$D$2:$D$2000=$A38)*(TEXT('Daily Checklist'!$B$2:$B$2000,"yyyy-mm-dd")=TEXT(($B$4+24),"yyyy-mm-dd"))))))</f>
        <v/>
      </c>
      <c r="AA38" s="25" t="str">
        <f aca="false">IF($A38="","",IF(SUMPRODUCT(('Daily Checklist'!$D$2:$D$2000=$A38)*(TEXT('Daily Checklist'!$B$2:$B$2000,"yyyy-mm-dd")=TEXT(($B$4+25),"yyyy-mm-dd")))=0,"-",IF(SUMPRODUCT(('Daily Checklist'!$D$2:$D$2000=$A38)*(TEXT('Daily Checklist'!$B$2:$B$2000,"yyyy-mm-dd")=TEXT(($B$4+25),"yyyy-mm-dd"))*('Daily Checklist'!$L$2:$L$2000="Y"))&gt;0,SUMPRODUCT(('Daily Checklist'!$D$2:$D$2000=$A38)*(TEXT('Daily Checklist'!$B$2:$B$2000,"yyyy-mm-dd")=TEXT(($B$4+25),"yyyy-mm-dd"))*('Daily Checklist'!$F$2:$F$2000="Done"))&amp;"/"&amp;SUMPRODUCT(('Daily Checklist'!$D$2:$D$2000=$A38)*(TEXT('Daily Checklist'!$B$2:$B$2000,"yyyy-mm-dd")=TEXT(($B$4+25),"yyyy-mm-dd")))&amp;" ESC",SUMPRODUCT(('Daily Checklist'!$D$2:$D$2000=$A38)*(TEXT('Daily Checklist'!$B$2:$B$2000,"yyyy-mm-dd")=TEXT(($B$4+25),"yyyy-mm-dd"))*('Daily Checklist'!$F$2:$F$2000="Done"))&amp;"/"&amp;SUMPRODUCT(('Daily Checklist'!$D$2:$D$2000=$A38)*(TEXT('Daily Checklist'!$B$2:$B$2000,"yyyy-mm-dd")=TEXT(($B$4+25),"yyyy-mm-dd"))))))</f>
        <v/>
      </c>
      <c r="AB38" s="25" t="str">
        <f aca="false">IF($A38="","",IF(SUMPRODUCT(('Daily Checklist'!$D$2:$D$2000=$A38)*(TEXT('Daily Checklist'!$B$2:$B$2000,"yyyy-mm-dd")=TEXT(($B$4+26),"yyyy-mm-dd")))=0,"-",IF(SUMPRODUCT(('Daily Checklist'!$D$2:$D$2000=$A38)*(TEXT('Daily Checklist'!$B$2:$B$2000,"yyyy-mm-dd")=TEXT(($B$4+26),"yyyy-mm-dd"))*('Daily Checklist'!$L$2:$L$2000="Y"))&gt;0,SUMPRODUCT(('Daily Checklist'!$D$2:$D$2000=$A38)*(TEXT('Daily Checklist'!$B$2:$B$2000,"yyyy-mm-dd")=TEXT(($B$4+26),"yyyy-mm-dd"))*('Daily Checklist'!$F$2:$F$2000="Done"))&amp;"/"&amp;SUMPRODUCT(('Daily Checklist'!$D$2:$D$2000=$A38)*(TEXT('Daily Checklist'!$B$2:$B$2000,"yyyy-mm-dd")=TEXT(($B$4+26),"yyyy-mm-dd")))&amp;" ESC",SUMPRODUCT(('Daily Checklist'!$D$2:$D$2000=$A38)*(TEXT('Daily Checklist'!$B$2:$B$2000,"yyyy-mm-dd")=TEXT(($B$4+26),"yyyy-mm-dd"))*('Daily Checklist'!$F$2:$F$2000="Done"))&amp;"/"&amp;SUMPRODUCT(('Daily Checklist'!$D$2:$D$2000=$A38)*(TEXT('Daily Checklist'!$B$2:$B$2000,"yyyy-mm-dd")=TEXT(($B$4+26),"yyyy-mm-dd"))))))</f>
        <v/>
      </c>
      <c r="AC38" s="25" t="str">
        <f aca="false">IF($A38="","",IF(SUMPRODUCT(('Daily Checklist'!$D$2:$D$2000=$A38)*(TEXT('Daily Checklist'!$B$2:$B$2000,"yyyy-mm-dd")=TEXT(($B$4+27),"yyyy-mm-dd")))=0,"-",IF(SUMPRODUCT(('Daily Checklist'!$D$2:$D$2000=$A38)*(TEXT('Daily Checklist'!$B$2:$B$2000,"yyyy-mm-dd")=TEXT(($B$4+27),"yyyy-mm-dd"))*('Daily Checklist'!$L$2:$L$2000="Y"))&gt;0,SUMPRODUCT(('Daily Checklist'!$D$2:$D$2000=$A38)*(TEXT('Daily Checklist'!$B$2:$B$2000,"yyyy-mm-dd")=TEXT(($B$4+27),"yyyy-mm-dd"))*('Daily Checklist'!$F$2:$F$2000="Done"))&amp;"/"&amp;SUMPRODUCT(('Daily Checklist'!$D$2:$D$2000=$A38)*(TEXT('Daily Checklist'!$B$2:$B$2000,"yyyy-mm-dd")=TEXT(($B$4+27),"yyyy-mm-dd")))&amp;" ESC",SUMPRODUCT(('Daily Checklist'!$D$2:$D$2000=$A38)*(TEXT('Daily Checklist'!$B$2:$B$2000,"yyyy-mm-dd")=TEXT(($B$4+27),"yyyy-mm-dd"))*('Daily Checklist'!$F$2:$F$2000="Done"))&amp;"/"&amp;SUMPRODUCT(('Daily Checklist'!$D$2:$D$2000=$A38)*(TEXT('Daily Checklist'!$B$2:$B$2000,"yyyy-mm-dd")=TEXT(($B$4+27),"yyyy-mm-dd"))))))</f>
        <v/>
      </c>
      <c r="AD38" s="25" t="str">
        <f aca="false">IF($A38="","",IF(SUMPRODUCT(('Daily Checklist'!$D$2:$D$2000=$A38)*(TEXT('Daily Checklist'!$B$2:$B$2000,"yyyy-mm-dd")=TEXT(($B$4+28),"yyyy-mm-dd")))=0,"-",IF(SUMPRODUCT(('Daily Checklist'!$D$2:$D$2000=$A38)*(TEXT('Daily Checklist'!$B$2:$B$2000,"yyyy-mm-dd")=TEXT(($B$4+28),"yyyy-mm-dd"))*('Daily Checklist'!$L$2:$L$2000="Y"))&gt;0,SUMPRODUCT(('Daily Checklist'!$D$2:$D$2000=$A38)*(TEXT('Daily Checklist'!$B$2:$B$2000,"yyyy-mm-dd")=TEXT(($B$4+28),"yyyy-mm-dd"))*('Daily Checklist'!$F$2:$F$2000="Done"))&amp;"/"&amp;SUMPRODUCT(('Daily Checklist'!$D$2:$D$2000=$A38)*(TEXT('Daily Checklist'!$B$2:$B$2000,"yyyy-mm-dd")=TEXT(($B$4+28),"yyyy-mm-dd")))&amp;" ESC",SUMPRODUCT(('Daily Checklist'!$D$2:$D$2000=$A38)*(TEXT('Daily Checklist'!$B$2:$B$2000,"yyyy-mm-dd")=TEXT(($B$4+28),"yyyy-mm-dd"))*('Daily Checklist'!$F$2:$F$2000="Done"))&amp;"/"&amp;SUMPRODUCT(('Daily Checklist'!$D$2:$D$2000=$A38)*(TEXT('Daily Checklist'!$B$2:$B$2000,"yyyy-mm-dd")=TEXT(($B$4+28),"yyyy-mm-dd"))))))</f>
        <v/>
      </c>
      <c r="AE38" s="25" t="str">
        <f aca="false">IF($A38="","",IF(SUMPRODUCT(('Daily Checklist'!$D$2:$D$2000=$A38)*(TEXT('Daily Checklist'!$B$2:$B$2000,"yyyy-mm-dd")=TEXT(($B$4+29),"yyyy-mm-dd")))=0,"-",IF(SUMPRODUCT(('Daily Checklist'!$D$2:$D$2000=$A38)*(TEXT('Daily Checklist'!$B$2:$B$2000,"yyyy-mm-dd")=TEXT(($B$4+29),"yyyy-mm-dd"))*('Daily Checklist'!$L$2:$L$2000="Y"))&gt;0,SUMPRODUCT(('Daily Checklist'!$D$2:$D$2000=$A38)*(TEXT('Daily Checklist'!$B$2:$B$2000,"yyyy-mm-dd")=TEXT(($B$4+29),"yyyy-mm-dd"))*('Daily Checklist'!$F$2:$F$2000="Done"))&amp;"/"&amp;SUMPRODUCT(('Daily Checklist'!$D$2:$D$2000=$A38)*(TEXT('Daily Checklist'!$B$2:$B$2000,"yyyy-mm-dd")=TEXT(($B$4+29),"yyyy-mm-dd")))&amp;" ESC",SUMPRODUCT(('Daily Checklist'!$D$2:$D$2000=$A38)*(TEXT('Daily Checklist'!$B$2:$B$2000,"yyyy-mm-dd")=TEXT(($B$4+29),"yyyy-mm-dd"))*('Daily Checklist'!$F$2:$F$2000="Done"))&amp;"/"&amp;SUMPRODUCT(('Daily Checklist'!$D$2:$D$2000=$A38)*(TEXT('Daily Checklist'!$B$2:$B$2000,"yyyy-mm-dd")=TEXT(($B$4+29),"yyyy-mm-dd"))))))</f>
        <v/>
      </c>
      <c r="AF38" s="25" t="str">
        <f aca="false">IF($A38="","",IF(SUMPRODUCT(('Daily Checklist'!$D$2:$D$2000=$A38)*(TEXT('Daily Checklist'!$B$2:$B$2000,"yyyy-mm-dd")=TEXT(($B$4+30),"yyyy-mm-dd")))=0,"-",IF(SUMPRODUCT(('Daily Checklist'!$D$2:$D$2000=$A38)*(TEXT('Daily Checklist'!$B$2:$B$2000,"yyyy-mm-dd")=TEXT(($B$4+30),"yyyy-mm-dd"))*('Daily Checklist'!$L$2:$L$2000="Y"))&gt;0,SUMPRODUCT(('Daily Checklist'!$D$2:$D$2000=$A38)*(TEXT('Daily Checklist'!$B$2:$B$2000,"yyyy-mm-dd")=TEXT(($B$4+30),"yyyy-mm-dd"))*('Daily Checklist'!$F$2:$F$2000="Done"))&amp;"/"&amp;SUMPRODUCT(('Daily Checklist'!$D$2:$D$2000=$A38)*(TEXT('Daily Checklist'!$B$2:$B$2000,"yyyy-mm-dd")=TEXT(($B$4+30),"yyyy-mm-dd")))&amp;" ESC",SUMPRODUCT(('Daily Checklist'!$D$2:$D$2000=$A38)*(TEXT('Daily Checklist'!$B$2:$B$2000,"yyyy-mm-dd")=TEXT(($B$4+30),"yyyy-mm-dd"))*('Daily Checklist'!$F$2:$F$2000="Done"))&amp;"/"&amp;SUMPRODUCT(('Daily Checklist'!$D$2:$D$2000=$A38)*(TEXT('Daily Checklist'!$B$2:$B$2000,"yyyy-mm-dd")=TEXT(($B$4+30),"yyyy-mm-dd"))))))</f>
        <v/>
      </c>
    </row>
    <row r="39" customFormat="false" ht="15" hidden="false" customHeight="true" outlineLevel="0" collapsed="false">
      <c r="A39" s="24" t="str">
        <f aca="false">IFERROR(IF(Employees!A34="","",Employees!A34),"")</f>
        <v/>
      </c>
      <c r="B39" s="25" t="str">
        <f aca="false">IF($A39="","",IF(SUMPRODUCT(('Daily Checklist'!$D$2:$D$2000=$A39)*(TEXT('Daily Checklist'!$B$2:$B$2000,"yyyy-mm-dd")=TEXT(($B$4+0),"yyyy-mm-dd")))=0,"-",IF(SUMPRODUCT(('Daily Checklist'!$D$2:$D$2000=$A39)*(TEXT('Daily Checklist'!$B$2:$B$2000,"yyyy-mm-dd")=TEXT(($B$4+0),"yyyy-mm-dd"))*('Daily Checklist'!$L$2:$L$2000="Y"))&gt;0,SUMPRODUCT(('Daily Checklist'!$D$2:$D$2000=$A39)*(TEXT('Daily Checklist'!$B$2:$B$2000,"yyyy-mm-dd")=TEXT(($B$4+0),"yyyy-mm-dd"))*('Daily Checklist'!$F$2:$F$2000="Done"))&amp;"/"&amp;SUMPRODUCT(('Daily Checklist'!$D$2:$D$2000=$A39)*(TEXT('Daily Checklist'!$B$2:$B$2000,"yyyy-mm-dd")=TEXT(($B$4+0),"yyyy-mm-dd")))&amp;" ESC",SUMPRODUCT(('Daily Checklist'!$D$2:$D$2000=$A39)*(TEXT('Daily Checklist'!$B$2:$B$2000,"yyyy-mm-dd")=TEXT(($B$4+0),"yyyy-mm-dd"))*('Daily Checklist'!$F$2:$F$2000="Done"))&amp;"/"&amp;SUMPRODUCT(('Daily Checklist'!$D$2:$D$2000=$A39)*(TEXT('Daily Checklist'!$B$2:$B$2000,"yyyy-mm-dd")=TEXT(($B$4+0),"yyyy-mm-dd"))))))</f>
        <v/>
      </c>
      <c r="C39" s="25" t="str">
        <f aca="false">IF($A39="","",IF(SUMPRODUCT(('Daily Checklist'!$D$2:$D$2000=$A39)*(TEXT('Daily Checklist'!$B$2:$B$2000,"yyyy-mm-dd")=TEXT(($B$4+1),"yyyy-mm-dd")))=0,"-",IF(SUMPRODUCT(('Daily Checklist'!$D$2:$D$2000=$A39)*(TEXT('Daily Checklist'!$B$2:$B$2000,"yyyy-mm-dd")=TEXT(($B$4+1),"yyyy-mm-dd"))*('Daily Checklist'!$L$2:$L$2000="Y"))&gt;0,SUMPRODUCT(('Daily Checklist'!$D$2:$D$2000=$A39)*(TEXT('Daily Checklist'!$B$2:$B$2000,"yyyy-mm-dd")=TEXT(($B$4+1),"yyyy-mm-dd"))*('Daily Checklist'!$F$2:$F$2000="Done"))&amp;"/"&amp;SUMPRODUCT(('Daily Checklist'!$D$2:$D$2000=$A39)*(TEXT('Daily Checklist'!$B$2:$B$2000,"yyyy-mm-dd")=TEXT(($B$4+1),"yyyy-mm-dd")))&amp;" ESC",SUMPRODUCT(('Daily Checklist'!$D$2:$D$2000=$A39)*(TEXT('Daily Checklist'!$B$2:$B$2000,"yyyy-mm-dd")=TEXT(($B$4+1),"yyyy-mm-dd"))*('Daily Checklist'!$F$2:$F$2000="Done"))&amp;"/"&amp;SUMPRODUCT(('Daily Checklist'!$D$2:$D$2000=$A39)*(TEXT('Daily Checklist'!$B$2:$B$2000,"yyyy-mm-dd")=TEXT(($B$4+1),"yyyy-mm-dd"))))))</f>
        <v/>
      </c>
      <c r="D39" s="25" t="str">
        <f aca="false">IF($A39="","",IF(SUMPRODUCT(('Daily Checklist'!$D$2:$D$2000=$A39)*(TEXT('Daily Checklist'!$B$2:$B$2000,"yyyy-mm-dd")=TEXT(($B$4+2),"yyyy-mm-dd")))=0,"-",IF(SUMPRODUCT(('Daily Checklist'!$D$2:$D$2000=$A39)*(TEXT('Daily Checklist'!$B$2:$B$2000,"yyyy-mm-dd")=TEXT(($B$4+2),"yyyy-mm-dd"))*('Daily Checklist'!$L$2:$L$2000="Y"))&gt;0,SUMPRODUCT(('Daily Checklist'!$D$2:$D$2000=$A39)*(TEXT('Daily Checklist'!$B$2:$B$2000,"yyyy-mm-dd")=TEXT(($B$4+2),"yyyy-mm-dd"))*('Daily Checklist'!$F$2:$F$2000="Done"))&amp;"/"&amp;SUMPRODUCT(('Daily Checklist'!$D$2:$D$2000=$A39)*(TEXT('Daily Checklist'!$B$2:$B$2000,"yyyy-mm-dd")=TEXT(($B$4+2),"yyyy-mm-dd")))&amp;" ESC",SUMPRODUCT(('Daily Checklist'!$D$2:$D$2000=$A39)*(TEXT('Daily Checklist'!$B$2:$B$2000,"yyyy-mm-dd")=TEXT(($B$4+2),"yyyy-mm-dd"))*('Daily Checklist'!$F$2:$F$2000="Done"))&amp;"/"&amp;SUMPRODUCT(('Daily Checklist'!$D$2:$D$2000=$A39)*(TEXT('Daily Checklist'!$B$2:$B$2000,"yyyy-mm-dd")=TEXT(($B$4+2),"yyyy-mm-dd"))))))</f>
        <v/>
      </c>
      <c r="E39" s="25" t="str">
        <f aca="false">IF($A39="","",IF(SUMPRODUCT(('Daily Checklist'!$D$2:$D$2000=$A39)*(TEXT('Daily Checklist'!$B$2:$B$2000,"yyyy-mm-dd")=TEXT(($B$4+3),"yyyy-mm-dd")))=0,"-",IF(SUMPRODUCT(('Daily Checklist'!$D$2:$D$2000=$A39)*(TEXT('Daily Checklist'!$B$2:$B$2000,"yyyy-mm-dd")=TEXT(($B$4+3),"yyyy-mm-dd"))*('Daily Checklist'!$L$2:$L$2000="Y"))&gt;0,SUMPRODUCT(('Daily Checklist'!$D$2:$D$2000=$A39)*(TEXT('Daily Checklist'!$B$2:$B$2000,"yyyy-mm-dd")=TEXT(($B$4+3),"yyyy-mm-dd"))*('Daily Checklist'!$F$2:$F$2000="Done"))&amp;"/"&amp;SUMPRODUCT(('Daily Checklist'!$D$2:$D$2000=$A39)*(TEXT('Daily Checklist'!$B$2:$B$2000,"yyyy-mm-dd")=TEXT(($B$4+3),"yyyy-mm-dd")))&amp;" ESC",SUMPRODUCT(('Daily Checklist'!$D$2:$D$2000=$A39)*(TEXT('Daily Checklist'!$B$2:$B$2000,"yyyy-mm-dd")=TEXT(($B$4+3),"yyyy-mm-dd"))*('Daily Checklist'!$F$2:$F$2000="Done"))&amp;"/"&amp;SUMPRODUCT(('Daily Checklist'!$D$2:$D$2000=$A39)*(TEXT('Daily Checklist'!$B$2:$B$2000,"yyyy-mm-dd")=TEXT(($B$4+3),"yyyy-mm-dd"))))))</f>
        <v/>
      </c>
      <c r="F39" s="25" t="str">
        <f aca="false">IF($A39="","",IF(SUMPRODUCT(('Daily Checklist'!$D$2:$D$2000=$A39)*(TEXT('Daily Checklist'!$B$2:$B$2000,"yyyy-mm-dd")=TEXT(($B$4+4),"yyyy-mm-dd")))=0,"-",IF(SUMPRODUCT(('Daily Checklist'!$D$2:$D$2000=$A39)*(TEXT('Daily Checklist'!$B$2:$B$2000,"yyyy-mm-dd")=TEXT(($B$4+4),"yyyy-mm-dd"))*('Daily Checklist'!$L$2:$L$2000="Y"))&gt;0,SUMPRODUCT(('Daily Checklist'!$D$2:$D$2000=$A39)*(TEXT('Daily Checklist'!$B$2:$B$2000,"yyyy-mm-dd")=TEXT(($B$4+4),"yyyy-mm-dd"))*('Daily Checklist'!$F$2:$F$2000="Done"))&amp;"/"&amp;SUMPRODUCT(('Daily Checklist'!$D$2:$D$2000=$A39)*(TEXT('Daily Checklist'!$B$2:$B$2000,"yyyy-mm-dd")=TEXT(($B$4+4),"yyyy-mm-dd")))&amp;" ESC",SUMPRODUCT(('Daily Checklist'!$D$2:$D$2000=$A39)*(TEXT('Daily Checklist'!$B$2:$B$2000,"yyyy-mm-dd")=TEXT(($B$4+4),"yyyy-mm-dd"))*('Daily Checklist'!$F$2:$F$2000="Done"))&amp;"/"&amp;SUMPRODUCT(('Daily Checklist'!$D$2:$D$2000=$A39)*(TEXT('Daily Checklist'!$B$2:$B$2000,"yyyy-mm-dd")=TEXT(($B$4+4),"yyyy-mm-dd"))))))</f>
        <v/>
      </c>
      <c r="G39" s="25" t="str">
        <f aca="false">IF($A39="","",IF(SUMPRODUCT(('Daily Checklist'!$D$2:$D$2000=$A39)*(TEXT('Daily Checklist'!$B$2:$B$2000,"yyyy-mm-dd")=TEXT(($B$4+5),"yyyy-mm-dd")))=0,"-",IF(SUMPRODUCT(('Daily Checklist'!$D$2:$D$2000=$A39)*(TEXT('Daily Checklist'!$B$2:$B$2000,"yyyy-mm-dd")=TEXT(($B$4+5),"yyyy-mm-dd"))*('Daily Checklist'!$L$2:$L$2000="Y"))&gt;0,SUMPRODUCT(('Daily Checklist'!$D$2:$D$2000=$A39)*(TEXT('Daily Checklist'!$B$2:$B$2000,"yyyy-mm-dd")=TEXT(($B$4+5),"yyyy-mm-dd"))*('Daily Checklist'!$F$2:$F$2000="Done"))&amp;"/"&amp;SUMPRODUCT(('Daily Checklist'!$D$2:$D$2000=$A39)*(TEXT('Daily Checklist'!$B$2:$B$2000,"yyyy-mm-dd")=TEXT(($B$4+5),"yyyy-mm-dd")))&amp;" ESC",SUMPRODUCT(('Daily Checklist'!$D$2:$D$2000=$A39)*(TEXT('Daily Checklist'!$B$2:$B$2000,"yyyy-mm-dd")=TEXT(($B$4+5),"yyyy-mm-dd"))*('Daily Checklist'!$F$2:$F$2000="Done"))&amp;"/"&amp;SUMPRODUCT(('Daily Checklist'!$D$2:$D$2000=$A39)*(TEXT('Daily Checklist'!$B$2:$B$2000,"yyyy-mm-dd")=TEXT(($B$4+5),"yyyy-mm-dd"))))))</f>
        <v/>
      </c>
      <c r="H39" s="25" t="str">
        <f aca="false">IF($A39="","",IF(SUMPRODUCT(('Daily Checklist'!$D$2:$D$2000=$A39)*(TEXT('Daily Checklist'!$B$2:$B$2000,"yyyy-mm-dd")=TEXT(($B$4+6),"yyyy-mm-dd")))=0,"-",IF(SUMPRODUCT(('Daily Checklist'!$D$2:$D$2000=$A39)*(TEXT('Daily Checklist'!$B$2:$B$2000,"yyyy-mm-dd")=TEXT(($B$4+6),"yyyy-mm-dd"))*('Daily Checklist'!$L$2:$L$2000="Y"))&gt;0,SUMPRODUCT(('Daily Checklist'!$D$2:$D$2000=$A39)*(TEXT('Daily Checklist'!$B$2:$B$2000,"yyyy-mm-dd")=TEXT(($B$4+6),"yyyy-mm-dd"))*('Daily Checklist'!$F$2:$F$2000="Done"))&amp;"/"&amp;SUMPRODUCT(('Daily Checklist'!$D$2:$D$2000=$A39)*(TEXT('Daily Checklist'!$B$2:$B$2000,"yyyy-mm-dd")=TEXT(($B$4+6),"yyyy-mm-dd")))&amp;" ESC",SUMPRODUCT(('Daily Checklist'!$D$2:$D$2000=$A39)*(TEXT('Daily Checklist'!$B$2:$B$2000,"yyyy-mm-dd")=TEXT(($B$4+6),"yyyy-mm-dd"))*('Daily Checklist'!$F$2:$F$2000="Done"))&amp;"/"&amp;SUMPRODUCT(('Daily Checklist'!$D$2:$D$2000=$A39)*(TEXT('Daily Checklist'!$B$2:$B$2000,"yyyy-mm-dd")=TEXT(($B$4+6),"yyyy-mm-dd"))))))</f>
        <v/>
      </c>
      <c r="I39" s="25" t="str">
        <f aca="false">IF($A39="","",IF(SUMPRODUCT(('Daily Checklist'!$D$2:$D$2000=$A39)*(TEXT('Daily Checklist'!$B$2:$B$2000,"yyyy-mm-dd")=TEXT(($B$4+7),"yyyy-mm-dd")))=0,"-",IF(SUMPRODUCT(('Daily Checklist'!$D$2:$D$2000=$A39)*(TEXT('Daily Checklist'!$B$2:$B$2000,"yyyy-mm-dd")=TEXT(($B$4+7),"yyyy-mm-dd"))*('Daily Checklist'!$L$2:$L$2000="Y"))&gt;0,SUMPRODUCT(('Daily Checklist'!$D$2:$D$2000=$A39)*(TEXT('Daily Checklist'!$B$2:$B$2000,"yyyy-mm-dd")=TEXT(($B$4+7),"yyyy-mm-dd"))*('Daily Checklist'!$F$2:$F$2000="Done"))&amp;"/"&amp;SUMPRODUCT(('Daily Checklist'!$D$2:$D$2000=$A39)*(TEXT('Daily Checklist'!$B$2:$B$2000,"yyyy-mm-dd")=TEXT(($B$4+7),"yyyy-mm-dd")))&amp;" ESC",SUMPRODUCT(('Daily Checklist'!$D$2:$D$2000=$A39)*(TEXT('Daily Checklist'!$B$2:$B$2000,"yyyy-mm-dd")=TEXT(($B$4+7),"yyyy-mm-dd"))*('Daily Checklist'!$F$2:$F$2000="Done"))&amp;"/"&amp;SUMPRODUCT(('Daily Checklist'!$D$2:$D$2000=$A39)*(TEXT('Daily Checklist'!$B$2:$B$2000,"yyyy-mm-dd")=TEXT(($B$4+7),"yyyy-mm-dd"))))))</f>
        <v/>
      </c>
      <c r="J39" s="25" t="str">
        <f aca="false">IF($A39="","",IF(SUMPRODUCT(('Daily Checklist'!$D$2:$D$2000=$A39)*(TEXT('Daily Checklist'!$B$2:$B$2000,"yyyy-mm-dd")=TEXT(($B$4+8),"yyyy-mm-dd")))=0,"-",IF(SUMPRODUCT(('Daily Checklist'!$D$2:$D$2000=$A39)*(TEXT('Daily Checklist'!$B$2:$B$2000,"yyyy-mm-dd")=TEXT(($B$4+8),"yyyy-mm-dd"))*('Daily Checklist'!$L$2:$L$2000="Y"))&gt;0,SUMPRODUCT(('Daily Checklist'!$D$2:$D$2000=$A39)*(TEXT('Daily Checklist'!$B$2:$B$2000,"yyyy-mm-dd")=TEXT(($B$4+8),"yyyy-mm-dd"))*('Daily Checklist'!$F$2:$F$2000="Done"))&amp;"/"&amp;SUMPRODUCT(('Daily Checklist'!$D$2:$D$2000=$A39)*(TEXT('Daily Checklist'!$B$2:$B$2000,"yyyy-mm-dd")=TEXT(($B$4+8),"yyyy-mm-dd")))&amp;" ESC",SUMPRODUCT(('Daily Checklist'!$D$2:$D$2000=$A39)*(TEXT('Daily Checklist'!$B$2:$B$2000,"yyyy-mm-dd")=TEXT(($B$4+8),"yyyy-mm-dd"))*('Daily Checklist'!$F$2:$F$2000="Done"))&amp;"/"&amp;SUMPRODUCT(('Daily Checklist'!$D$2:$D$2000=$A39)*(TEXT('Daily Checklist'!$B$2:$B$2000,"yyyy-mm-dd")=TEXT(($B$4+8),"yyyy-mm-dd"))))))</f>
        <v/>
      </c>
      <c r="K39" s="25" t="str">
        <f aca="false">IF($A39="","",IF(SUMPRODUCT(('Daily Checklist'!$D$2:$D$2000=$A39)*(TEXT('Daily Checklist'!$B$2:$B$2000,"yyyy-mm-dd")=TEXT(($B$4+9),"yyyy-mm-dd")))=0,"-",IF(SUMPRODUCT(('Daily Checklist'!$D$2:$D$2000=$A39)*(TEXT('Daily Checklist'!$B$2:$B$2000,"yyyy-mm-dd")=TEXT(($B$4+9),"yyyy-mm-dd"))*('Daily Checklist'!$L$2:$L$2000="Y"))&gt;0,SUMPRODUCT(('Daily Checklist'!$D$2:$D$2000=$A39)*(TEXT('Daily Checklist'!$B$2:$B$2000,"yyyy-mm-dd")=TEXT(($B$4+9),"yyyy-mm-dd"))*('Daily Checklist'!$F$2:$F$2000="Done"))&amp;"/"&amp;SUMPRODUCT(('Daily Checklist'!$D$2:$D$2000=$A39)*(TEXT('Daily Checklist'!$B$2:$B$2000,"yyyy-mm-dd")=TEXT(($B$4+9),"yyyy-mm-dd")))&amp;" ESC",SUMPRODUCT(('Daily Checklist'!$D$2:$D$2000=$A39)*(TEXT('Daily Checklist'!$B$2:$B$2000,"yyyy-mm-dd")=TEXT(($B$4+9),"yyyy-mm-dd"))*('Daily Checklist'!$F$2:$F$2000="Done"))&amp;"/"&amp;SUMPRODUCT(('Daily Checklist'!$D$2:$D$2000=$A39)*(TEXT('Daily Checklist'!$B$2:$B$2000,"yyyy-mm-dd")=TEXT(($B$4+9),"yyyy-mm-dd"))))))</f>
        <v/>
      </c>
      <c r="L39" s="25" t="str">
        <f aca="false">IF($A39="","",IF(SUMPRODUCT(('Daily Checklist'!$D$2:$D$2000=$A39)*(TEXT('Daily Checklist'!$B$2:$B$2000,"yyyy-mm-dd")=TEXT(($B$4+10),"yyyy-mm-dd")))=0,"-",IF(SUMPRODUCT(('Daily Checklist'!$D$2:$D$2000=$A39)*(TEXT('Daily Checklist'!$B$2:$B$2000,"yyyy-mm-dd")=TEXT(($B$4+10),"yyyy-mm-dd"))*('Daily Checklist'!$L$2:$L$2000="Y"))&gt;0,SUMPRODUCT(('Daily Checklist'!$D$2:$D$2000=$A39)*(TEXT('Daily Checklist'!$B$2:$B$2000,"yyyy-mm-dd")=TEXT(($B$4+10),"yyyy-mm-dd"))*('Daily Checklist'!$F$2:$F$2000="Done"))&amp;"/"&amp;SUMPRODUCT(('Daily Checklist'!$D$2:$D$2000=$A39)*(TEXT('Daily Checklist'!$B$2:$B$2000,"yyyy-mm-dd")=TEXT(($B$4+10),"yyyy-mm-dd")))&amp;" ESC",SUMPRODUCT(('Daily Checklist'!$D$2:$D$2000=$A39)*(TEXT('Daily Checklist'!$B$2:$B$2000,"yyyy-mm-dd")=TEXT(($B$4+10),"yyyy-mm-dd"))*('Daily Checklist'!$F$2:$F$2000="Done"))&amp;"/"&amp;SUMPRODUCT(('Daily Checklist'!$D$2:$D$2000=$A39)*(TEXT('Daily Checklist'!$B$2:$B$2000,"yyyy-mm-dd")=TEXT(($B$4+10),"yyyy-mm-dd"))))))</f>
        <v/>
      </c>
      <c r="M39" s="25" t="str">
        <f aca="false">IF($A39="","",IF(SUMPRODUCT(('Daily Checklist'!$D$2:$D$2000=$A39)*(TEXT('Daily Checklist'!$B$2:$B$2000,"yyyy-mm-dd")=TEXT(($B$4+11),"yyyy-mm-dd")))=0,"-",IF(SUMPRODUCT(('Daily Checklist'!$D$2:$D$2000=$A39)*(TEXT('Daily Checklist'!$B$2:$B$2000,"yyyy-mm-dd")=TEXT(($B$4+11),"yyyy-mm-dd"))*('Daily Checklist'!$L$2:$L$2000="Y"))&gt;0,SUMPRODUCT(('Daily Checklist'!$D$2:$D$2000=$A39)*(TEXT('Daily Checklist'!$B$2:$B$2000,"yyyy-mm-dd")=TEXT(($B$4+11),"yyyy-mm-dd"))*('Daily Checklist'!$F$2:$F$2000="Done"))&amp;"/"&amp;SUMPRODUCT(('Daily Checklist'!$D$2:$D$2000=$A39)*(TEXT('Daily Checklist'!$B$2:$B$2000,"yyyy-mm-dd")=TEXT(($B$4+11),"yyyy-mm-dd")))&amp;" ESC",SUMPRODUCT(('Daily Checklist'!$D$2:$D$2000=$A39)*(TEXT('Daily Checklist'!$B$2:$B$2000,"yyyy-mm-dd")=TEXT(($B$4+11),"yyyy-mm-dd"))*('Daily Checklist'!$F$2:$F$2000="Done"))&amp;"/"&amp;SUMPRODUCT(('Daily Checklist'!$D$2:$D$2000=$A39)*(TEXT('Daily Checklist'!$B$2:$B$2000,"yyyy-mm-dd")=TEXT(($B$4+11),"yyyy-mm-dd"))))))</f>
        <v/>
      </c>
      <c r="N39" s="25" t="str">
        <f aca="false">IF($A39="","",IF(SUMPRODUCT(('Daily Checklist'!$D$2:$D$2000=$A39)*(TEXT('Daily Checklist'!$B$2:$B$2000,"yyyy-mm-dd")=TEXT(($B$4+12),"yyyy-mm-dd")))=0,"-",IF(SUMPRODUCT(('Daily Checklist'!$D$2:$D$2000=$A39)*(TEXT('Daily Checklist'!$B$2:$B$2000,"yyyy-mm-dd")=TEXT(($B$4+12),"yyyy-mm-dd"))*('Daily Checklist'!$L$2:$L$2000="Y"))&gt;0,SUMPRODUCT(('Daily Checklist'!$D$2:$D$2000=$A39)*(TEXT('Daily Checklist'!$B$2:$B$2000,"yyyy-mm-dd")=TEXT(($B$4+12),"yyyy-mm-dd"))*('Daily Checklist'!$F$2:$F$2000="Done"))&amp;"/"&amp;SUMPRODUCT(('Daily Checklist'!$D$2:$D$2000=$A39)*(TEXT('Daily Checklist'!$B$2:$B$2000,"yyyy-mm-dd")=TEXT(($B$4+12),"yyyy-mm-dd")))&amp;" ESC",SUMPRODUCT(('Daily Checklist'!$D$2:$D$2000=$A39)*(TEXT('Daily Checklist'!$B$2:$B$2000,"yyyy-mm-dd")=TEXT(($B$4+12),"yyyy-mm-dd"))*('Daily Checklist'!$F$2:$F$2000="Done"))&amp;"/"&amp;SUMPRODUCT(('Daily Checklist'!$D$2:$D$2000=$A39)*(TEXT('Daily Checklist'!$B$2:$B$2000,"yyyy-mm-dd")=TEXT(($B$4+12),"yyyy-mm-dd"))))))</f>
        <v/>
      </c>
      <c r="O39" s="25" t="str">
        <f aca="false">IF($A39="","",IF(SUMPRODUCT(('Daily Checklist'!$D$2:$D$2000=$A39)*(TEXT('Daily Checklist'!$B$2:$B$2000,"yyyy-mm-dd")=TEXT(($B$4+13),"yyyy-mm-dd")))=0,"-",IF(SUMPRODUCT(('Daily Checklist'!$D$2:$D$2000=$A39)*(TEXT('Daily Checklist'!$B$2:$B$2000,"yyyy-mm-dd")=TEXT(($B$4+13),"yyyy-mm-dd"))*('Daily Checklist'!$L$2:$L$2000="Y"))&gt;0,SUMPRODUCT(('Daily Checklist'!$D$2:$D$2000=$A39)*(TEXT('Daily Checklist'!$B$2:$B$2000,"yyyy-mm-dd")=TEXT(($B$4+13),"yyyy-mm-dd"))*('Daily Checklist'!$F$2:$F$2000="Done"))&amp;"/"&amp;SUMPRODUCT(('Daily Checklist'!$D$2:$D$2000=$A39)*(TEXT('Daily Checklist'!$B$2:$B$2000,"yyyy-mm-dd")=TEXT(($B$4+13),"yyyy-mm-dd")))&amp;" ESC",SUMPRODUCT(('Daily Checklist'!$D$2:$D$2000=$A39)*(TEXT('Daily Checklist'!$B$2:$B$2000,"yyyy-mm-dd")=TEXT(($B$4+13),"yyyy-mm-dd"))*('Daily Checklist'!$F$2:$F$2000="Done"))&amp;"/"&amp;SUMPRODUCT(('Daily Checklist'!$D$2:$D$2000=$A39)*(TEXT('Daily Checklist'!$B$2:$B$2000,"yyyy-mm-dd")=TEXT(($B$4+13),"yyyy-mm-dd"))))))</f>
        <v/>
      </c>
      <c r="P39" s="25" t="str">
        <f aca="false">IF($A39="","",IF(SUMPRODUCT(('Daily Checklist'!$D$2:$D$2000=$A39)*(TEXT('Daily Checklist'!$B$2:$B$2000,"yyyy-mm-dd")=TEXT(($B$4+14),"yyyy-mm-dd")))=0,"-",IF(SUMPRODUCT(('Daily Checklist'!$D$2:$D$2000=$A39)*(TEXT('Daily Checklist'!$B$2:$B$2000,"yyyy-mm-dd")=TEXT(($B$4+14),"yyyy-mm-dd"))*('Daily Checklist'!$L$2:$L$2000="Y"))&gt;0,SUMPRODUCT(('Daily Checklist'!$D$2:$D$2000=$A39)*(TEXT('Daily Checklist'!$B$2:$B$2000,"yyyy-mm-dd")=TEXT(($B$4+14),"yyyy-mm-dd"))*('Daily Checklist'!$F$2:$F$2000="Done"))&amp;"/"&amp;SUMPRODUCT(('Daily Checklist'!$D$2:$D$2000=$A39)*(TEXT('Daily Checklist'!$B$2:$B$2000,"yyyy-mm-dd")=TEXT(($B$4+14),"yyyy-mm-dd")))&amp;" ESC",SUMPRODUCT(('Daily Checklist'!$D$2:$D$2000=$A39)*(TEXT('Daily Checklist'!$B$2:$B$2000,"yyyy-mm-dd")=TEXT(($B$4+14),"yyyy-mm-dd"))*('Daily Checklist'!$F$2:$F$2000="Done"))&amp;"/"&amp;SUMPRODUCT(('Daily Checklist'!$D$2:$D$2000=$A39)*(TEXT('Daily Checklist'!$B$2:$B$2000,"yyyy-mm-dd")=TEXT(($B$4+14),"yyyy-mm-dd"))))))</f>
        <v/>
      </c>
      <c r="Q39" s="25" t="str">
        <f aca="false">IF($A39="","",IF(SUMPRODUCT(('Daily Checklist'!$D$2:$D$2000=$A39)*(TEXT('Daily Checklist'!$B$2:$B$2000,"yyyy-mm-dd")=TEXT(($B$4+15),"yyyy-mm-dd")))=0,"-",IF(SUMPRODUCT(('Daily Checklist'!$D$2:$D$2000=$A39)*(TEXT('Daily Checklist'!$B$2:$B$2000,"yyyy-mm-dd")=TEXT(($B$4+15),"yyyy-mm-dd"))*('Daily Checklist'!$L$2:$L$2000="Y"))&gt;0,SUMPRODUCT(('Daily Checklist'!$D$2:$D$2000=$A39)*(TEXT('Daily Checklist'!$B$2:$B$2000,"yyyy-mm-dd")=TEXT(($B$4+15),"yyyy-mm-dd"))*('Daily Checklist'!$F$2:$F$2000="Done"))&amp;"/"&amp;SUMPRODUCT(('Daily Checklist'!$D$2:$D$2000=$A39)*(TEXT('Daily Checklist'!$B$2:$B$2000,"yyyy-mm-dd")=TEXT(($B$4+15),"yyyy-mm-dd")))&amp;" ESC",SUMPRODUCT(('Daily Checklist'!$D$2:$D$2000=$A39)*(TEXT('Daily Checklist'!$B$2:$B$2000,"yyyy-mm-dd")=TEXT(($B$4+15),"yyyy-mm-dd"))*('Daily Checklist'!$F$2:$F$2000="Done"))&amp;"/"&amp;SUMPRODUCT(('Daily Checklist'!$D$2:$D$2000=$A39)*(TEXT('Daily Checklist'!$B$2:$B$2000,"yyyy-mm-dd")=TEXT(($B$4+15),"yyyy-mm-dd"))))))</f>
        <v/>
      </c>
      <c r="R39" s="25" t="str">
        <f aca="false">IF($A39="","",IF(SUMPRODUCT(('Daily Checklist'!$D$2:$D$2000=$A39)*(TEXT('Daily Checklist'!$B$2:$B$2000,"yyyy-mm-dd")=TEXT(($B$4+16),"yyyy-mm-dd")))=0,"-",IF(SUMPRODUCT(('Daily Checklist'!$D$2:$D$2000=$A39)*(TEXT('Daily Checklist'!$B$2:$B$2000,"yyyy-mm-dd")=TEXT(($B$4+16),"yyyy-mm-dd"))*('Daily Checklist'!$L$2:$L$2000="Y"))&gt;0,SUMPRODUCT(('Daily Checklist'!$D$2:$D$2000=$A39)*(TEXT('Daily Checklist'!$B$2:$B$2000,"yyyy-mm-dd")=TEXT(($B$4+16),"yyyy-mm-dd"))*('Daily Checklist'!$F$2:$F$2000="Done"))&amp;"/"&amp;SUMPRODUCT(('Daily Checklist'!$D$2:$D$2000=$A39)*(TEXT('Daily Checklist'!$B$2:$B$2000,"yyyy-mm-dd")=TEXT(($B$4+16),"yyyy-mm-dd")))&amp;" ESC",SUMPRODUCT(('Daily Checklist'!$D$2:$D$2000=$A39)*(TEXT('Daily Checklist'!$B$2:$B$2000,"yyyy-mm-dd")=TEXT(($B$4+16),"yyyy-mm-dd"))*('Daily Checklist'!$F$2:$F$2000="Done"))&amp;"/"&amp;SUMPRODUCT(('Daily Checklist'!$D$2:$D$2000=$A39)*(TEXT('Daily Checklist'!$B$2:$B$2000,"yyyy-mm-dd")=TEXT(($B$4+16),"yyyy-mm-dd"))))))</f>
        <v/>
      </c>
      <c r="S39" s="25" t="str">
        <f aca="false">IF($A39="","",IF(SUMPRODUCT(('Daily Checklist'!$D$2:$D$2000=$A39)*(TEXT('Daily Checklist'!$B$2:$B$2000,"yyyy-mm-dd")=TEXT(($B$4+17),"yyyy-mm-dd")))=0,"-",IF(SUMPRODUCT(('Daily Checklist'!$D$2:$D$2000=$A39)*(TEXT('Daily Checklist'!$B$2:$B$2000,"yyyy-mm-dd")=TEXT(($B$4+17),"yyyy-mm-dd"))*('Daily Checklist'!$L$2:$L$2000="Y"))&gt;0,SUMPRODUCT(('Daily Checklist'!$D$2:$D$2000=$A39)*(TEXT('Daily Checklist'!$B$2:$B$2000,"yyyy-mm-dd")=TEXT(($B$4+17),"yyyy-mm-dd"))*('Daily Checklist'!$F$2:$F$2000="Done"))&amp;"/"&amp;SUMPRODUCT(('Daily Checklist'!$D$2:$D$2000=$A39)*(TEXT('Daily Checklist'!$B$2:$B$2000,"yyyy-mm-dd")=TEXT(($B$4+17),"yyyy-mm-dd")))&amp;" ESC",SUMPRODUCT(('Daily Checklist'!$D$2:$D$2000=$A39)*(TEXT('Daily Checklist'!$B$2:$B$2000,"yyyy-mm-dd")=TEXT(($B$4+17),"yyyy-mm-dd"))*('Daily Checklist'!$F$2:$F$2000="Done"))&amp;"/"&amp;SUMPRODUCT(('Daily Checklist'!$D$2:$D$2000=$A39)*(TEXT('Daily Checklist'!$B$2:$B$2000,"yyyy-mm-dd")=TEXT(($B$4+17),"yyyy-mm-dd"))))))</f>
        <v/>
      </c>
      <c r="T39" s="25" t="str">
        <f aca="false">IF($A39="","",IF(SUMPRODUCT(('Daily Checklist'!$D$2:$D$2000=$A39)*(TEXT('Daily Checklist'!$B$2:$B$2000,"yyyy-mm-dd")=TEXT(($B$4+18),"yyyy-mm-dd")))=0,"-",IF(SUMPRODUCT(('Daily Checklist'!$D$2:$D$2000=$A39)*(TEXT('Daily Checklist'!$B$2:$B$2000,"yyyy-mm-dd")=TEXT(($B$4+18),"yyyy-mm-dd"))*('Daily Checklist'!$L$2:$L$2000="Y"))&gt;0,SUMPRODUCT(('Daily Checklist'!$D$2:$D$2000=$A39)*(TEXT('Daily Checklist'!$B$2:$B$2000,"yyyy-mm-dd")=TEXT(($B$4+18),"yyyy-mm-dd"))*('Daily Checklist'!$F$2:$F$2000="Done"))&amp;"/"&amp;SUMPRODUCT(('Daily Checklist'!$D$2:$D$2000=$A39)*(TEXT('Daily Checklist'!$B$2:$B$2000,"yyyy-mm-dd")=TEXT(($B$4+18),"yyyy-mm-dd")))&amp;" ESC",SUMPRODUCT(('Daily Checklist'!$D$2:$D$2000=$A39)*(TEXT('Daily Checklist'!$B$2:$B$2000,"yyyy-mm-dd")=TEXT(($B$4+18),"yyyy-mm-dd"))*('Daily Checklist'!$F$2:$F$2000="Done"))&amp;"/"&amp;SUMPRODUCT(('Daily Checklist'!$D$2:$D$2000=$A39)*(TEXT('Daily Checklist'!$B$2:$B$2000,"yyyy-mm-dd")=TEXT(($B$4+18),"yyyy-mm-dd"))))))</f>
        <v/>
      </c>
      <c r="U39" s="25" t="str">
        <f aca="false">IF($A39="","",IF(SUMPRODUCT(('Daily Checklist'!$D$2:$D$2000=$A39)*(TEXT('Daily Checklist'!$B$2:$B$2000,"yyyy-mm-dd")=TEXT(($B$4+19),"yyyy-mm-dd")))=0,"-",IF(SUMPRODUCT(('Daily Checklist'!$D$2:$D$2000=$A39)*(TEXT('Daily Checklist'!$B$2:$B$2000,"yyyy-mm-dd")=TEXT(($B$4+19),"yyyy-mm-dd"))*('Daily Checklist'!$L$2:$L$2000="Y"))&gt;0,SUMPRODUCT(('Daily Checklist'!$D$2:$D$2000=$A39)*(TEXT('Daily Checklist'!$B$2:$B$2000,"yyyy-mm-dd")=TEXT(($B$4+19),"yyyy-mm-dd"))*('Daily Checklist'!$F$2:$F$2000="Done"))&amp;"/"&amp;SUMPRODUCT(('Daily Checklist'!$D$2:$D$2000=$A39)*(TEXT('Daily Checklist'!$B$2:$B$2000,"yyyy-mm-dd")=TEXT(($B$4+19),"yyyy-mm-dd")))&amp;" ESC",SUMPRODUCT(('Daily Checklist'!$D$2:$D$2000=$A39)*(TEXT('Daily Checklist'!$B$2:$B$2000,"yyyy-mm-dd")=TEXT(($B$4+19),"yyyy-mm-dd"))*('Daily Checklist'!$F$2:$F$2000="Done"))&amp;"/"&amp;SUMPRODUCT(('Daily Checklist'!$D$2:$D$2000=$A39)*(TEXT('Daily Checklist'!$B$2:$B$2000,"yyyy-mm-dd")=TEXT(($B$4+19),"yyyy-mm-dd"))))))</f>
        <v/>
      </c>
      <c r="V39" s="25" t="str">
        <f aca="false">IF($A39="","",IF(SUMPRODUCT(('Daily Checklist'!$D$2:$D$2000=$A39)*(TEXT('Daily Checklist'!$B$2:$B$2000,"yyyy-mm-dd")=TEXT(($B$4+20),"yyyy-mm-dd")))=0,"-",IF(SUMPRODUCT(('Daily Checklist'!$D$2:$D$2000=$A39)*(TEXT('Daily Checklist'!$B$2:$B$2000,"yyyy-mm-dd")=TEXT(($B$4+20),"yyyy-mm-dd"))*('Daily Checklist'!$L$2:$L$2000="Y"))&gt;0,SUMPRODUCT(('Daily Checklist'!$D$2:$D$2000=$A39)*(TEXT('Daily Checklist'!$B$2:$B$2000,"yyyy-mm-dd")=TEXT(($B$4+20),"yyyy-mm-dd"))*('Daily Checklist'!$F$2:$F$2000="Done"))&amp;"/"&amp;SUMPRODUCT(('Daily Checklist'!$D$2:$D$2000=$A39)*(TEXT('Daily Checklist'!$B$2:$B$2000,"yyyy-mm-dd")=TEXT(($B$4+20),"yyyy-mm-dd")))&amp;" ESC",SUMPRODUCT(('Daily Checklist'!$D$2:$D$2000=$A39)*(TEXT('Daily Checklist'!$B$2:$B$2000,"yyyy-mm-dd")=TEXT(($B$4+20),"yyyy-mm-dd"))*('Daily Checklist'!$F$2:$F$2000="Done"))&amp;"/"&amp;SUMPRODUCT(('Daily Checklist'!$D$2:$D$2000=$A39)*(TEXT('Daily Checklist'!$B$2:$B$2000,"yyyy-mm-dd")=TEXT(($B$4+20),"yyyy-mm-dd"))))))</f>
        <v/>
      </c>
      <c r="W39" s="25" t="str">
        <f aca="false">IF($A39="","",IF(SUMPRODUCT(('Daily Checklist'!$D$2:$D$2000=$A39)*(TEXT('Daily Checklist'!$B$2:$B$2000,"yyyy-mm-dd")=TEXT(($B$4+21),"yyyy-mm-dd")))=0,"-",IF(SUMPRODUCT(('Daily Checklist'!$D$2:$D$2000=$A39)*(TEXT('Daily Checklist'!$B$2:$B$2000,"yyyy-mm-dd")=TEXT(($B$4+21),"yyyy-mm-dd"))*('Daily Checklist'!$L$2:$L$2000="Y"))&gt;0,SUMPRODUCT(('Daily Checklist'!$D$2:$D$2000=$A39)*(TEXT('Daily Checklist'!$B$2:$B$2000,"yyyy-mm-dd")=TEXT(($B$4+21),"yyyy-mm-dd"))*('Daily Checklist'!$F$2:$F$2000="Done"))&amp;"/"&amp;SUMPRODUCT(('Daily Checklist'!$D$2:$D$2000=$A39)*(TEXT('Daily Checklist'!$B$2:$B$2000,"yyyy-mm-dd")=TEXT(($B$4+21),"yyyy-mm-dd")))&amp;" ESC",SUMPRODUCT(('Daily Checklist'!$D$2:$D$2000=$A39)*(TEXT('Daily Checklist'!$B$2:$B$2000,"yyyy-mm-dd")=TEXT(($B$4+21),"yyyy-mm-dd"))*('Daily Checklist'!$F$2:$F$2000="Done"))&amp;"/"&amp;SUMPRODUCT(('Daily Checklist'!$D$2:$D$2000=$A39)*(TEXT('Daily Checklist'!$B$2:$B$2000,"yyyy-mm-dd")=TEXT(($B$4+21),"yyyy-mm-dd"))))))</f>
        <v/>
      </c>
      <c r="X39" s="25" t="str">
        <f aca="false">IF($A39="","",IF(SUMPRODUCT(('Daily Checklist'!$D$2:$D$2000=$A39)*(TEXT('Daily Checklist'!$B$2:$B$2000,"yyyy-mm-dd")=TEXT(($B$4+22),"yyyy-mm-dd")))=0,"-",IF(SUMPRODUCT(('Daily Checklist'!$D$2:$D$2000=$A39)*(TEXT('Daily Checklist'!$B$2:$B$2000,"yyyy-mm-dd")=TEXT(($B$4+22),"yyyy-mm-dd"))*('Daily Checklist'!$L$2:$L$2000="Y"))&gt;0,SUMPRODUCT(('Daily Checklist'!$D$2:$D$2000=$A39)*(TEXT('Daily Checklist'!$B$2:$B$2000,"yyyy-mm-dd")=TEXT(($B$4+22),"yyyy-mm-dd"))*('Daily Checklist'!$F$2:$F$2000="Done"))&amp;"/"&amp;SUMPRODUCT(('Daily Checklist'!$D$2:$D$2000=$A39)*(TEXT('Daily Checklist'!$B$2:$B$2000,"yyyy-mm-dd")=TEXT(($B$4+22),"yyyy-mm-dd")))&amp;" ESC",SUMPRODUCT(('Daily Checklist'!$D$2:$D$2000=$A39)*(TEXT('Daily Checklist'!$B$2:$B$2000,"yyyy-mm-dd")=TEXT(($B$4+22),"yyyy-mm-dd"))*('Daily Checklist'!$F$2:$F$2000="Done"))&amp;"/"&amp;SUMPRODUCT(('Daily Checklist'!$D$2:$D$2000=$A39)*(TEXT('Daily Checklist'!$B$2:$B$2000,"yyyy-mm-dd")=TEXT(($B$4+22),"yyyy-mm-dd"))))))</f>
        <v/>
      </c>
      <c r="Y39" s="25" t="str">
        <f aca="false">IF($A39="","",IF(SUMPRODUCT(('Daily Checklist'!$D$2:$D$2000=$A39)*(TEXT('Daily Checklist'!$B$2:$B$2000,"yyyy-mm-dd")=TEXT(($B$4+23),"yyyy-mm-dd")))=0,"-",IF(SUMPRODUCT(('Daily Checklist'!$D$2:$D$2000=$A39)*(TEXT('Daily Checklist'!$B$2:$B$2000,"yyyy-mm-dd")=TEXT(($B$4+23),"yyyy-mm-dd"))*('Daily Checklist'!$L$2:$L$2000="Y"))&gt;0,SUMPRODUCT(('Daily Checklist'!$D$2:$D$2000=$A39)*(TEXT('Daily Checklist'!$B$2:$B$2000,"yyyy-mm-dd")=TEXT(($B$4+23),"yyyy-mm-dd"))*('Daily Checklist'!$F$2:$F$2000="Done"))&amp;"/"&amp;SUMPRODUCT(('Daily Checklist'!$D$2:$D$2000=$A39)*(TEXT('Daily Checklist'!$B$2:$B$2000,"yyyy-mm-dd")=TEXT(($B$4+23),"yyyy-mm-dd")))&amp;" ESC",SUMPRODUCT(('Daily Checklist'!$D$2:$D$2000=$A39)*(TEXT('Daily Checklist'!$B$2:$B$2000,"yyyy-mm-dd")=TEXT(($B$4+23),"yyyy-mm-dd"))*('Daily Checklist'!$F$2:$F$2000="Done"))&amp;"/"&amp;SUMPRODUCT(('Daily Checklist'!$D$2:$D$2000=$A39)*(TEXT('Daily Checklist'!$B$2:$B$2000,"yyyy-mm-dd")=TEXT(($B$4+23),"yyyy-mm-dd"))))))</f>
        <v/>
      </c>
      <c r="Z39" s="25" t="str">
        <f aca="false">IF($A39="","",IF(SUMPRODUCT(('Daily Checklist'!$D$2:$D$2000=$A39)*(TEXT('Daily Checklist'!$B$2:$B$2000,"yyyy-mm-dd")=TEXT(($B$4+24),"yyyy-mm-dd")))=0,"-",IF(SUMPRODUCT(('Daily Checklist'!$D$2:$D$2000=$A39)*(TEXT('Daily Checklist'!$B$2:$B$2000,"yyyy-mm-dd")=TEXT(($B$4+24),"yyyy-mm-dd"))*('Daily Checklist'!$L$2:$L$2000="Y"))&gt;0,SUMPRODUCT(('Daily Checklist'!$D$2:$D$2000=$A39)*(TEXT('Daily Checklist'!$B$2:$B$2000,"yyyy-mm-dd")=TEXT(($B$4+24),"yyyy-mm-dd"))*('Daily Checklist'!$F$2:$F$2000="Done"))&amp;"/"&amp;SUMPRODUCT(('Daily Checklist'!$D$2:$D$2000=$A39)*(TEXT('Daily Checklist'!$B$2:$B$2000,"yyyy-mm-dd")=TEXT(($B$4+24),"yyyy-mm-dd")))&amp;" ESC",SUMPRODUCT(('Daily Checklist'!$D$2:$D$2000=$A39)*(TEXT('Daily Checklist'!$B$2:$B$2000,"yyyy-mm-dd")=TEXT(($B$4+24),"yyyy-mm-dd"))*('Daily Checklist'!$F$2:$F$2000="Done"))&amp;"/"&amp;SUMPRODUCT(('Daily Checklist'!$D$2:$D$2000=$A39)*(TEXT('Daily Checklist'!$B$2:$B$2000,"yyyy-mm-dd")=TEXT(($B$4+24),"yyyy-mm-dd"))))))</f>
        <v/>
      </c>
      <c r="AA39" s="25" t="str">
        <f aca="false">IF($A39="","",IF(SUMPRODUCT(('Daily Checklist'!$D$2:$D$2000=$A39)*(TEXT('Daily Checklist'!$B$2:$B$2000,"yyyy-mm-dd")=TEXT(($B$4+25),"yyyy-mm-dd")))=0,"-",IF(SUMPRODUCT(('Daily Checklist'!$D$2:$D$2000=$A39)*(TEXT('Daily Checklist'!$B$2:$B$2000,"yyyy-mm-dd")=TEXT(($B$4+25),"yyyy-mm-dd"))*('Daily Checklist'!$L$2:$L$2000="Y"))&gt;0,SUMPRODUCT(('Daily Checklist'!$D$2:$D$2000=$A39)*(TEXT('Daily Checklist'!$B$2:$B$2000,"yyyy-mm-dd")=TEXT(($B$4+25),"yyyy-mm-dd"))*('Daily Checklist'!$F$2:$F$2000="Done"))&amp;"/"&amp;SUMPRODUCT(('Daily Checklist'!$D$2:$D$2000=$A39)*(TEXT('Daily Checklist'!$B$2:$B$2000,"yyyy-mm-dd")=TEXT(($B$4+25),"yyyy-mm-dd")))&amp;" ESC",SUMPRODUCT(('Daily Checklist'!$D$2:$D$2000=$A39)*(TEXT('Daily Checklist'!$B$2:$B$2000,"yyyy-mm-dd")=TEXT(($B$4+25),"yyyy-mm-dd"))*('Daily Checklist'!$F$2:$F$2000="Done"))&amp;"/"&amp;SUMPRODUCT(('Daily Checklist'!$D$2:$D$2000=$A39)*(TEXT('Daily Checklist'!$B$2:$B$2000,"yyyy-mm-dd")=TEXT(($B$4+25),"yyyy-mm-dd"))))))</f>
        <v/>
      </c>
      <c r="AB39" s="25" t="str">
        <f aca="false">IF($A39="","",IF(SUMPRODUCT(('Daily Checklist'!$D$2:$D$2000=$A39)*(TEXT('Daily Checklist'!$B$2:$B$2000,"yyyy-mm-dd")=TEXT(($B$4+26),"yyyy-mm-dd")))=0,"-",IF(SUMPRODUCT(('Daily Checklist'!$D$2:$D$2000=$A39)*(TEXT('Daily Checklist'!$B$2:$B$2000,"yyyy-mm-dd")=TEXT(($B$4+26),"yyyy-mm-dd"))*('Daily Checklist'!$L$2:$L$2000="Y"))&gt;0,SUMPRODUCT(('Daily Checklist'!$D$2:$D$2000=$A39)*(TEXT('Daily Checklist'!$B$2:$B$2000,"yyyy-mm-dd")=TEXT(($B$4+26),"yyyy-mm-dd"))*('Daily Checklist'!$F$2:$F$2000="Done"))&amp;"/"&amp;SUMPRODUCT(('Daily Checklist'!$D$2:$D$2000=$A39)*(TEXT('Daily Checklist'!$B$2:$B$2000,"yyyy-mm-dd")=TEXT(($B$4+26),"yyyy-mm-dd")))&amp;" ESC",SUMPRODUCT(('Daily Checklist'!$D$2:$D$2000=$A39)*(TEXT('Daily Checklist'!$B$2:$B$2000,"yyyy-mm-dd")=TEXT(($B$4+26),"yyyy-mm-dd"))*('Daily Checklist'!$F$2:$F$2000="Done"))&amp;"/"&amp;SUMPRODUCT(('Daily Checklist'!$D$2:$D$2000=$A39)*(TEXT('Daily Checklist'!$B$2:$B$2000,"yyyy-mm-dd")=TEXT(($B$4+26),"yyyy-mm-dd"))))))</f>
        <v/>
      </c>
      <c r="AC39" s="25" t="str">
        <f aca="false">IF($A39="","",IF(SUMPRODUCT(('Daily Checklist'!$D$2:$D$2000=$A39)*(TEXT('Daily Checklist'!$B$2:$B$2000,"yyyy-mm-dd")=TEXT(($B$4+27),"yyyy-mm-dd")))=0,"-",IF(SUMPRODUCT(('Daily Checklist'!$D$2:$D$2000=$A39)*(TEXT('Daily Checklist'!$B$2:$B$2000,"yyyy-mm-dd")=TEXT(($B$4+27),"yyyy-mm-dd"))*('Daily Checklist'!$L$2:$L$2000="Y"))&gt;0,SUMPRODUCT(('Daily Checklist'!$D$2:$D$2000=$A39)*(TEXT('Daily Checklist'!$B$2:$B$2000,"yyyy-mm-dd")=TEXT(($B$4+27),"yyyy-mm-dd"))*('Daily Checklist'!$F$2:$F$2000="Done"))&amp;"/"&amp;SUMPRODUCT(('Daily Checklist'!$D$2:$D$2000=$A39)*(TEXT('Daily Checklist'!$B$2:$B$2000,"yyyy-mm-dd")=TEXT(($B$4+27),"yyyy-mm-dd")))&amp;" ESC",SUMPRODUCT(('Daily Checklist'!$D$2:$D$2000=$A39)*(TEXT('Daily Checklist'!$B$2:$B$2000,"yyyy-mm-dd")=TEXT(($B$4+27),"yyyy-mm-dd"))*('Daily Checklist'!$F$2:$F$2000="Done"))&amp;"/"&amp;SUMPRODUCT(('Daily Checklist'!$D$2:$D$2000=$A39)*(TEXT('Daily Checklist'!$B$2:$B$2000,"yyyy-mm-dd")=TEXT(($B$4+27),"yyyy-mm-dd"))))))</f>
        <v/>
      </c>
      <c r="AD39" s="25" t="str">
        <f aca="false">IF($A39="","",IF(SUMPRODUCT(('Daily Checklist'!$D$2:$D$2000=$A39)*(TEXT('Daily Checklist'!$B$2:$B$2000,"yyyy-mm-dd")=TEXT(($B$4+28),"yyyy-mm-dd")))=0,"-",IF(SUMPRODUCT(('Daily Checklist'!$D$2:$D$2000=$A39)*(TEXT('Daily Checklist'!$B$2:$B$2000,"yyyy-mm-dd")=TEXT(($B$4+28),"yyyy-mm-dd"))*('Daily Checklist'!$L$2:$L$2000="Y"))&gt;0,SUMPRODUCT(('Daily Checklist'!$D$2:$D$2000=$A39)*(TEXT('Daily Checklist'!$B$2:$B$2000,"yyyy-mm-dd")=TEXT(($B$4+28),"yyyy-mm-dd"))*('Daily Checklist'!$F$2:$F$2000="Done"))&amp;"/"&amp;SUMPRODUCT(('Daily Checklist'!$D$2:$D$2000=$A39)*(TEXT('Daily Checklist'!$B$2:$B$2000,"yyyy-mm-dd")=TEXT(($B$4+28),"yyyy-mm-dd")))&amp;" ESC",SUMPRODUCT(('Daily Checklist'!$D$2:$D$2000=$A39)*(TEXT('Daily Checklist'!$B$2:$B$2000,"yyyy-mm-dd")=TEXT(($B$4+28),"yyyy-mm-dd"))*('Daily Checklist'!$F$2:$F$2000="Done"))&amp;"/"&amp;SUMPRODUCT(('Daily Checklist'!$D$2:$D$2000=$A39)*(TEXT('Daily Checklist'!$B$2:$B$2000,"yyyy-mm-dd")=TEXT(($B$4+28),"yyyy-mm-dd"))))))</f>
        <v/>
      </c>
      <c r="AE39" s="25" t="str">
        <f aca="false">IF($A39="","",IF(SUMPRODUCT(('Daily Checklist'!$D$2:$D$2000=$A39)*(TEXT('Daily Checklist'!$B$2:$B$2000,"yyyy-mm-dd")=TEXT(($B$4+29),"yyyy-mm-dd")))=0,"-",IF(SUMPRODUCT(('Daily Checklist'!$D$2:$D$2000=$A39)*(TEXT('Daily Checklist'!$B$2:$B$2000,"yyyy-mm-dd")=TEXT(($B$4+29),"yyyy-mm-dd"))*('Daily Checklist'!$L$2:$L$2000="Y"))&gt;0,SUMPRODUCT(('Daily Checklist'!$D$2:$D$2000=$A39)*(TEXT('Daily Checklist'!$B$2:$B$2000,"yyyy-mm-dd")=TEXT(($B$4+29),"yyyy-mm-dd"))*('Daily Checklist'!$F$2:$F$2000="Done"))&amp;"/"&amp;SUMPRODUCT(('Daily Checklist'!$D$2:$D$2000=$A39)*(TEXT('Daily Checklist'!$B$2:$B$2000,"yyyy-mm-dd")=TEXT(($B$4+29),"yyyy-mm-dd")))&amp;" ESC",SUMPRODUCT(('Daily Checklist'!$D$2:$D$2000=$A39)*(TEXT('Daily Checklist'!$B$2:$B$2000,"yyyy-mm-dd")=TEXT(($B$4+29),"yyyy-mm-dd"))*('Daily Checklist'!$F$2:$F$2000="Done"))&amp;"/"&amp;SUMPRODUCT(('Daily Checklist'!$D$2:$D$2000=$A39)*(TEXT('Daily Checklist'!$B$2:$B$2000,"yyyy-mm-dd")=TEXT(($B$4+29),"yyyy-mm-dd"))))))</f>
        <v/>
      </c>
      <c r="AF39" s="25" t="str">
        <f aca="false">IF($A39="","",IF(SUMPRODUCT(('Daily Checklist'!$D$2:$D$2000=$A39)*(TEXT('Daily Checklist'!$B$2:$B$2000,"yyyy-mm-dd")=TEXT(($B$4+30),"yyyy-mm-dd")))=0,"-",IF(SUMPRODUCT(('Daily Checklist'!$D$2:$D$2000=$A39)*(TEXT('Daily Checklist'!$B$2:$B$2000,"yyyy-mm-dd")=TEXT(($B$4+30),"yyyy-mm-dd"))*('Daily Checklist'!$L$2:$L$2000="Y"))&gt;0,SUMPRODUCT(('Daily Checklist'!$D$2:$D$2000=$A39)*(TEXT('Daily Checklist'!$B$2:$B$2000,"yyyy-mm-dd")=TEXT(($B$4+30),"yyyy-mm-dd"))*('Daily Checklist'!$F$2:$F$2000="Done"))&amp;"/"&amp;SUMPRODUCT(('Daily Checklist'!$D$2:$D$2000=$A39)*(TEXT('Daily Checklist'!$B$2:$B$2000,"yyyy-mm-dd")=TEXT(($B$4+30),"yyyy-mm-dd")))&amp;" ESC",SUMPRODUCT(('Daily Checklist'!$D$2:$D$2000=$A39)*(TEXT('Daily Checklist'!$B$2:$B$2000,"yyyy-mm-dd")=TEXT(($B$4+30),"yyyy-mm-dd"))*('Daily Checklist'!$F$2:$F$2000="Done"))&amp;"/"&amp;SUMPRODUCT(('Daily Checklist'!$D$2:$D$2000=$A39)*(TEXT('Daily Checklist'!$B$2:$B$2000,"yyyy-mm-dd")=TEXT(($B$4+30),"yyyy-mm-dd"))))))</f>
        <v/>
      </c>
    </row>
    <row r="40" customFormat="false" ht="15" hidden="false" customHeight="true" outlineLevel="0" collapsed="false">
      <c r="A40" s="24" t="str">
        <f aca="false">IFERROR(IF(Employees!A35="","",Employees!A35),"")</f>
        <v/>
      </c>
      <c r="B40" s="25" t="str">
        <f aca="false">IF($A40="","",IF(SUMPRODUCT(('Daily Checklist'!$D$2:$D$2000=$A40)*(TEXT('Daily Checklist'!$B$2:$B$2000,"yyyy-mm-dd")=TEXT(($B$4+0),"yyyy-mm-dd")))=0,"-",IF(SUMPRODUCT(('Daily Checklist'!$D$2:$D$2000=$A40)*(TEXT('Daily Checklist'!$B$2:$B$2000,"yyyy-mm-dd")=TEXT(($B$4+0),"yyyy-mm-dd"))*('Daily Checklist'!$L$2:$L$2000="Y"))&gt;0,SUMPRODUCT(('Daily Checklist'!$D$2:$D$2000=$A40)*(TEXT('Daily Checklist'!$B$2:$B$2000,"yyyy-mm-dd")=TEXT(($B$4+0),"yyyy-mm-dd"))*('Daily Checklist'!$F$2:$F$2000="Done"))&amp;"/"&amp;SUMPRODUCT(('Daily Checklist'!$D$2:$D$2000=$A40)*(TEXT('Daily Checklist'!$B$2:$B$2000,"yyyy-mm-dd")=TEXT(($B$4+0),"yyyy-mm-dd")))&amp;" ESC",SUMPRODUCT(('Daily Checklist'!$D$2:$D$2000=$A40)*(TEXT('Daily Checklist'!$B$2:$B$2000,"yyyy-mm-dd")=TEXT(($B$4+0),"yyyy-mm-dd"))*('Daily Checklist'!$F$2:$F$2000="Done"))&amp;"/"&amp;SUMPRODUCT(('Daily Checklist'!$D$2:$D$2000=$A40)*(TEXT('Daily Checklist'!$B$2:$B$2000,"yyyy-mm-dd")=TEXT(($B$4+0),"yyyy-mm-dd"))))))</f>
        <v/>
      </c>
      <c r="C40" s="25" t="str">
        <f aca="false">IF($A40="","",IF(SUMPRODUCT(('Daily Checklist'!$D$2:$D$2000=$A40)*(TEXT('Daily Checklist'!$B$2:$B$2000,"yyyy-mm-dd")=TEXT(($B$4+1),"yyyy-mm-dd")))=0,"-",IF(SUMPRODUCT(('Daily Checklist'!$D$2:$D$2000=$A40)*(TEXT('Daily Checklist'!$B$2:$B$2000,"yyyy-mm-dd")=TEXT(($B$4+1),"yyyy-mm-dd"))*('Daily Checklist'!$L$2:$L$2000="Y"))&gt;0,SUMPRODUCT(('Daily Checklist'!$D$2:$D$2000=$A40)*(TEXT('Daily Checklist'!$B$2:$B$2000,"yyyy-mm-dd")=TEXT(($B$4+1),"yyyy-mm-dd"))*('Daily Checklist'!$F$2:$F$2000="Done"))&amp;"/"&amp;SUMPRODUCT(('Daily Checklist'!$D$2:$D$2000=$A40)*(TEXT('Daily Checklist'!$B$2:$B$2000,"yyyy-mm-dd")=TEXT(($B$4+1),"yyyy-mm-dd")))&amp;" ESC",SUMPRODUCT(('Daily Checklist'!$D$2:$D$2000=$A40)*(TEXT('Daily Checklist'!$B$2:$B$2000,"yyyy-mm-dd")=TEXT(($B$4+1),"yyyy-mm-dd"))*('Daily Checklist'!$F$2:$F$2000="Done"))&amp;"/"&amp;SUMPRODUCT(('Daily Checklist'!$D$2:$D$2000=$A40)*(TEXT('Daily Checklist'!$B$2:$B$2000,"yyyy-mm-dd")=TEXT(($B$4+1),"yyyy-mm-dd"))))))</f>
        <v/>
      </c>
      <c r="D40" s="25" t="str">
        <f aca="false">IF($A40="","",IF(SUMPRODUCT(('Daily Checklist'!$D$2:$D$2000=$A40)*(TEXT('Daily Checklist'!$B$2:$B$2000,"yyyy-mm-dd")=TEXT(($B$4+2),"yyyy-mm-dd")))=0,"-",IF(SUMPRODUCT(('Daily Checklist'!$D$2:$D$2000=$A40)*(TEXT('Daily Checklist'!$B$2:$B$2000,"yyyy-mm-dd")=TEXT(($B$4+2),"yyyy-mm-dd"))*('Daily Checklist'!$L$2:$L$2000="Y"))&gt;0,SUMPRODUCT(('Daily Checklist'!$D$2:$D$2000=$A40)*(TEXT('Daily Checklist'!$B$2:$B$2000,"yyyy-mm-dd")=TEXT(($B$4+2),"yyyy-mm-dd"))*('Daily Checklist'!$F$2:$F$2000="Done"))&amp;"/"&amp;SUMPRODUCT(('Daily Checklist'!$D$2:$D$2000=$A40)*(TEXT('Daily Checklist'!$B$2:$B$2000,"yyyy-mm-dd")=TEXT(($B$4+2),"yyyy-mm-dd")))&amp;" ESC",SUMPRODUCT(('Daily Checklist'!$D$2:$D$2000=$A40)*(TEXT('Daily Checklist'!$B$2:$B$2000,"yyyy-mm-dd")=TEXT(($B$4+2),"yyyy-mm-dd"))*('Daily Checklist'!$F$2:$F$2000="Done"))&amp;"/"&amp;SUMPRODUCT(('Daily Checklist'!$D$2:$D$2000=$A40)*(TEXT('Daily Checklist'!$B$2:$B$2000,"yyyy-mm-dd")=TEXT(($B$4+2),"yyyy-mm-dd"))))))</f>
        <v/>
      </c>
      <c r="E40" s="25" t="str">
        <f aca="false">IF($A40="","",IF(SUMPRODUCT(('Daily Checklist'!$D$2:$D$2000=$A40)*(TEXT('Daily Checklist'!$B$2:$B$2000,"yyyy-mm-dd")=TEXT(($B$4+3),"yyyy-mm-dd")))=0,"-",IF(SUMPRODUCT(('Daily Checklist'!$D$2:$D$2000=$A40)*(TEXT('Daily Checklist'!$B$2:$B$2000,"yyyy-mm-dd")=TEXT(($B$4+3),"yyyy-mm-dd"))*('Daily Checklist'!$L$2:$L$2000="Y"))&gt;0,SUMPRODUCT(('Daily Checklist'!$D$2:$D$2000=$A40)*(TEXT('Daily Checklist'!$B$2:$B$2000,"yyyy-mm-dd")=TEXT(($B$4+3),"yyyy-mm-dd"))*('Daily Checklist'!$F$2:$F$2000="Done"))&amp;"/"&amp;SUMPRODUCT(('Daily Checklist'!$D$2:$D$2000=$A40)*(TEXT('Daily Checklist'!$B$2:$B$2000,"yyyy-mm-dd")=TEXT(($B$4+3),"yyyy-mm-dd")))&amp;" ESC",SUMPRODUCT(('Daily Checklist'!$D$2:$D$2000=$A40)*(TEXT('Daily Checklist'!$B$2:$B$2000,"yyyy-mm-dd")=TEXT(($B$4+3),"yyyy-mm-dd"))*('Daily Checklist'!$F$2:$F$2000="Done"))&amp;"/"&amp;SUMPRODUCT(('Daily Checklist'!$D$2:$D$2000=$A40)*(TEXT('Daily Checklist'!$B$2:$B$2000,"yyyy-mm-dd")=TEXT(($B$4+3),"yyyy-mm-dd"))))))</f>
        <v/>
      </c>
      <c r="F40" s="25" t="str">
        <f aca="false">IF($A40="","",IF(SUMPRODUCT(('Daily Checklist'!$D$2:$D$2000=$A40)*(TEXT('Daily Checklist'!$B$2:$B$2000,"yyyy-mm-dd")=TEXT(($B$4+4),"yyyy-mm-dd")))=0,"-",IF(SUMPRODUCT(('Daily Checklist'!$D$2:$D$2000=$A40)*(TEXT('Daily Checklist'!$B$2:$B$2000,"yyyy-mm-dd")=TEXT(($B$4+4),"yyyy-mm-dd"))*('Daily Checklist'!$L$2:$L$2000="Y"))&gt;0,SUMPRODUCT(('Daily Checklist'!$D$2:$D$2000=$A40)*(TEXT('Daily Checklist'!$B$2:$B$2000,"yyyy-mm-dd")=TEXT(($B$4+4),"yyyy-mm-dd"))*('Daily Checklist'!$F$2:$F$2000="Done"))&amp;"/"&amp;SUMPRODUCT(('Daily Checklist'!$D$2:$D$2000=$A40)*(TEXT('Daily Checklist'!$B$2:$B$2000,"yyyy-mm-dd")=TEXT(($B$4+4),"yyyy-mm-dd")))&amp;" ESC",SUMPRODUCT(('Daily Checklist'!$D$2:$D$2000=$A40)*(TEXT('Daily Checklist'!$B$2:$B$2000,"yyyy-mm-dd")=TEXT(($B$4+4),"yyyy-mm-dd"))*('Daily Checklist'!$F$2:$F$2000="Done"))&amp;"/"&amp;SUMPRODUCT(('Daily Checklist'!$D$2:$D$2000=$A40)*(TEXT('Daily Checklist'!$B$2:$B$2000,"yyyy-mm-dd")=TEXT(($B$4+4),"yyyy-mm-dd"))))))</f>
        <v/>
      </c>
      <c r="G40" s="25" t="str">
        <f aca="false">IF($A40="","",IF(SUMPRODUCT(('Daily Checklist'!$D$2:$D$2000=$A40)*(TEXT('Daily Checklist'!$B$2:$B$2000,"yyyy-mm-dd")=TEXT(($B$4+5),"yyyy-mm-dd")))=0,"-",IF(SUMPRODUCT(('Daily Checklist'!$D$2:$D$2000=$A40)*(TEXT('Daily Checklist'!$B$2:$B$2000,"yyyy-mm-dd")=TEXT(($B$4+5),"yyyy-mm-dd"))*('Daily Checklist'!$L$2:$L$2000="Y"))&gt;0,SUMPRODUCT(('Daily Checklist'!$D$2:$D$2000=$A40)*(TEXT('Daily Checklist'!$B$2:$B$2000,"yyyy-mm-dd")=TEXT(($B$4+5),"yyyy-mm-dd"))*('Daily Checklist'!$F$2:$F$2000="Done"))&amp;"/"&amp;SUMPRODUCT(('Daily Checklist'!$D$2:$D$2000=$A40)*(TEXT('Daily Checklist'!$B$2:$B$2000,"yyyy-mm-dd")=TEXT(($B$4+5),"yyyy-mm-dd")))&amp;" ESC",SUMPRODUCT(('Daily Checklist'!$D$2:$D$2000=$A40)*(TEXT('Daily Checklist'!$B$2:$B$2000,"yyyy-mm-dd")=TEXT(($B$4+5),"yyyy-mm-dd"))*('Daily Checklist'!$F$2:$F$2000="Done"))&amp;"/"&amp;SUMPRODUCT(('Daily Checklist'!$D$2:$D$2000=$A40)*(TEXT('Daily Checklist'!$B$2:$B$2000,"yyyy-mm-dd")=TEXT(($B$4+5),"yyyy-mm-dd"))))))</f>
        <v/>
      </c>
      <c r="H40" s="25" t="str">
        <f aca="false">IF($A40="","",IF(SUMPRODUCT(('Daily Checklist'!$D$2:$D$2000=$A40)*(TEXT('Daily Checklist'!$B$2:$B$2000,"yyyy-mm-dd")=TEXT(($B$4+6),"yyyy-mm-dd")))=0,"-",IF(SUMPRODUCT(('Daily Checklist'!$D$2:$D$2000=$A40)*(TEXT('Daily Checklist'!$B$2:$B$2000,"yyyy-mm-dd")=TEXT(($B$4+6),"yyyy-mm-dd"))*('Daily Checklist'!$L$2:$L$2000="Y"))&gt;0,SUMPRODUCT(('Daily Checklist'!$D$2:$D$2000=$A40)*(TEXT('Daily Checklist'!$B$2:$B$2000,"yyyy-mm-dd")=TEXT(($B$4+6),"yyyy-mm-dd"))*('Daily Checklist'!$F$2:$F$2000="Done"))&amp;"/"&amp;SUMPRODUCT(('Daily Checklist'!$D$2:$D$2000=$A40)*(TEXT('Daily Checklist'!$B$2:$B$2000,"yyyy-mm-dd")=TEXT(($B$4+6),"yyyy-mm-dd")))&amp;" ESC",SUMPRODUCT(('Daily Checklist'!$D$2:$D$2000=$A40)*(TEXT('Daily Checklist'!$B$2:$B$2000,"yyyy-mm-dd")=TEXT(($B$4+6),"yyyy-mm-dd"))*('Daily Checklist'!$F$2:$F$2000="Done"))&amp;"/"&amp;SUMPRODUCT(('Daily Checklist'!$D$2:$D$2000=$A40)*(TEXT('Daily Checklist'!$B$2:$B$2000,"yyyy-mm-dd")=TEXT(($B$4+6),"yyyy-mm-dd"))))))</f>
        <v/>
      </c>
      <c r="I40" s="25" t="str">
        <f aca="false">IF($A40="","",IF(SUMPRODUCT(('Daily Checklist'!$D$2:$D$2000=$A40)*(TEXT('Daily Checklist'!$B$2:$B$2000,"yyyy-mm-dd")=TEXT(($B$4+7),"yyyy-mm-dd")))=0,"-",IF(SUMPRODUCT(('Daily Checklist'!$D$2:$D$2000=$A40)*(TEXT('Daily Checklist'!$B$2:$B$2000,"yyyy-mm-dd")=TEXT(($B$4+7),"yyyy-mm-dd"))*('Daily Checklist'!$L$2:$L$2000="Y"))&gt;0,SUMPRODUCT(('Daily Checklist'!$D$2:$D$2000=$A40)*(TEXT('Daily Checklist'!$B$2:$B$2000,"yyyy-mm-dd")=TEXT(($B$4+7),"yyyy-mm-dd"))*('Daily Checklist'!$F$2:$F$2000="Done"))&amp;"/"&amp;SUMPRODUCT(('Daily Checklist'!$D$2:$D$2000=$A40)*(TEXT('Daily Checklist'!$B$2:$B$2000,"yyyy-mm-dd")=TEXT(($B$4+7),"yyyy-mm-dd")))&amp;" ESC",SUMPRODUCT(('Daily Checklist'!$D$2:$D$2000=$A40)*(TEXT('Daily Checklist'!$B$2:$B$2000,"yyyy-mm-dd")=TEXT(($B$4+7),"yyyy-mm-dd"))*('Daily Checklist'!$F$2:$F$2000="Done"))&amp;"/"&amp;SUMPRODUCT(('Daily Checklist'!$D$2:$D$2000=$A40)*(TEXT('Daily Checklist'!$B$2:$B$2000,"yyyy-mm-dd")=TEXT(($B$4+7),"yyyy-mm-dd"))))))</f>
        <v/>
      </c>
      <c r="J40" s="25" t="str">
        <f aca="false">IF($A40="","",IF(SUMPRODUCT(('Daily Checklist'!$D$2:$D$2000=$A40)*(TEXT('Daily Checklist'!$B$2:$B$2000,"yyyy-mm-dd")=TEXT(($B$4+8),"yyyy-mm-dd")))=0,"-",IF(SUMPRODUCT(('Daily Checklist'!$D$2:$D$2000=$A40)*(TEXT('Daily Checklist'!$B$2:$B$2000,"yyyy-mm-dd")=TEXT(($B$4+8),"yyyy-mm-dd"))*('Daily Checklist'!$L$2:$L$2000="Y"))&gt;0,SUMPRODUCT(('Daily Checklist'!$D$2:$D$2000=$A40)*(TEXT('Daily Checklist'!$B$2:$B$2000,"yyyy-mm-dd")=TEXT(($B$4+8),"yyyy-mm-dd"))*('Daily Checklist'!$F$2:$F$2000="Done"))&amp;"/"&amp;SUMPRODUCT(('Daily Checklist'!$D$2:$D$2000=$A40)*(TEXT('Daily Checklist'!$B$2:$B$2000,"yyyy-mm-dd")=TEXT(($B$4+8),"yyyy-mm-dd")))&amp;" ESC",SUMPRODUCT(('Daily Checklist'!$D$2:$D$2000=$A40)*(TEXT('Daily Checklist'!$B$2:$B$2000,"yyyy-mm-dd")=TEXT(($B$4+8),"yyyy-mm-dd"))*('Daily Checklist'!$F$2:$F$2000="Done"))&amp;"/"&amp;SUMPRODUCT(('Daily Checklist'!$D$2:$D$2000=$A40)*(TEXT('Daily Checklist'!$B$2:$B$2000,"yyyy-mm-dd")=TEXT(($B$4+8),"yyyy-mm-dd"))))))</f>
        <v/>
      </c>
      <c r="K40" s="25" t="str">
        <f aca="false">IF($A40="","",IF(SUMPRODUCT(('Daily Checklist'!$D$2:$D$2000=$A40)*(TEXT('Daily Checklist'!$B$2:$B$2000,"yyyy-mm-dd")=TEXT(($B$4+9),"yyyy-mm-dd")))=0,"-",IF(SUMPRODUCT(('Daily Checklist'!$D$2:$D$2000=$A40)*(TEXT('Daily Checklist'!$B$2:$B$2000,"yyyy-mm-dd")=TEXT(($B$4+9),"yyyy-mm-dd"))*('Daily Checklist'!$L$2:$L$2000="Y"))&gt;0,SUMPRODUCT(('Daily Checklist'!$D$2:$D$2000=$A40)*(TEXT('Daily Checklist'!$B$2:$B$2000,"yyyy-mm-dd")=TEXT(($B$4+9),"yyyy-mm-dd"))*('Daily Checklist'!$F$2:$F$2000="Done"))&amp;"/"&amp;SUMPRODUCT(('Daily Checklist'!$D$2:$D$2000=$A40)*(TEXT('Daily Checklist'!$B$2:$B$2000,"yyyy-mm-dd")=TEXT(($B$4+9),"yyyy-mm-dd")))&amp;" ESC",SUMPRODUCT(('Daily Checklist'!$D$2:$D$2000=$A40)*(TEXT('Daily Checklist'!$B$2:$B$2000,"yyyy-mm-dd")=TEXT(($B$4+9),"yyyy-mm-dd"))*('Daily Checklist'!$F$2:$F$2000="Done"))&amp;"/"&amp;SUMPRODUCT(('Daily Checklist'!$D$2:$D$2000=$A40)*(TEXT('Daily Checklist'!$B$2:$B$2000,"yyyy-mm-dd")=TEXT(($B$4+9),"yyyy-mm-dd"))))))</f>
        <v/>
      </c>
      <c r="L40" s="25" t="str">
        <f aca="false">IF($A40="","",IF(SUMPRODUCT(('Daily Checklist'!$D$2:$D$2000=$A40)*(TEXT('Daily Checklist'!$B$2:$B$2000,"yyyy-mm-dd")=TEXT(($B$4+10),"yyyy-mm-dd")))=0,"-",IF(SUMPRODUCT(('Daily Checklist'!$D$2:$D$2000=$A40)*(TEXT('Daily Checklist'!$B$2:$B$2000,"yyyy-mm-dd")=TEXT(($B$4+10),"yyyy-mm-dd"))*('Daily Checklist'!$L$2:$L$2000="Y"))&gt;0,SUMPRODUCT(('Daily Checklist'!$D$2:$D$2000=$A40)*(TEXT('Daily Checklist'!$B$2:$B$2000,"yyyy-mm-dd")=TEXT(($B$4+10),"yyyy-mm-dd"))*('Daily Checklist'!$F$2:$F$2000="Done"))&amp;"/"&amp;SUMPRODUCT(('Daily Checklist'!$D$2:$D$2000=$A40)*(TEXT('Daily Checklist'!$B$2:$B$2000,"yyyy-mm-dd")=TEXT(($B$4+10),"yyyy-mm-dd")))&amp;" ESC",SUMPRODUCT(('Daily Checklist'!$D$2:$D$2000=$A40)*(TEXT('Daily Checklist'!$B$2:$B$2000,"yyyy-mm-dd")=TEXT(($B$4+10),"yyyy-mm-dd"))*('Daily Checklist'!$F$2:$F$2000="Done"))&amp;"/"&amp;SUMPRODUCT(('Daily Checklist'!$D$2:$D$2000=$A40)*(TEXT('Daily Checklist'!$B$2:$B$2000,"yyyy-mm-dd")=TEXT(($B$4+10),"yyyy-mm-dd"))))))</f>
        <v/>
      </c>
      <c r="M40" s="25" t="str">
        <f aca="false">IF($A40="","",IF(SUMPRODUCT(('Daily Checklist'!$D$2:$D$2000=$A40)*(TEXT('Daily Checklist'!$B$2:$B$2000,"yyyy-mm-dd")=TEXT(($B$4+11),"yyyy-mm-dd")))=0,"-",IF(SUMPRODUCT(('Daily Checklist'!$D$2:$D$2000=$A40)*(TEXT('Daily Checklist'!$B$2:$B$2000,"yyyy-mm-dd")=TEXT(($B$4+11),"yyyy-mm-dd"))*('Daily Checklist'!$L$2:$L$2000="Y"))&gt;0,SUMPRODUCT(('Daily Checklist'!$D$2:$D$2000=$A40)*(TEXT('Daily Checklist'!$B$2:$B$2000,"yyyy-mm-dd")=TEXT(($B$4+11),"yyyy-mm-dd"))*('Daily Checklist'!$F$2:$F$2000="Done"))&amp;"/"&amp;SUMPRODUCT(('Daily Checklist'!$D$2:$D$2000=$A40)*(TEXT('Daily Checklist'!$B$2:$B$2000,"yyyy-mm-dd")=TEXT(($B$4+11),"yyyy-mm-dd")))&amp;" ESC",SUMPRODUCT(('Daily Checklist'!$D$2:$D$2000=$A40)*(TEXT('Daily Checklist'!$B$2:$B$2000,"yyyy-mm-dd")=TEXT(($B$4+11),"yyyy-mm-dd"))*('Daily Checklist'!$F$2:$F$2000="Done"))&amp;"/"&amp;SUMPRODUCT(('Daily Checklist'!$D$2:$D$2000=$A40)*(TEXT('Daily Checklist'!$B$2:$B$2000,"yyyy-mm-dd")=TEXT(($B$4+11),"yyyy-mm-dd"))))))</f>
        <v/>
      </c>
      <c r="N40" s="25" t="str">
        <f aca="false">IF($A40="","",IF(SUMPRODUCT(('Daily Checklist'!$D$2:$D$2000=$A40)*(TEXT('Daily Checklist'!$B$2:$B$2000,"yyyy-mm-dd")=TEXT(($B$4+12),"yyyy-mm-dd")))=0,"-",IF(SUMPRODUCT(('Daily Checklist'!$D$2:$D$2000=$A40)*(TEXT('Daily Checklist'!$B$2:$B$2000,"yyyy-mm-dd")=TEXT(($B$4+12),"yyyy-mm-dd"))*('Daily Checklist'!$L$2:$L$2000="Y"))&gt;0,SUMPRODUCT(('Daily Checklist'!$D$2:$D$2000=$A40)*(TEXT('Daily Checklist'!$B$2:$B$2000,"yyyy-mm-dd")=TEXT(($B$4+12),"yyyy-mm-dd"))*('Daily Checklist'!$F$2:$F$2000="Done"))&amp;"/"&amp;SUMPRODUCT(('Daily Checklist'!$D$2:$D$2000=$A40)*(TEXT('Daily Checklist'!$B$2:$B$2000,"yyyy-mm-dd")=TEXT(($B$4+12),"yyyy-mm-dd")))&amp;" ESC",SUMPRODUCT(('Daily Checklist'!$D$2:$D$2000=$A40)*(TEXT('Daily Checklist'!$B$2:$B$2000,"yyyy-mm-dd")=TEXT(($B$4+12),"yyyy-mm-dd"))*('Daily Checklist'!$F$2:$F$2000="Done"))&amp;"/"&amp;SUMPRODUCT(('Daily Checklist'!$D$2:$D$2000=$A40)*(TEXT('Daily Checklist'!$B$2:$B$2000,"yyyy-mm-dd")=TEXT(($B$4+12),"yyyy-mm-dd"))))))</f>
        <v/>
      </c>
      <c r="O40" s="25" t="str">
        <f aca="false">IF($A40="","",IF(SUMPRODUCT(('Daily Checklist'!$D$2:$D$2000=$A40)*(TEXT('Daily Checklist'!$B$2:$B$2000,"yyyy-mm-dd")=TEXT(($B$4+13),"yyyy-mm-dd")))=0,"-",IF(SUMPRODUCT(('Daily Checklist'!$D$2:$D$2000=$A40)*(TEXT('Daily Checklist'!$B$2:$B$2000,"yyyy-mm-dd")=TEXT(($B$4+13),"yyyy-mm-dd"))*('Daily Checklist'!$L$2:$L$2000="Y"))&gt;0,SUMPRODUCT(('Daily Checklist'!$D$2:$D$2000=$A40)*(TEXT('Daily Checklist'!$B$2:$B$2000,"yyyy-mm-dd")=TEXT(($B$4+13),"yyyy-mm-dd"))*('Daily Checklist'!$F$2:$F$2000="Done"))&amp;"/"&amp;SUMPRODUCT(('Daily Checklist'!$D$2:$D$2000=$A40)*(TEXT('Daily Checklist'!$B$2:$B$2000,"yyyy-mm-dd")=TEXT(($B$4+13),"yyyy-mm-dd")))&amp;" ESC",SUMPRODUCT(('Daily Checklist'!$D$2:$D$2000=$A40)*(TEXT('Daily Checklist'!$B$2:$B$2000,"yyyy-mm-dd")=TEXT(($B$4+13),"yyyy-mm-dd"))*('Daily Checklist'!$F$2:$F$2000="Done"))&amp;"/"&amp;SUMPRODUCT(('Daily Checklist'!$D$2:$D$2000=$A40)*(TEXT('Daily Checklist'!$B$2:$B$2000,"yyyy-mm-dd")=TEXT(($B$4+13),"yyyy-mm-dd"))))))</f>
        <v/>
      </c>
      <c r="P40" s="25" t="str">
        <f aca="false">IF($A40="","",IF(SUMPRODUCT(('Daily Checklist'!$D$2:$D$2000=$A40)*(TEXT('Daily Checklist'!$B$2:$B$2000,"yyyy-mm-dd")=TEXT(($B$4+14),"yyyy-mm-dd")))=0,"-",IF(SUMPRODUCT(('Daily Checklist'!$D$2:$D$2000=$A40)*(TEXT('Daily Checklist'!$B$2:$B$2000,"yyyy-mm-dd")=TEXT(($B$4+14),"yyyy-mm-dd"))*('Daily Checklist'!$L$2:$L$2000="Y"))&gt;0,SUMPRODUCT(('Daily Checklist'!$D$2:$D$2000=$A40)*(TEXT('Daily Checklist'!$B$2:$B$2000,"yyyy-mm-dd")=TEXT(($B$4+14),"yyyy-mm-dd"))*('Daily Checklist'!$F$2:$F$2000="Done"))&amp;"/"&amp;SUMPRODUCT(('Daily Checklist'!$D$2:$D$2000=$A40)*(TEXT('Daily Checklist'!$B$2:$B$2000,"yyyy-mm-dd")=TEXT(($B$4+14),"yyyy-mm-dd")))&amp;" ESC",SUMPRODUCT(('Daily Checklist'!$D$2:$D$2000=$A40)*(TEXT('Daily Checklist'!$B$2:$B$2000,"yyyy-mm-dd")=TEXT(($B$4+14),"yyyy-mm-dd"))*('Daily Checklist'!$F$2:$F$2000="Done"))&amp;"/"&amp;SUMPRODUCT(('Daily Checklist'!$D$2:$D$2000=$A40)*(TEXT('Daily Checklist'!$B$2:$B$2000,"yyyy-mm-dd")=TEXT(($B$4+14),"yyyy-mm-dd"))))))</f>
        <v/>
      </c>
      <c r="Q40" s="25" t="str">
        <f aca="false">IF($A40="","",IF(SUMPRODUCT(('Daily Checklist'!$D$2:$D$2000=$A40)*(TEXT('Daily Checklist'!$B$2:$B$2000,"yyyy-mm-dd")=TEXT(($B$4+15),"yyyy-mm-dd")))=0,"-",IF(SUMPRODUCT(('Daily Checklist'!$D$2:$D$2000=$A40)*(TEXT('Daily Checklist'!$B$2:$B$2000,"yyyy-mm-dd")=TEXT(($B$4+15),"yyyy-mm-dd"))*('Daily Checklist'!$L$2:$L$2000="Y"))&gt;0,SUMPRODUCT(('Daily Checklist'!$D$2:$D$2000=$A40)*(TEXT('Daily Checklist'!$B$2:$B$2000,"yyyy-mm-dd")=TEXT(($B$4+15),"yyyy-mm-dd"))*('Daily Checklist'!$F$2:$F$2000="Done"))&amp;"/"&amp;SUMPRODUCT(('Daily Checklist'!$D$2:$D$2000=$A40)*(TEXT('Daily Checklist'!$B$2:$B$2000,"yyyy-mm-dd")=TEXT(($B$4+15),"yyyy-mm-dd")))&amp;" ESC",SUMPRODUCT(('Daily Checklist'!$D$2:$D$2000=$A40)*(TEXT('Daily Checklist'!$B$2:$B$2000,"yyyy-mm-dd")=TEXT(($B$4+15),"yyyy-mm-dd"))*('Daily Checklist'!$F$2:$F$2000="Done"))&amp;"/"&amp;SUMPRODUCT(('Daily Checklist'!$D$2:$D$2000=$A40)*(TEXT('Daily Checklist'!$B$2:$B$2000,"yyyy-mm-dd")=TEXT(($B$4+15),"yyyy-mm-dd"))))))</f>
        <v/>
      </c>
      <c r="R40" s="25" t="str">
        <f aca="false">IF($A40="","",IF(SUMPRODUCT(('Daily Checklist'!$D$2:$D$2000=$A40)*(TEXT('Daily Checklist'!$B$2:$B$2000,"yyyy-mm-dd")=TEXT(($B$4+16),"yyyy-mm-dd")))=0,"-",IF(SUMPRODUCT(('Daily Checklist'!$D$2:$D$2000=$A40)*(TEXT('Daily Checklist'!$B$2:$B$2000,"yyyy-mm-dd")=TEXT(($B$4+16),"yyyy-mm-dd"))*('Daily Checklist'!$L$2:$L$2000="Y"))&gt;0,SUMPRODUCT(('Daily Checklist'!$D$2:$D$2000=$A40)*(TEXT('Daily Checklist'!$B$2:$B$2000,"yyyy-mm-dd")=TEXT(($B$4+16),"yyyy-mm-dd"))*('Daily Checklist'!$F$2:$F$2000="Done"))&amp;"/"&amp;SUMPRODUCT(('Daily Checklist'!$D$2:$D$2000=$A40)*(TEXT('Daily Checklist'!$B$2:$B$2000,"yyyy-mm-dd")=TEXT(($B$4+16),"yyyy-mm-dd")))&amp;" ESC",SUMPRODUCT(('Daily Checklist'!$D$2:$D$2000=$A40)*(TEXT('Daily Checklist'!$B$2:$B$2000,"yyyy-mm-dd")=TEXT(($B$4+16),"yyyy-mm-dd"))*('Daily Checklist'!$F$2:$F$2000="Done"))&amp;"/"&amp;SUMPRODUCT(('Daily Checklist'!$D$2:$D$2000=$A40)*(TEXT('Daily Checklist'!$B$2:$B$2000,"yyyy-mm-dd")=TEXT(($B$4+16),"yyyy-mm-dd"))))))</f>
        <v/>
      </c>
      <c r="S40" s="25" t="str">
        <f aca="false">IF($A40="","",IF(SUMPRODUCT(('Daily Checklist'!$D$2:$D$2000=$A40)*(TEXT('Daily Checklist'!$B$2:$B$2000,"yyyy-mm-dd")=TEXT(($B$4+17),"yyyy-mm-dd")))=0,"-",IF(SUMPRODUCT(('Daily Checklist'!$D$2:$D$2000=$A40)*(TEXT('Daily Checklist'!$B$2:$B$2000,"yyyy-mm-dd")=TEXT(($B$4+17),"yyyy-mm-dd"))*('Daily Checklist'!$L$2:$L$2000="Y"))&gt;0,SUMPRODUCT(('Daily Checklist'!$D$2:$D$2000=$A40)*(TEXT('Daily Checklist'!$B$2:$B$2000,"yyyy-mm-dd")=TEXT(($B$4+17),"yyyy-mm-dd"))*('Daily Checklist'!$F$2:$F$2000="Done"))&amp;"/"&amp;SUMPRODUCT(('Daily Checklist'!$D$2:$D$2000=$A40)*(TEXT('Daily Checklist'!$B$2:$B$2000,"yyyy-mm-dd")=TEXT(($B$4+17),"yyyy-mm-dd")))&amp;" ESC",SUMPRODUCT(('Daily Checklist'!$D$2:$D$2000=$A40)*(TEXT('Daily Checklist'!$B$2:$B$2000,"yyyy-mm-dd")=TEXT(($B$4+17),"yyyy-mm-dd"))*('Daily Checklist'!$F$2:$F$2000="Done"))&amp;"/"&amp;SUMPRODUCT(('Daily Checklist'!$D$2:$D$2000=$A40)*(TEXT('Daily Checklist'!$B$2:$B$2000,"yyyy-mm-dd")=TEXT(($B$4+17),"yyyy-mm-dd"))))))</f>
        <v/>
      </c>
      <c r="T40" s="25" t="str">
        <f aca="false">IF($A40="","",IF(SUMPRODUCT(('Daily Checklist'!$D$2:$D$2000=$A40)*(TEXT('Daily Checklist'!$B$2:$B$2000,"yyyy-mm-dd")=TEXT(($B$4+18),"yyyy-mm-dd")))=0,"-",IF(SUMPRODUCT(('Daily Checklist'!$D$2:$D$2000=$A40)*(TEXT('Daily Checklist'!$B$2:$B$2000,"yyyy-mm-dd")=TEXT(($B$4+18),"yyyy-mm-dd"))*('Daily Checklist'!$L$2:$L$2000="Y"))&gt;0,SUMPRODUCT(('Daily Checklist'!$D$2:$D$2000=$A40)*(TEXT('Daily Checklist'!$B$2:$B$2000,"yyyy-mm-dd")=TEXT(($B$4+18),"yyyy-mm-dd"))*('Daily Checklist'!$F$2:$F$2000="Done"))&amp;"/"&amp;SUMPRODUCT(('Daily Checklist'!$D$2:$D$2000=$A40)*(TEXT('Daily Checklist'!$B$2:$B$2000,"yyyy-mm-dd")=TEXT(($B$4+18),"yyyy-mm-dd")))&amp;" ESC",SUMPRODUCT(('Daily Checklist'!$D$2:$D$2000=$A40)*(TEXT('Daily Checklist'!$B$2:$B$2000,"yyyy-mm-dd")=TEXT(($B$4+18),"yyyy-mm-dd"))*('Daily Checklist'!$F$2:$F$2000="Done"))&amp;"/"&amp;SUMPRODUCT(('Daily Checklist'!$D$2:$D$2000=$A40)*(TEXT('Daily Checklist'!$B$2:$B$2000,"yyyy-mm-dd")=TEXT(($B$4+18),"yyyy-mm-dd"))))))</f>
        <v/>
      </c>
      <c r="U40" s="25" t="str">
        <f aca="false">IF($A40="","",IF(SUMPRODUCT(('Daily Checklist'!$D$2:$D$2000=$A40)*(TEXT('Daily Checklist'!$B$2:$B$2000,"yyyy-mm-dd")=TEXT(($B$4+19),"yyyy-mm-dd")))=0,"-",IF(SUMPRODUCT(('Daily Checklist'!$D$2:$D$2000=$A40)*(TEXT('Daily Checklist'!$B$2:$B$2000,"yyyy-mm-dd")=TEXT(($B$4+19),"yyyy-mm-dd"))*('Daily Checklist'!$L$2:$L$2000="Y"))&gt;0,SUMPRODUCT(('Daily Checklist'!$D$2:$D$2000=$A40)*(TEXT('Daily Checklist'!$B$2:$B$2000,"yyyy-mm-dd")=TEXT(($B$4+19),"yyyy-mm-dd"))*('Daily Checklist'!$F$2:$F$2000="Done"))&amp;"/"&amp;SUMPRODUCT(('Daily Checklist'!$D$2:$D$2000=$A40)*(TEXT('Daily Checklist'!$B$2:$B$2000,"yyyy-mm-dd")=TEXT(($B$4+19),"yyyy-mm-dd")))&amp;" ESC",SUMPRODUCT(('Daily Checklist'!$D$2:$D$2000=$A40)*(TEXT('Daily Checklist'!$B$2:$B$2000,"yyyy-mm-dd")=TEXT(($B$4+19),"yyyy-mm-dd"))*('Daily Checklist'!$F$2:$F$2000="Done"))&amp;"/"&amp;SUMPRODUCT(('Daily Checklist'!$D$2:$D$2000=$A40)*(TEXT('Daily Checklist'!$B$2:$B$2000,"yyyy-mm-dd")=TEXT(($B$4+19),"yyyy-mm-dd"))))))</f>
        <v/>
      </c>
      <c r="V40" s="25" t="str">
        <f aca="false">IF($A40="","",IF(SUMPRODUCT(('Daily Checklist'!$D$2:$D$2000=$A40)*(TEXT('Daily Checklist'!$B$2:$B$2000,"yyyy-mm-dd")=TEXT(($B$4+20),"yyyy-mm-dd")))=0,"-",IF(SUMPRODUCT(('Daily Checklist'!$D$2:$D$2000=$A40)*(TEXT('Daily Checklist'!$B$2:$B$2000,"yyyy-mm-dd")=TEXT(($B$4+20),"yyyy-mm-dd"))*('Daily Checklist'!$L$2:$L$2000="Y"))&gt;0,SUMPRODUCT(('Daily Checklist'!$D$2:$D$2000=$A40)*(TEXT('Daily Checklist'!$B$2:$B$2000,"yyyy-mm-dd")=TEXT(($B$4+20),"yyyy-mm-dd"))*('Daily Checklist'!$F$2:$F$2000="Done"))&amp;"/"&amp;SUMPRODUCT(('Daily Checklist'!$D$2:$D$2000=$A40)*(TEXT('Daily Checklist'!$B$2:$B$2000,"yyyy-mm-dd")=TEXT(($B$4+20),"yyyy-mm-dd")))&amp;" ESC",SUMPRODUCT(('Daily Checklist'!$D$2:$D$2000=$A40)*(TEXT('Daily Checklist'!$B$2:$B$2000,"yyyy-mm-dd")=TEXT(($B$4+20),"yyyy-mm-dd"))*('Daily Checklist'!$F$2:$F$2000="Done"))&amp;"/"&amp;SUMPRODUCT(('Daily Checklist'!$D$2:$D$2000=$A40)*(TEXT('Daily Checklist'!$B$2:$B$2000,"yyyy-mm-dd")=TEXT(($B$4+20),"yyyy-mm-dd"))))))</f>
        <v/>
      </c>
      <c r="W40" s="25" t="str">
        <f aca="false">IF($A40="","",IF(SUMPRODUCT(('Daily Checklist'!$D$2:$D$2000=$A40)*(TEXT('Daily Checklist'!$B$2:$B$2000,"yyyy-mm-dd")=TEXT(($B$4+21),"yyyy-mm-dd")))=0,"-",IF(SUMPRODUCT(('Daily Checklist'!$D$2:$D$2000=$A40)*(TEXT('Daily Checklist'!$B$2:$B$2000,"yyyy-mm-dd")=TEXT(($B$4+21),"yyyy-mm-dd"))*('Daily Checklist'!$L$2:$L$2000="Y"))&gt;0,SUMPRODUCT(('Daily Checklist'!$D$2:$D$2000=$A40)*(TEXT('Daily Checklist'!$B$2:$B$2000,"yyyy-mm-dd")=TEXT(($B$4+21),"yyyy-mm-dd"))*('Daily Checklist'!$F$2:$F$2000="Done"))&amp;"/"&amp;SUMPRODUCT(('Daily Checklist'!$D$2:$D$2000=$A40)*(TEXT('Daily Checklist'!$B$2:$B$2000,"yyyy-mm-dd")=TEXT(($B$4+21),"yyyy-mm-dd")))&amp;" ESC",SUMPRODUCT(('Daily Checklist'!$D$2:$D$2000=$A40)*(TEXT('Daily Checklist'!$B$2:$B$2000,"yyyy-mm-dd")=TEXT(($B$4+21),"yyyy-mm-dd"))*('Daily Checklist'!$F$2:$F$2000="Done"))&amp;"/"&amp;SUMPRODUCT(('Daily Checklist'!$D$2:$D$2000=$A40)*(TEXT('Daily Checklist'!$B$2:$B$2000,"yyyy-mm-dd")=TEXT(($B$4+21),"yyyy-mm-dd"))))))</f>
        <v/>
      </c>
      <c r="X40" s="25" t="str">
        <f aca="false">IF($A40="","",IF(SUMPRODUCT(('Daily Checklist'!$D$2:$D$2000=$A40)*(TEXT('Daily Checklist'!$B$2:$B$2000,"yyyy-mm-dd")=TEXT(($B$4+22),"yyyy-mm-dd")))=0,"-",IF(SUMPRODUCT(('Daily Checklist'!$D$2:$D$2000=$A40)*(TEXT('Daily Checklist'!$B$2:$B$2000,"yyyy-mm-dd")=TEXT(($B$4+22),"yyyy-mm-dd"))*('Daily Checklist'!$L$2:$L$2000="Y"))&gt;0,SUMPRODUCT(('Daily Checklist'!$D$2:$D$2000=$A40)*(TEXT('Daily Checklist'!$B$2:$B$2000,"yyyy-mm-dd")=TEXT(($B$4+22),"yyyy-mm-dd"))*('Daily Checklist'!$F$2:$F$2000="Done"))&amp;"/"&amp;SUMPRODUCT(('Daily Checklist'!$D$2:$D$2000=$A40)*(TEXT('Daily Checklist'!$B$2:$B$2000,"yyyy-mm-dd")=TEXT(($B$4+22),"yyyy-mm-dd")))&amp;" ESC",SUMPRODUCT(('Daily Checklist'!$D$2:$D$2000=$A40)*(TEXT('Daily Checklist'!$B$2:$B$2000,"yyyy-mm-dd")=TEXT(($B$4+22),"yyyy-mm-dd"))*('Daily Checklist'!$F$2:$F$2000="Done"))&amp;"/"&amp;SUMPRODUCT(('Daily Checklist'!$D$2:$D$2000=$A40)*(TEXT('Daily Checklist'!$B$2:$B$2000,"yyyy-mm-dd")=TEXT(($B$4+22),"yyyy-mm-dd"))))))</f>
        <v/>
      </c>
      <c r="Y40" s="25" t="str">
        <f aca="false">IF($A40="","",IF(SUMPRODUCT(('Daily Checklist'!$D$2:$D$2000=$A40)*(TEXT('Daily Checklist'!$B$2:$B$2000,"yyyy-mm-dd")=TEXT(($B$4+23),"yyyy-mm-dd")))=0,"-",IF(SUMPRODUCT(('Daily Checklist'!$D$2:$D$2000=$A40)*(TEXT('Daily Checklist'!$B$2:$B$2000,"yyyy-mm-dd")=TEXT(($B$4+23),"yyyy-mm-dd"))*('Daily Checklist'!$L$2:$L$2000="Y"))&gt;0,SUMPRODUCT(('Daily Checklist'!$D$2:$D$2000=$A40)*(TEXT('Daily Checklist'!$B$2:$B$2000,"yyyy-mm-dd")=TEXT(($B$4+23),"yyyy-mm-dd"))*('Daily Checklist'!$F$2:$F$2000="Done"))&amp;"/"&amp;SUMPRODUCT(('Daily Checklist'!$D$2:$D$2000=$A40)*(TEXT('Daily Checklist'!$B$2:$B$2000,"yyyy-mm-dd")=TEXT(($B$4+23),"yyyy-mm-dd")))&amp;" ESC",SUMPRODUCT(('Daily Checklist'!$D$2:$D$2000=$A40)*(TEXT('Daily Checklist'!$B$2:$B$2000,"yyyy-mm-dd")=TEXT(($B$4+23),"yyyy-mm-dd"))*('Daily Checklist'!$F$2:$F$2000="Done"))&amp;"/"&amp;SUMPRODUCT(('Daily Checklist'!$D$2:$D$2000=$A40)*(TEXT('Daily Checklist'!$B$2:$B$2000,"yyyy-mm-dd")=TEXT(($B$4+23),"yyyy-mm-dd"))))))</f>
        <v/>
      </c>
      <c r="Z40" s="25" t="str">
        <f aca="false">IF($A40="","",IF(SUMPRODUCT(('Daily Checklist'!$D$2:$D$2000=$A40)*(TEXT('Daily Checklist'!$B$2:$B$2000,"yyyy-mm-dd")=TEXT(($B$4+24),"yyyy-mm-dd")))=0,"-",IF(SUMPRODUCT(('Daily Checklist'!$D$2:$D$2000=$A40)*(TEXT('Daily Checklist'!$B$2:$B$2000,"yyyy-mm-dd")=TEXT(($B$4+24),"yyyy-mm-dd"))*('Daily Checklist'!$L$2:$L$2000="Y"))&gt;0,SUMPRODUCT(('Daily Checklist'!$D$2:$D$2000=$A40)*(TEXT('Daily Checklist'!$B$2:$B$2000,"yyyy-mm-dd")=TEXT(($B$4+24),"yyyy-mm-dd"))*('Daily Checklist'!$F$2:$F$2000="Done"))&amp;"/"&amp;SUMPRODUCT(('Daily Checklist'!$D$2:$D$2000=$A40)*(TEXT('Daily Checklist'!$B$2:$B$2000,"yyyy-mm-dd")=TEXT(($B$4+24),"yyyy-mm-dd")))&amp;" ESC",SUMPRODUCT(('Daily Checklist'!$D$2:$D$2000=$A40)*(TEXT('Daily Checklist'!$B$2:$B$2000,"yyyy-mm-dd")=TEXT(($B$4+24),"yyyy-mm-dd"))*('Daily Checklist'!$F$2:$F$2000="Done"))&amp;"/"&amp;SUMPRODUCT(('Daily Checklist'!$D$2:$D$2000=$A40)*(TEXT('Daily Checklist'!$B$2:$B$2000,"yyyy-mm-dd")=TEXT(($B$4+24),"yyyy-mm-dd"))))))</f>
        <v/>
      </c>
      <c r="AA40" s="25" t="str">
        <f aca="false">IF($A40="","",IF(SUMPRODUCT(('Daily Checklist'!$D$2:$D$2000=$A40)*(TEXT('Daily Checklist'!$B$2:$B$2000,"yyyy-mm-dd")=TEXT(($B$4+25),"yyyy-mm-dd")))=0,"-",IF(SUMPRODUCT(('Daily Checklist'!$D$2:$D$2000=$A40)*(TEXT('Daily Checklist'!$B$2:$B$2000,"yyyy-mm-dd")=TEXT(($B$4+25),"yyyy-mm-dd"))*('Daily Checklist'!$L$2:$L$2000="Y"))&gt;0,SUMPRODUCT(('Daily Checklist'!$D$2:$D$2000=$A40)*(TEXT('Daily Checklist'!$B$2:$B$2000,"yyyy-mm-dd")=TEXT(($B$4+25),"yyyy-mm-dd"))*('Daily Checklist'!$F$2:$F$2000="Done"))&amp;"/"&amp;SUMPRODUCT(('Daily Checklist'!$D$2:$D$2000=$A40)*(TEXT('Daily Checklist'!$B$2:$B$2000,"yyyy-mm-dd")=TEXT(($B$4+25),"yyyy-mm-dd")))&amp;" ESC",SUMPRODUCT(('Daily Checklist'!$D$2:$D$2000=$A40)*(TEXT('Daily Checklist'!$B$2:$B$2000,"yyyy-mm-dd")=TEXT(($B$4+25),"yyyy-mm-dd"))*('Daily Checklist'!$F$2:$F$2000="Done"))&amp;"/"&amp;SUMPRODUCT(('Daily Checklist'!$D$2:$D$2000=$A40)*(TEXT('Daily Checklist'!$B$2:$B$2000,"yyyy-mm-dd")=TEXT(($B$4+25),"yyyy-mm-dd"))))))</f>
        <v/>
      </c>
      <c r="AB40" s="25" t="str">
        <f aca="false">IF($A40="","",IF(SUMPRODUCT(('Daily Checklist'!$D$2:$D$2000=$A40)*(TEXT('Daily Checklist'!$B$2:$B$2000,"yyyy-mm-dd")=TEXT(($B$4+26),"yyyy-mm-dd")))=0,"-",IF(SUMPRODUCT(('Daily Checklist'!$D$2:$D$2000=$A40)*(TEXT('Daily Checklist'!$B$2:$B$2000,"yyyy-mm-dd")=TEXT(($B$4+26),"yyyy-mm-dd"))*('Daily Checklist'!$L$2:$L$2000="Y"))&gt;0,SUMPRODUCT(('Daily Checklist'!$D$2:$D$2000=$A40)*(TEXT('Daily Checklist'!$B$2:$B$2000,"yyyy-mm-dd")=TEXT(($B$4+26),"yyyy-mm-dd"))*('Daily Checklist'!$F$2:$F$2000="Done"))&amp;"/"&amp;SUMPRODUCT(('Daily Checklist'!$D$2:$D$2000=$A40)*(TEXT('Daily Checklist'!$B$2:$B$2000,"yyyy-mm-dd")=TEXT(($B$4+26),"yyyy-mm-dd")))&amp;" ESC",SUMPRODUCT(('Daily Checklist'!$D$2:$D$2000=$A40)*(TEXT('Daily Checklist'!$B$2:$B$2000,"yyyy-mm-dd")=TEXT(($B$4+26),"yyyy-mm-dd"))*('Daily Checklist'!$F$2:$F$2000="Done"))&amp;"/"&amp;SUMPRODUCT(('Daily Checklist'!$D$2:$D$2000=$A40)*(TEXT('Daily Checklist'!$B$2:$B$2000,"yyyy-mm-dd")=TEXT(($B$4+26),"yyyy-mm-dd"))))))</f>
        <v/>
      </c>
      <c r="AC40" s="25" t="str">
        <f aca="false">IF($A40="","",IF(SUMPRODUCT(('Daily Checklist'!$D$2:$D$2000=$A40)*(TEXT('Daily Checklist'!$B$2:$B$2000,"yyyy-mm-dd")=TEXT(($B$4+27),"yyyy-mm-dd")))=0,"-",IF(SUMPRODUCT(('Daily Checklist'!$D$2:$D$2000=$A40)*(TEXT('Daily Checklist'!$B$2:$B$2000,"yyyy-mm-dd")=TEXT(($B$4+27),"yyyy-mm-dd"))*('Daily Checklist'!$L$2:$L$2000="Y"))&gt;0,SUMPRODUCT(('Daily Checklist'!$D$2:$D$2000=$A40)*(TEXT('Daily Checklist'!$B$2:$B$2000,"yyyy-mm-dd")=TEXT(($B$4+27),"yyyy-mm-dd"))*('Daily Checklist'!$F$2:$F$2000="Done"))&amp;"/"&amp;SUMPRODUCT(('Daily Checklist'!$D$2:$D$2000=$A40)*(TEXT('Daily Checklist'!$B$2:$B$2000,"yyyy-mm-dd")=TEXT(($B$4+27),"yyyy-mm-dd")))&amp;" ESC",SUMPRODUCT(('Daily Checklist'!$D$2:$D$2000=$A40)*(TEXT('Daily Checklist'!$B$2:$B$2000,"yyyy-mm-dd")=TEXT(($B$4+27),"yyyy-mm-dd"))*('Daily Checklist'!$F$2:$F$2000="Done"))&amp;"/"&amp;SUMPRODUCT(('Daily Checklist'!$D$2:$D$2000=$A40)*(TEXT('Daily Checklist'!$B$2:$B$2000,"yyyy-mm-dd")=TEXT(($B$4+27),"yyyy-mm-dd"))))))</f>
        <v/>
      </c>
      <c r="AD40" s="25" t="str">
        <f aca="false">IF($A40="","",IF(SUMPRODUCT(('Daily Checklist'!$D$2:$D$2000=$A40)*(TEXT('Daily Checklist'!$B$2:$B$2000,"yyyy-mm-dd")=TEXT(($B$4+28),"yyyy-mm-dd")))=0,"-",IF(SUMPRODUCT(('Daily Checklist'!$D$2:$D$2000=$A40)*(TEXT('Daily Checklist'!$B$2:$B$2000,"yyyy-mm-dd")=TEXT(($B$4+28),"yyyy-mm-dd"))*('Daily Checklist'!$L$2:$L$2000="Y"))&gt;0,SUMPRODUCT(('Daily Checklist'!$D$2:$D$2000=$A40)*(TEXT('Daily Checklist'!$B$2:$B$2000,"yyyy-mm-dd")=TEXT(($B$4+28),"yyyy-mm-dd"))*('Daily Checklist'!$F$2:$F$2000="Done"))&amp;"/"&amp;SUMPRODUCT(('Daily Checklist'!$D$2:$D$2000=$A40)*(TEXT('Daily Checklist'!$B$2:$B$2000,"yyyy-mm-dd")=TEXT(($B$4+28),"yyyy-mm-dd")))&amp;" ESC",SUMPRODUCT(('Daily Checklist'!$D$2:$D$2000=$A40)*(TEXT('Daily Checklist'!$B$2:$B$2000,"yyyy-mm-dd")=TEXT(($B$4+28),"yyyy-mm-dd"))*('Daily Checklist'!$F$2:$F$2000="Done"))&amp;"/"&amp;SUMPRODUCT(('Daily Checklist'!$D$2:$D$2000=$A40)*(TEXT('Daily Checklist'!$B$2:$B$2000,"yyyy-mm-dd")=TEXT(($B$4+28),"yyyy-mm-dd"))))))</f>
        <v/>
      </c>
      <c r="AE40" s="25" t="str">
        <f aca="false">IF($A40="","",IF(SUMPRODUCT(('Daily Checklist'!$D$2:$D$2000=$A40)*(TEXT('Daily Checklist'!$B$2:$B$2000,"yyyy-mm-dd")=TEXT(($B$4+29),"yyyy-mm-dd")))=0,"-",IF(SUMPRODUCT(('Daily Checklist'!$D$2:$D$2000=$A40)*(TEXT('Daily Checklist'!$B$2:$B$2000,"yyyy-mm-dd")=TEXT(($B$4+29),"yyyy-mm-dd"))*('Daily Checklist'!$L$2:$L$2000="Y"))&gt;0,SUMPRODUCT(('Daily Checklist'!$D$2:$D$2000=$A40)*(TEXT('Daily Checklist'!$B$2:$B$2000,"yyyy-mm-dd")=TEXT(($B$4+29),"yyyy-mm-dd"))*('Daily Checklist'!$F$2:$F$2000="Done"))&amp;"/"&amp;SUMPRODUCT(('Daily Checklist'!$D$2:$D$2000=$A40)*(TEXT('Daily Checklist'!$B$2:$B$2000,"yyyy-mm-dd")=TEXT(($B$4+29),"yyyy-mm-dd")))&amp;" ESC",SUMPRODUCT(('Daily Checklist'!$D$2:$D$2000=$A40)*(TEXT('Daily Checklist'!$B$2:$B$2000,"yyyy-mm-dd")=TEXT(($B$4+29),"yyyy-mm-dd"))*('Daily Checklist'!$F$2:$F$2000="Done"))&amp;"/"&amp;SUMPRODUCT(('Daily Checklist'!$D$2:$D$2000=$A40)*(TEXT('Daily Checklist'!$B$2:$B$2000,"yyyy-mm-dd")=TEXT(($B$4+29),"yyyy-mm-dd"))))))</f>
        <v/>
      </c>
      <c r="AF40" s="25" t="str">
        <f aca="false">IF($A40="","",IF(SUMPRODUCT(('Daily Checklist'!$D$2:$D$2000=$A40)*(TEXT('Daily Checklist'!$B$2:$B$2000,"yyyy-mm-dd")=TEXT(($B$4+30),"yyyy-mm-dd")))=0,"-",IF(SUMPRODUCT(('Daily Checklist'!$D$2:$D$2000=$A40)*(TEXT('Daily Checklist'!$B$2:$B$2000,"yyyy-mm-dd")=TEXT(($B$4+30),"yyyy-mm-dd"))*('Daily Checklist'!$L$2:$L$2000="Y"))&gt;0,SUMPRODUCT(('Daily Checklist'!$D$2:$D$2000=$A40)*(TEXT('Daily Checklist'!$B$2:$B$2000,"yyyy-mm-dd")=TEXT(($B$4+30),"yyyy-mm-dd"))*('Daily Checklist'!$F$2:$F$2000="Done"))&amp;"/"&amp;SUMPRODUCT(('Daily Checklist'!$D$2:$D$2000=$A40)*(TEXT('Daily Checklist'!$B$2:$B$2000,"yyyy-mm-dd")=TEXT(($B$4+30),"yyyy-mm-dd")))&amp;" ESC",SUMPRODUCT(('Daily Checklist'!$D$2:$D$2000=$A40)*(TEXT('Daily Checklist'!$B$2:$B$2000,"yyyy-mm-dd")=TEXT(($B$4+30),"yyyy-mm-dd"))*('Daily Checklist'!$F$2:$F$2000="Done"))&amp;"/"&amp;SUMPRODUCT(('Daily Checklist'!$D$2:$D$2000=$A40)*(TEXT('Daily Checklist'!$B$2:$B$2000,"yyyy-mm-dd")=TEXT(($B$4+30),"yyyy-mm-dd"))))))</f>
        <v/>
      </c>
    </row>
    <row r="41" customFormat="false" ht="15" hidden="false" customHeight="true" outlineLevel="0" collapsed="false">
      <c r="A41" s="24" t="str">
        <f aca="false">IFERROR(IF(Employees!A36="","",Employees!A36),"")</f>
        <v/>
      </c>
      <c r="B41" s="25" t="str">
        <f aca="false">IF($A41="","",IF(SUMPRODUCT(('Daily Checklist'!$D$2:$D$2000=$A41)*(TEXT('Daily Checklist'!$B$2:$B$2000,"yyyy-mm-dd")=TEXT(($B$4+0),"yyyy-mm-dd")))=0,"-",IF(SUMPRODUCT(('Daily Checklist'!$D$2:$D$2000=$A41)*(TEXT('Daily Checklist'!$B$2:$B$2000,"yyyy-mm-dd")=TEXT(($B$4+0),"yyyy-mm-dd"))*('Daily Checklist'!$L$2:$L$2000="Y"))&gt;0,SUMPRODUCT(('Daily Checklist'!$D$2:$D$2000=$A41)*(TEXT('Daily Checklist'!$B$2:$B$2000,"yyyy-mm-dd")=TEXT(($B$4+0),"yyyy-mm-dd"))*('Daily Checklist'!$F$2:$F$2000="Done"))&amp;"/"&amp;SUMPRODUCT(('Daily Checklist'!$D$2:$D$2000=$A41)*(TEXT('Daily Checklist'!$B$2:$B$2000,"yyyy-mm-dd")=TEXT(($B$4+0),"yyyy-mm-dd")))&amp;" ESC",SUMPRODUCT(('Daily Checklist'!$D$2:$D$2000=$A41)*(TEXT('Daily Checklist'!$B$2:$B$2000,"yyyy-mm-dd")=TEXT(($B$4+0),"yyyy-mm-dd"))*('Daily Checklist'!$F$2:$F$2000="Done"))&amp;"/"&amp;SUMPRODUCT(('Daily Checklist'!$D$2:$D$2000=$A41)*(TEXT('Daily Checklist'!$B$2:$B$2000,"yyyy-mm-dd")=TEXT(($B$4+0),"yyyy-mm-dd"))))))</f>
        <v/>
      </c>
      <c r="C41" s="25" t="str">
        <f aca="false">IF($A41="","",IF(SUMPRODUCT(('Daily Checklist'!$D$2:$D$2000=$A41)*(TEXT('Daily Checklist'!$B$2:$B$2000,"yyyy-mm-dd")=TEXT(($B$4+1),"yyyy-mm-dd")))=0,"-",IF(SUMPRODUCT(('Daily Checklist'!$D$2:$D$2000=$A41)*(TEXT('Daily Checklist'!$B$2:$B$2000,"yyyy-mm-dd")=TEXT(($B$4+1),"yyyy-mm-dd"))*('Daily Checklist'!$L$2:$L$2000="Y"))&gt;0,SUMPRODUCT(('Daily Checklist'!$D$2:$D$2000=$A41)*(TEXT('Daily Checklist'!$B$2:$B$2000,"yyyy-mm-dd")=TEXT(($B$4+1),"yyyy-mm-dd"))*('Daily Checklist'!$F$2:$F$2000="Done"))&amp;"/"&amp;SUMPRODUCT(('Daily Checklist'!$D$2:$D$2000=$A41)*(TEXT('Daily Checklist'!$B$2:$B$2000,"yyyy-mm-dd")=TEXT(($B$4+1),"yyyy-mm-dd")))&amp;" ESC",SUMPRODUCT(('Daily Checklist'!$D$2:$D$2000=$A41)*(TEXT('Daily Checklist'!$B$2:$B$2000,"yyyy-mm-dd")=TEXT(($B$4+1),"yyyy-mm-dd"))*('Daily Checklist'!$F$2:$F$2000="Done"))&amp;"/"&amp;SUMPRODUCT(('Daily Checklist'!$D$2:$D$2000=$A41)*(TEXT('Daily Checklist'!$B$2:$B$2000,"yyyy-mm-dd")=TEXT(($B$4+1),"yyyy-mm-dd"))))))</f>
        <v/>
      </c>
      <c r="D41" s="25" t="str">
        <f aca="false">IF($A41="","",IF(SUMPRODUCT(('Daily Checklist'!$D$2:$D$2000=$A41)*(TEXT('Daily Checklist'!$B$2:$B$2000,"yyyy-mm-dd")=TEXT(($B$4+2),"yyyy-mm-dd")))=0,"-",IF(SUMPRODUCT(('Daily Checklist'!$D$2:$D$2000=$A41)*(TEXT('Daily Checklist'!$B$2:$B$2000,"yyyy-mm-dd")=TEXT(($B$4+2),"yyyy-mm-dd"))*('Daily Checklist'!$L$2:$L$2000="Y"))&gt;0,SUMPRODUCT(('Daily Checklist'!$D$2:$D$2000=$A41)*(TEXT('Daily Checklist'!$B$2:$B$2000,"yyyy-mm-dd")=TEXT(($B$4+2),"yyyy-mm-dd"))*('Daily Checklist'!$F$2:$F$2000="Done"))&amp;"/"&amp;SUMPRODUCT(('Daily Checklist'!$D$2:$D$2000=$A41)*(TEXT('Daily Checklist'!$B$2:$B$2000,"yyyy-mm-dd")=TEXT(($B$4+2),"yyyy-mm-dd")))&amp;" ESC",SUMPRODUCT(('Daily Checklist'!$D$2:$D$2000=$A41)*(TEXT('Daily Checklist'!$B$2:$B$2000,"yyyy-mm-dd")=TEXT(($B$4+2),"yyyy-mm-dd"))*('Daily Checklist'!$F$2:$F$2000="Done"))&amp;"/"&amp;SUMPRODUCT(('Daily Checklist'!$D$2:$D$2000=$A41)*(TEXT('Daily Checklist'!$B$2:$B$2000,"yyyy-mm-dd")=TEXT(($B$4+2),"yyyy-mm-dd"))))))</f>
        <v/>
      </c>
      <c r="E41" s="25" t="str">
        <f aca="false">IF($A41="","",IF(SUMPRODUCT(('Daily Checklist'!$D$2:$D$2000=$A41)*(TEXT('Daily Checklist'!$B$2:$B$2000,"yyyy-mm-dd")=TEXT(($B$4+3),"yyyy-mm-dd")))=0,"-",IF(SUMPRODUCT(('Daily Checklist'!$D$2:$D$2000=$A41)*(TEXT('Daily Checklist'!$B$2:$B$2000,"yyyy-mm-dd")=TEXT(($B$4+3),"yyyy-mm-dd"))*('Daily Checklist'!$L$2:$L$2000="Y"))&gt;0,SUMPRODUCT(('Daily Checklist'!$D$2:$D$2000=$A41)*(TEXT('Daily Checklist'!$B$2:$B$2000,"yyyy-mm-dd")=TEXT(($B$4+3),"yyyy-mm-dd"))*('Daily Checklist'!$F$2:$F$2000="Done"))&amp;"/"&amp;SUMPRODUCT(('Daily Checklist'!$D$2:$D$2000=$A41)*(TEXT('Daily Checklist'!$B$2:$B$2000,"yyyy-mm-dd")=TEXT(($B$4+3),"yyyy-mm-dd")))&amp;" ESC",SUMPRODUCT(('Daily Checklist'!$D$2:$D$2000=$A41)*(TEXT('Daily Checklist'!$B$2:$B$2000,"yyyy-mm-dd")=TEXT(($B$4+3),"yyyy-mm-dd"))*('Daily Checklist'!$F$2:$F$2000="Done"))&amp;"/"&amp;SUMPRODUCT(('Daily Checklist'!$D$2:$D$2000=$A41)*(TEXT('Daily Checklist'!$B$2:$B$2000,"yyyy-mm-dd")=TEXT(($B$4+3),"yyyy-mm-dd"))))))</f>
        <v/>
      </c>
      <c r="F41" s="25" t="str">
        <f aca="false">IF($A41="","",IF(SUMPRODUCT(('Daily Checklist'!$D$2:$D$2000=$A41)*(TEXT('Daily Checklist'!$B$2:$B$2000,"yyyy-mm-dd")=TEXT(($B$4+4),"yyyy-mm-dd")))=0,"-",IF(SUMPRODUCT(('Daily Checklist'!$D$2:$D$2000=$A41)*(TEXT('Daily Checklist'!$B$2:$B$2000,"yyyy-mm-dd")=TEXT(($B$4+4),"yyyy-mm-dd"))*('Daily Checklist'!$L$2:$L$2000="Y"))&gt;0,SUMPRODUCT(('Daily Checklist'!$D$2:$D$2000=$A41)*(TEXT('Daily Checklist'!$B$2:$B$2000,"yyyy-mm-dd")=TEXT(($B$4+4),"yyyy-mm-dd"))*('Daily Checklist'!$F$2:$F$2000="Done"))&amp;"/"&amp;SUMPRODUCT(('Daily Checklist'!$D$2:$D$2000=$A41)*(TEXT('Daily Checklist'!$B$2:$B$2000,"yyyy-mm-dd")=TEXT(($B$4+4),"yyyy-mm-dd")))&amp;" ESC",SUMPRODUCT(('Daily Checklist'!$D$2:$D$2000=$A41)*(TEXT('Daily Checklist'!$B$2:$B$2000,"yyyy-mm-dd")=TEXT(($B$4+4),"yyyy-mm-dd"))*('Daily Checklist'!$F$2:$F$2000="Done"))&amp;"/"&amp;SUMPRODUCT(('Daily Checklist'!$D$2:$D$2000=$A41)*(TEXT('Daily Checklist'!$B$2:$B$2000,"yyyy-mm-dd")=TEXT(($B$4+4),"yyyy-mm-dd"))))))</f>
        <v/>
      </c>
      <c r="G41" s="25" t="str">
        <f aca="false">IF($A41="","",IF(SUMPRODUCT(('Daily Checklist'!$D$2:$D$2000=$A41)*(TEXT('Daily Checklist'!$B$2:$B$2000,"yyyy-mm-dd")=TEXT(($B$4+5),"yyyy-mm-dd")))=0,"-",IF(SUMPRODUCT(('Daily Checklist'!$D$2:$D$2000=$A41)*(TEXT('Daily Checklist'!$B$2:$B$2000,"yyyy-mm-dd")=TEXT(($B$4+5),"yyyy-mm-dd"))*('Daily Checklist'!$L$2:$L$2000="Y"))&gt;0,SUMPRODUCT(('Daily Checklist'!$D$2:$D$2000=$A41)*(TEXT('Daily Checklist'!$B$2:$B$2000,"yyyy-mm-dd")=TEXT(($B$4+5),"yyyy-mm-dd"))*('Daily Checklist'!$F$2:$F$2000="Done"))&amp;"/"&amp;SUMPRODUCT(('Daily Checklist'!$D$2:$D$2000=$A41)*(TEXT('Daily Checklist'!$B$2:$B$2000,"yyyy-mm-dd")=TEXT(($B$4+5),"yyyy-mm-dd")))&amp;" ESC",SUMPRODUCT(('Daily Checklist'!$D$2:$D$2000=$A41)*(TEXT('Daily Checklist'!$B$2:$B$2000,"yyyy-mm-dd")=TEXT(($B$4+5),"yyyy-mm-dd"))*('Daily Checklist'!$F$2:$F$2000="Done"))&amp;"/"&amp;SUMPRODUCT(('Daily Checklist'!$D$2:$D$2000=$A41)*(TEXT('Daily Checklist'!$B$2:$B$2000,"yyyy-mm-dd")=TEXT(($B$4+5),"yyyy-mm-dd"))))))</f>
        <v/>
      </c>
      <c r="H41" s="25" t="str">
        <f aca="false">IF($A41="","",IF(SUMPRODUCT(('Daily Checklist'!$D$2:$D$2000=$A41)*(TEXT('Daily Checklist'!$B$2:$B$2000,"yyyy-mm-dd")=TEXT(($B$4+6),"yyyy-mm-dd")))=0,"-",IF(SUMPRODUCT(('Daily Checklist'!$D$2:$D$2000=$A41)*(TEXT('Daily Checklist'!$B$2:$B$2000,"yyyy-mm-dd")=TEXT(($B$4+6),"yyyy-mm-dd"))*('Daily Checklist'!$L$2:$L$2000="Y"))&gt;0,SUMPRODUCT(('Daily Checklist'!$D$2:$D$2000=$A41)*(TEXT('Daily Checklist'!$B$2:$B$2000,"yyyy-mm-dd")=TEXT(($B$4+6),"yyyy-mm-dd"))*('Daily Checklist'!$F$2:$F$2000="Done"))&amp;"/"&amp;SUMPRODUCT(('Daily Checklist'!$D$2:$D$2000=$A41)*(TEXT('Daily Checklist'!$B$2:$B$2000,"yyyy-mm-dd")=TEXT(($B$4+6),"yyyy-mm-dd")))&amp;" ESC",SUMPRODUCT(('Daily Checklist'!$D$2:$D$2000=$A41)*(TEXT('Daily Checklist'!$B$2:$B$2000,"yyyy-mm-dd")=TEXT(($B$4+6),"yyyy-mm-dd"))*('Daily Checklist'!$F$2:$F$2000="Done"))&amp;"/"&amp;SUMPRODUCT(('Daily Checklist'!$D$2:$D$2000=$A41)*(TEXT('Daily Checklist'!$B$2:$B$2000,"yyyy-mm-dd")=TEXT(($B$4+6),"yyyy-mm-dd"))))))</f>
        <v/>
      </c>
      <c r="I41" s="25" t="str">
        <f aca="false">IF($A41="","",IF(SUMPRODUCT(('Daily Checklist'!$D$2:$D$2000=$A41)*(TEXT('Daily Checklist'!$B$2:$B$2000,"yyyy-mm-dd")=TEXT(($B$4+7),"yyyy-mm-dd")))=0,"-",IF(SUMPRODUCT(('Daily Checklist'!$D$2:$D$2000=$A41)*(TEXT('Daily Checklist'!$B$2:$B$2000,"yyyy-mm-dd")=TEXT(($B$4+7),"yyyy-mm-dd"))*('Daily Checklist'!$L$2:$L$2000="Y"))&gt;0,SUMPRODUCT(('Daily Checklist'!$D$2:$D$2000=$A41)*(TEXT('Daily Checklist'!$B$2:$B$2000,"yyyy-mm-dd")=TEXT(($B$4+7),"yyyy-mm-dd"))*('Daily Checklist'!$F$2:$F$2000="Done"))&amp;"/"&amp;SUMPRODUCT(('Daily Checklist'!$D$2:$D$2000=$A41)*(TEXT('Daily Checklist'!$B$2:$B$2000,"yyyy-mm-dd")=TEXT(($B$4+7),"yyyy-mm-dd")))&amp;" ESC",SUMPRODUCT(('Daily Checklist'!$D$2:$D$2000=$A41)*(TEXT('Daily Checklist'!$B$2:$B$2000,"yyyy-mm-dd")=TEXT(($B$4+7),"yyyy-mm-dd"))*('Daily Checklist'!$F$2:$F$2000="Done"))&amp;"/"&amp;SUMPRODUCT(('Daily Checklist'!$D$2:$D$2000=$A41)*(TEXT('Daily Checklist'!$B$2:$B$2000,"yyyy-mm-dd")=TEXT(($B$4+7),"yyyy-mm-dd"))))))</f>
        <v/>
      </c>
      <c r="J41" s="25" t="str">
        <f aca="false">IF($A41="","",IF(SUMPRODUCT(('Daily Checklist'!$D$2:$D$2000=$A41)*(TEXT('Daily Checklist'!$B$2:$B$2000,"yyyy-mm-dd")=TEXT(($B$4+8),"yyyy-mm-dd")))=0,"-",IF(SUMPRODUCT(('Daily Checklist'!$D$2:$D$2000=$A41)*(TEXT('Daily Checklist'!$B$2:$B$2000,"yyyy-mm-dd")=TEXT(($B$4+8),"yyyy-mm-dd"))*('Daily Checklist'!$L$2:$L$2000="Y"))&gt;0,SUMPRODUCT(('Daily Checklist'!$D$2:$D$2000=$A41)*(TEXT('Daily Checklist'!$B$2:$B$2000,"yyyy-mm-dd")=TEXT(($B$4+8),"yyyy-mm-dd"))*('Daily Checklist'!$F$2:$F$2000="Done"))&amp;"/"&amp;SUMPRODUCT(('Daily Checklist'!$D$2:$D$2000=$A41)*(TEXT('Daily Checklist'!$B$2:$B$2000,"yyyy-mm-dd")=TEXT(($B$4+8),"yyyy-mm-dd")))&amp;" ESC",SUMPRODUCT(('Daily Checklist'!$D$2:$D$2000=$A41)*(TEXT('Daily Checklist'!$B$2:$B$2000,"yyyy-mm-dd")=TEXT(($B$4+8),"yyyy-mm-dd"))*('Daily Checklist'!$F$2:$F$2000="Done"))&amp;"/"&amp;SUMPRODUCT(('Daily Checklist'!$D$2:$D$2000=$A41)*(TEXT('Daily Checklist'!$B$2:$B$2000,"yyyy-mm-dd")=TEXT(($B$4+8),"yyyy-mm-dd"))))))</f>
        <v/>
      </c>
      <c r="K41" s="25" t="str">
        <f aca="false">IF($A41="","",IF(SUMPRODUCT(('Daily Checklist'!$D$2:$D$2000=$A41)*(TEXT('Daily Checklist'!$B$2:$B$2000,"yyyy-mm-dd")=TEXT(($B$4+9),"yyyy-mm-dd")))=0,"-",IF(SUMPRODUCT(('Daily Checklist'!$D$2:$D$2000=$A41)*(TEXT('Daily Checklist'!$B$2:$B$2000,"yyyy-mm-dd")=TEXT(($B$4+9),"yyyy-mm-dd"))*('Daily Checklist'!$L$2:$L$2000="Y"))&gt;0,SUMPRODUCT(('Daily Checklist'!$D$2:$D$2000=$A41)*(TEXT('Daily Checklist'!$B$2:$B$2000,"yyyy-mm-dd")=TEXT(($B$4+9),"yyyy-mm-dd"))*('Daily Checklist'!$F$2:$F$2000="Done"))&amp;"/"&amp;SUMPRODUCT(('Daily Checklist'!$D$2:$D$2000=$A41)*(TEXT('Daily Checklist'!$B$2:$B$2000,"yyyy-mm-dd")=TEXT(($B$4+9),"yyyy-mm-dd")))&amp;" ESC",SUMPRODUCT(('Daily Checklist'!$D$2:$D$2000=$A41)*(TEXT('Daily Checklist'!$B$2:$B$2000,"yyyy-mm-dd")=TEXT(($B$4+9),"yyyy-mm-dd"))*('Daily Checklist'!$F$2:$F$2000="Done"))&amp;"/"&amp;SUMPRODUCT(('Daily Checklist'!$D$2:$D$2000=$A41)*(TEXT('Daily Checklist'!$B$2:$B$2000,"yyyy-mm-dd")=TEXT(($B$4+9),"yyyy-mm-dd"))))))</f>
        <v/>
      </c>
      <c r="L41" s="25" t="str">
        <f aca="false">IF($A41="","",IF(SUMPRODUCT(('Daily Checklist'!$D$2:$D$2000=$A41)*(TEXT('Daily Checklist'!$B$2:$B$2000,"yyyy-mm-dd")=TEXT(($B$4+10),"yyyy-mm-dd")))=0,"-",IF(SUMPRODUCT(('Daily Checklist'!$D$2:$D$2000=$A41)*(TEXT('Daily Checklist'!$B$2:$B$2000,"yyyy-mm-dd")=TEXT(($B$4+10),"yyyy-mm-dd"))*('Daily Checklist'!$L$2:$L$2000="Y"))&gt;0,SUMPRODUCT(('Daily Checklist'!$D$2:$D$2000=$A41)*(TEXT('Daily Checklist'!$B$2:$B$2000,"yyyy-mm-dd")=TEXT(($B$4+10),"yyyy-mm-dd"))*('Daily Checklist'!$F$2:$F$2000="Done"))&amp;"/"&amp;SUMPRODUCT(('Daily Checklist'!$D$2:$D$2000=$A41)*(TEXT('Daily Checklist'!$B$2:$B$2000,"yyyy-mm-dd")=TEXT(($B$4+10),"yyyy-mm-dd")))&amp;" ESC",SUMPRODUCT(('Daily Checklist'!$D$2:$D$2000=$A41)*(TEXT('Daily Checklist'!$B$2:$B$2000,"yyyy-mm-dd")=TEXT(($B$4+10),"yyyy-mm-dd"))*('Daily Checklist'!$F$2:$F$2000="Done"))&amp;"/"&amp;SUMPRODUCT(('Daily Checklist'!$D$2:$D$2000=$A41)*(TEXT('Daily Checklist'!$B$2:$B$2000,"yyyy-mm-dd")=TEXT(($B$4+10),"yyyy-mm-dd"))))))</f>
        <v/>
      </c>
      <c r="M41" s="25" t="str">
        <f aca="false">IF($A41="","",IF(SUMPRODUCT(('Daily Checklist'!$D$2:$D$2000=$A41)*(TEXT('Daily Checklist'!$B$2:$B$2000,"yyyy-mm-dd")=TEXT(($B$4+11),"yyyy-mm-dd")))=0,"-",IF(SUMPRODUCT(('Daily Checklist'!$D$2:$D$2000=$A41)*(TEXT('Daily Checklist'!$B$2:$B$2000,"yyyy-mm-dd")=TEXT(($B$4+11),"yyyy-mm-dd"))*('Daily Checklist'!$L$2:$L$2000="Y"))&gt;0,SUMPRODUCT(('Daily Checklist'!$D$2:$D$2000=$A41)*(TEXT('Daily Checklist'!$B$2:$B$2000,"yyyy-mm-dd")=TEXT(($B$4+11),"yyyy-mm-dd"))*('Daily Checklist'!$F$2:$F$2000="Done"))&amp;"/"&amp;SUMPRODUCT(('Daily Checklist'!$D$2:$D$2000=$A41)*(TEXT('Daily Checklist'!$B$2:$B$2000,"yyyy-mm-dd")=TEXT(($B$4+11),"yyyy-mm-dd")))&amp;" ESC",SUMPRODUCT(('Daily Checklist'!$D$2:$D$2000=$A41)*(TEXT('Daily Checklist'!$B$2:$B$2000,"yyyy-mm-dd")=TEXT(($B$4+11),"yyyy-mm-dd"))*('Daily Checklist'!$F$2:$F$2000="Done"))&amp;"/"&amp;SUMPRODUCT(('Daily Checklist'!$D$2:$D$2000=$A41)*(TEXT('Daily Checklist'!$B$2:$B$2000,"yyyy-mm-dd")=TEXT(($B$4+11),"yyyy-mm-dd"))))))</f>
        <v/>
      </c>
      <c r="N41" s="25" t="str">
        <f aca="false">IF($A41="","",IF(SUMPRODUCT(('Daily Checklist'!$D$2:$D$2000=$A41)*(TEXT('Daily Checklist'!$B$2:$B$2000,"yyyy-mm-dd")=TEXT(($B$4+12),"yyyy-mm-dd")))=0,"-",IF(SUMPRODUCT(('Daily Checklist'!$D$2:$D$2000=$A41)*(TEXT('Daily Checklist'!$B$2:$B$2000,"yyyy-mm-dd")=TEXT(($B$4+12),"yyyy-mm-dd"))*('Daily Checklist'!$L$2:$L$2000="Y"))&gt;0,SUMPRODUCT(('Daily Checklist'!$D$2:$D$2000=$A41)*(TEXT('Daily Checklist'!$B$2:$B$2000,"yyyy-mm-dd")=TEXT(($B$4+12),"yyyy-mm-dd"))*('Daily Checklist'!$F$2:$F$2000="Done"))&amp;"/"&amp;SUMPRODUCT(('Daily Checklist'!$D$2:$D$2000=$A41)*(TEXT('Daily Checklist'!$B$2:$B$2000,"yyyy-mm-dd")=TEXT(($B$4+12),"yyyy-mm-dd")))&amp;" ESC",SUMPRODUCT(('Daily Checklist'!$D$2:$D$2000=$A41)*(TEXT('Daily Checklist'!$B$2:$B$2000,"yyyy-mm-dd")=TEXT(($B$4+12),"yyyy-mm-dd"))*('Daily Checklist'!$F$2:$F$2000="Done"))&amp;"/"&amp;SUMPRODUCT(('Daily Checklist'!$D$2:$D$2000=$A41)*(TEXT('Daily Checklist'!$B$2:$B$2000,"yyyy-mm-dd")=TEXT(($B$4+12),"yyyy-mm-dd"))))))</f>
        <v/>
      </c>
      <c r="O41" s="25" t="str">
        <f aca="false">IF($A41="","",IF(SUMPRODUCT(('Daily Checklist'!$D$2:$D$2000=$A41)*(TEXT('Daily Checklist'!$B$2:$B$2000,"yyyy-mm-dd")=TEXT(($B$4+13),"yyyy-mm-dd")))=0,"-",IF(SUMPRODUCT(('Daily Checklist'!$D$2:$D$2000=$A41)*(TEXT('Daily Checklist'!$B$2:$B$2000,"yyyy-mm-dd")=TEXT(($B$4+13),"yyyy-mm-dd"))*('Daily Checklist'!$L$2:$L$2000="Y"))&gt;0,SUMPRODUCT(('Daily Checklist'!$D$2:$D$2000=$A41)*(TEXT('Daily Checklist'!$B$2:$B$2000,"yyyy-mm-dd")=TEXT(($B$4+13),"yyyy-mm-dd"))*('Daily Checklist'!$F$2:$F$2000="Done"))&amp;"/"&amp;SUMPRODUCT(('Daily Checklist'!$D$2:$D$2000=$A41)*(TEXT('Daily Checklist'!$B$2:$B$2000,"yyyy-mm-dd")=TEXT(($B$4+13),"yyyy-mm-dd")))&amp;" ESC",SUMPRODUCT(('Daily Checklist'!$D$2:$D$2000=$A41)*(TEXT('Daily Checklist'!$B$2:$B$2000,"yyyy-mm-dd")=TEXT(($B$4+13),"yyyy-mm-dd"))*('Daily Checklist'!$F$2:$F$2000="Done"))&amp;"/"&amp;SUMPRODUCT(('Daily Checklist'!$D$2:$D$2000=$A41)*(TEXT('Daily Checklist'!$B$2:$B$2000,"yyyy-mm-dd")=TEXT(($B$4+13),"yyyy-mm-dd"))))))</f>
        <v/>
      </c>
      <c r="P41" s="25" t="str">
        <f aca="false">IF($A41="","",IF(SUMPRODUCT(('Daily Checklist'!$D$2:$D$2000=$A41)*(TEXT('Daily Checklist'!$B$2:$B$2000,"yyyy-mm-dd")=TEXT(($B$4+14),"yyyy-mm-dd")))=0,"-",IF(SUMPRODUCT(('Daily Checklist'!$D$2:$D$2000=$A41)*(TEXT('Daily Checklist'!$B$2:$B$2000,"yyyy-mm-dd")=TEXT(($B$4+14),"yyyy-mm-dd"))*('Daily Checklist'!$L$2:$L$2000="Y"))&gt;0,SUMPRODUCT(('Daily Checklist'!$D$2:$D$2000=$A41)*(TEXT('Daily Checklist'!$B$2:$B$2000,"yyyy-mm-dd")=TEXT(($B$4+14),"yyyy-mm-dd"))*('Daily Checklist'!$F$2:$F$2000="Done"))&amp;"/"&amp;SUMPRODUCT(('Daily Checklist'!$D$2:$D$2000=$A41)*(TEXT('Daily Checklist'!$B$2:$B$2000,"yyyy-mm-dd")=TEXT(($B$4+14),"yyyy-mm-dd")))&amp;" ESC",SUMPRODUCT(('Daily Checklist'!$D$2:$D$2000=$A41)*(TEXT('Daily Checklist'!$B$2:$B$2000,"yyyy-mm-dd")=TEXT(($B$4+14),"yyyy-mm-dd"))*('Daily Checklist'!$F$2:$F$2000="Done"))&amp;"/"&amp;SUMPRODUCT(('Daily Checklist'!$D$2:$D$2000=$A41)*(TEXT('Daily Checklist'!$B$2:$B$2000,"yyyy-mm-dd")=TEXT(($B$4+14),"yyyy-mm-dd"))))))</f>
        <v/>
      </c>
      <c r="Q41" s="25" t="str">
        <f aca="false">IF($A41="","",IF(SUMPRODUCT(('Daily Checklist'!$D$2:$D$2000=$A41)*(TEXT('Daily Checklist'!$B$2:$B$2000,"yyyy-mm-dd")=TEXT(($B$4+15),"yyyy-mm-dd")))=0,"-",IF(SUMPRODUCT(('Daily Checklist'!$D$2:$D$2000=$A41)*(TEXT('Daily Checklist'!$B$2:$B$2000,"yyyy-mm-dd")=TEXT(($B$4+15),"yyyy-mm-dd"))*('Daily Checklist'!$L$2:$L$2000="Y"))&gt;0,SUMPRODUCT(('Daily Checklist'!$D$2:$D$2000=$A41)*(TEXT('Daily Checklist'!$B$2:$B$2000,"yyyy-mm-dd")=TEXT(($B$4+15),"yyyy-mm-dd"))*('Daily Checklist'!$F$2:$F$2000="Done"))&amp;"/"&amp;SUMPRODUCT(('Daily Checklist'!$D$2:$D$2000=$A41)*(TEXT('Daily Checklist'!$B$2:$B$2000,"yyyy-mm-dd")=TEXT(($B$4+15),"yyyy-mm-dd")))&amp;" ESC",SUMPRODUCT(('Daily Checklist'!$D$2:$D$2000=$A41)*(TEXT('Daily Checklist'!$B$2:$B$2000,"yyyy-mm-dd")=TEXT(($B$4+15),"yyyy-mm-dd"))*('Daily Checklist'!$F$2:$F$2000="Done"))&amp;"/"&amp;SUMPRODUCT(('Daily Checklist'!$D$2:$D$2000=$A41)*(TEXT('Daily Checklist'!$B$2:$B$2000,"yyyy-mm-dd")=TEXT(($B$4+15),"yyyy-mm-dd"))))))</f>
        <v/>
      </c>
      <c r="R41" s="25" t="str">
        <f aca="false">IF($A41="","",IF(SUMPRODUCT(('Daily Checklist'!$D$2:$D$2000=$A41)*(TEXT('Daily Checklist'!$B$2:$B$2000,"yyyy-mm-dd")=TEXT(($B$4+16),"yyyy-mm-dd")))=0,"-",IF(SUMPRODUCT(('Daily Checklist'!$D$2:$D$2000=$A41)*(TEXT('Daily Checklist'!$B$2:$B$2000,"yyyy-mm-dd")=TEXT(($B$4+16),"yyyy-mm-dd"))*('Daily Checklist'!$L$2:$L$2000="Y"))&gt;0,SUMPRODUCT(('Daily Checklist'!$D$2:$D$2000=$A41)*(TEXT('Daily Checklist'!$B$2:$B$2000,"yyyy-mm-dd")=TEXT(($B$4+16),"yyyy-mm-dd"))*('Daily Checklist'!$F$2:$F$2000="Done"))&amp;"/"&amp;SUMPRODUCT(('Daily Checklist'!$D$2:$D$2000=$A41)*(TEXT('Daily Checklist'!$B$2:$B$2000,"yyyy-mm-dd")=TEXT(($B$4+16),"yyyy-mm-dd")))&amp;" ESC",SUMPRODUCT(('Daily Checklist'!$D$2:$D$2000=$A41)*(TEXT('Daily Checklist'!$B$2:$B$2000,"yyyy-mm-dd")=TEXT(($B$4+16),"yyyy-mm-dd"))*('Daily Checklist'!$F$2:$F$2000="Done"))&amp;"/"&amp;SUMPRODUCT(('Daily Checklist'!$D$2:$D$2000=$A41)*(TEXT('Daily Checklist'!$B$2:$B$2000,"yyyy-mm-dd")=TEXT(($B$4+16),"yyyy-mm-dd"))))))</f>
        <v/>
      </c>
      <c r="S41" s="25" t="str">
        <f aca="false">IF($A41="","",IF(SUMPRODUCT(('Daily Checklist'!$D$2:$D$2000=$A41)*(TEXT('Daily Checklist'!$B$2:$B$2000,"yyyy-mm-dd")=TEXT(($B$4+17),"yyyy-mm-dd")))=0,"-",IF(SUMPRODUCT(('Daily Checklist'!$D$2:$D$2000=$A41)*(TEXT('Daily Checklist'!$B$2:$B$2000,"yyyy-mm-dd")=TEXT(($B$4+17),"yyyy-mm-dd"))*('Daily Checklist'!$L$2:$L$2000="Y"))&gt;0,SUMPRODUCT(('Daily Checklist'!$D$2:$D$2000=$A41)*(TEXT('Daily Checklist'!$B$2:$B$2000,"yyyy-mm-dd")=TEXT(($B$4+17),"yyyy-mm-dd"))*('Daily Checklist'!$F$2:$F$2000="Done"))&amp;"/"&amp;SUMPRODUCT(('Daily Checklist'!$D$2:$D$2000=$A41)*(TEXT('Daily Checklist'!$B$2:$B$2000,"yyyy-mm-dd")=TEXT(($B$4+17),"yyyy-mm-dd")))&amp;" ESC",SUMPRODUCT(('Daily Checklist'!$D$2:$D$2000=$A41)*(TEXT('Daily Checklist'!$B$2:$B$2000,"yyyy-mm-dd")=TEXT(($B$4+17),"yyyy-mm-dd"))*('Daily Checklist'!$F$2:$F$2000="Done"))&amp;"/"&amp;SUMPRODUCT(('Daily Checklist'!$D$2:$D$2000=$A41)*(TEXT('Daily Checklist'!$B$2:$B$2000,"yyyy-mm-dd")=TEXT(($B$4+17),"yyyy-mm-dd"))))))</f>
        <v/>
      </c>
      <c r="T41" s="25" t="str">
        <f aca="false">IF($A41="","",IF(SUMPRODUCT(('Daily Checklist'!$D$2:$D$2000=$A41)*(TEXT('Daily Checklist'!$B$2:$B$2000,"yyyy-mm-dd")=TEXT(($B$4+18),"yyyy-mm-dd")))=0,"-",IF(SUMPRODUCT(('Daily Checklist'!$D$2:$D$2000=$A41)*(TEXT('Daily Checklist'!$B$2:$B$2000,"yyyy-mm-dd")=TEXT(($B$4+18),"yyyy-mm-dd"))*('Daily Checklist'!$L$2:$L$2000="Y"))&gt;0,SUMPRODUCT(('Daily Checklist'!$D$2:$D$2000=$A41)*(TEXT('Daily Checklist'!$B$2:$B$2000,"yyyy-mm-dd")=TEXT(($B$4+18),"yyyy-mm-dd"))*('Daily Checklist'!$F$2:$F$2000="Done"))&amp;"/"&amp;SUMPRODUCT(('Daily Checklist'!$D$2:$D$2000=$A41)*(TEXT('Daily Checklist'!$B$2:$B$2000,"yyyy-mm-dd")=TEXT(($B$4+18),"yyyy-mm-dd")))&amp;" ESC",SUMPRODUCT(('Daily Checklist'!$D$2:$D$2000=$A41)*(TEXT('Daily Checklist'!$B$2:$B$2000,"yyyy-mm-dd")=TEXT(($B$4+18),"yyyy-mm-dd"))*('Daily Checklist'!$F$2:$F$2000="Done"))&amp;"/"&amp;SUMPRODUCT(('Daily Checklist'!$D$2:$D$2000=$A41)*(TEXT('Daily Checklist'!$B$2:$B$2000,"yyyy-mm-dd")=TEXT(($B$4+18),"yyyy-mm-dd"))))))</f>
        <v/>
      </c>
      <c r="U41" s="25" t="str">
        <f aca="false">IF($A41="","",IF(SUMPRODUCT(('Daily Checklist'!$D$2:$D$2000=$A41)*(TEXT('Daily Checklist'!$B$2:$B$2000,"yyyy-mm-dd")=TEXT(($B$4+19),"yyyy-mm-dd")))=0,"-",IF(SUMPRODUCT(('Daily Checklist'!$D$2:$D$2000=$A41)*(TEXT('Daily Checklist'!$B$2:$B$2000,"yyyy-mm-dd")=TEXT(($B$4+19),"yyyy-mm-dd"))*('Daily Checklist'!$L$2:$L$2000="Y"))&gt;0,SUMPRODUCT(('Daily Checklist'!$D$2:$D$2000=$A41)*(TEXT('Daily Checklist'!$B$2:$B$2000,"yyyy-mm-dd")=TEXT(($B$4+19),"yyyy-mm-dd"))*('Daily Checklist'!$F$2:$F$2000="Done"))&amp;"/"&amp;SUMPRODUCT(('Daily Checklist'!$D$2:$D$2000=$A41)*(TEXT('Daily Checklist'!$B$2:$B$2000,"yyyy-mm-dd")=TEXT(($B$4+19),"yyyy-mm-dd")))&amp;" ESC",SUMPRODUCT(('Daily Checklist'!$D$2:$D$2000=$A41)*(TEXT('Daily Checklist'!$B$2:$B$2000,"yyyy-mm-dd")=TEXT(($B$4+19),"yyyy-mm-dd"))*('Daily Checklist'!$F$2:$F$2000="Done"))&amp;"/"&amp;SUMPRODUCT(('Daily Checklist'!$D$2:$D$2000=$A41)*(TEXT('Daily Checklist'!$B$2:$B$2000,"yyyy-mm-dd")=TEXT(($B$4+19),"yyyy-mm-dd"))))))</f>
        <v/>
      </c>
      <c r="V41" s="25" t="str">
        <f aca="false">IF($A41="","",IF(SUMPRODUCT(('Daily Checklist'!$D$2:$D$2000=$A41)*(TEXT('Daily Checklist'!$B$2:$B$2000,"yyyy-mm-dd")=TEXT(($B$4+20),"yyyy-mm-dd")))=0,"-",IF(SUMPRODUCT(('Daily Checklist'!$D$2:$D$2000=$A41)*(TEXT('Daily Checklist'!$B$2:$B$2000,"yyyy-mm-dd")=TEXT(($B$4+20),"yyyy-mm-dd"))*('Daily Checklist'!$L$2:$L$2000="Y"))&gt;0,SUMPRODUCT(('Daily Checklist'!$D$2:$D$2000=$A41)*(TEXT('Daily Checklist'!$B$2:$B$2000,"yyyy-mm-dd")=TEXT(($B$4+20),"yyyy-mm-dd"))*('Daily Checklist'!$F$2:$F$2000="Done"))&amp;"/"&amp;SUMPRODUCT(('Daily Checklist'!$D$2:$D$2000=$A41)*(TEXT('Daily Checklist'!$B$2:$B$2000,"yyyy-mm-dd")=TEXT(($B$4+20),"yyyy-mm-dd")))&amp;" ESC",SUMPRODUCT(('Daily Checklist'!$D$2:$D$2000=$A41)*(TEXT('Daily Checklist'!$B$2:$B$2000,"yyyy-mm-dd")=TEXT(($B$4+20),"yyyy-mm-dd"))*('Daily Checklist'!$F$2:$F$2000="Done"))&amp;"/"&amp;SUMPRODUCT(('Daily Checklist'!$D$2:$D$2000=$A41)*(TEXT('Daily Checklist'!$B$2:$B$2000,"yyyy-mm-dd")=TEXT(($B$4+20),"yyyy-mm-dd"))))))</f>
        <v/>
      </c>
      <c r="W41" s="25" t="str">
        <f aca="false">IF($A41="","",IF(SUMPRODUCT(('Daily Checklist'!$D$2:$D$2000=$A41)*(TEXT('Daily Checklist'!$B$2:$B$2000,"yyyy-mm-dd")=TEXT(($B$4+21),"yyyy-mm-dd")))=0,"-",IF(SUMPRODUCT(('Daily Checklist'!$D$2:$D$2000=$A41)*(TEXT('Daily Checklist'!$B$2:$B$2000,"yyyy-mm-dd")=TEXT(($B$4+21),"yyyy-mm-dd"))*('Daily Checklist'!$L$2:$L$2000="Y"))&gt;0,SUMPRODUCT(('Daily Checklist'!$D$2:$D$2000=$A41)*(TEXT('Daily Checklist'!$B$2:$B$2000,"yyyy-mm-dd")=TEXT(($B$4+21),"yyyy-mm-dd"))*('Daily Checklist'!$F$2:$F$2000="Done"))&amp;"/"&amp;SUMPRODUCT(('Daily Checklist'!$D$2:$D$2000=$A41)*(TEXT('Daily Checklist'!$B$2:$B$2000,"yyyy-mm-dd")=TEXT(($B$4+21),"yyyy-mm-dd")))&amp;" ESC",SUMPRODUCT(('Daily Checklist'!$D$2:$D$2000=$A41)*(TEXT('Daily Checklist'!$B$2:$B$2000,"yyyy-mm-dd")=TEXT(($B$4+21),"yyyy-mm-dd"))*('Daily Checklist'!$F$2:$F$2000="Done"))&amp;"/"&amp;SUMPRODUCT(('Daily Checklist'!$D$2:$D$2000=$A41)*(TEXT('Daily Checklist'!$B$2:$B$2000,"yyyy-mm-dd")=TEXT(($B$4+21),"yyyy-mm-dd"))))))</f>
        <v/>
      </c>
      <c r="X41" s="25" t="str">
        <f aca="false">IF($A41="","",IF(SUMPRODUCT(('Daily Checklist'!$D$2:$D$2000=$A41)*(TEXT('Daily Checklist'!$B$2:$B$2000,"yyyy-mm-dd")=TEXT(($B$4+22),"yyyy-mm-dd")))=0,"-",IF(SUMPRODUCT(('Daily Checklist'!$D$2:$D$2000=$A41)*(TEXT('Daily Checklist'!$B$2:$B$2000,"yyyy-mm-dd")=TEXT(($B$4+22),"yyyy-mm-dd"))*('Daily Checklist'!$L$2:$L$2000="Y"))&gt;0,SUMPRODUCT(('Daily Checklist'!$D$2:$D$2000=$A41)*(TEXT('Daily Checklist'!$B$2:$B$2000,"yyyy-mm-dd")=TEXT(($B$4+22),"yyyy-mm-dd"))*('Daily Checklist'!$F$2:$F$2000="Done"))&amp;"/"&amp;SUMPRODUCT(('Daily Checklist'!$D$2:$D$2000=$A41)*(TEXT('Daily Checklist'!$B$2:$B$2000,"yyyy-mm-dd")=TEXT(($B$4+22),"yyyy-mm-dd")))&amp;" ESC",SUMPRODUCT(('Daily Checklist'!$D$2:$D$2000=$A41)*(TEXT('Daily Checklist'!$B$2:$B$2000,"yyyy-mm-dd")=TEXT(($B$4+22),"yyyy-mm-dd"))*('Daily Checklist'!$F$2:$F$2000="Done"))&amp;"/"&amp;SUMPRODUCT(('Daily Checklist'!$D$2:$D$2000=$A41)*(TEXT('Daily Checklist'!$B$2:$B$2000,"yyyy-mm-dd")=TEXT(($B$4+22),"yyyy-mm-dd"))))))</f>
        <v/>
      </c>
      <c r="Y41" s="25" t="str">
        <f aca="false">IF($A41="","",IF(SUMPRODUCT(('Daily Checklist'!$D$2:$D$2000=$A41)*(TEXT('Daily Checklist'!$B$2:$B$2000,"yyyy-mm-dd")=TEXT(($B$4+23),"yyyy-mm-dd")))=0,"-",IF(SUMPRODUCT(('Daily Checklist'!$D$2:$D$2000=$A41)*(TEXT('Daily Checklist'!$B$2:$B$2000,"yyyy-mm-dd")=TEXT(($B$4+23),"yyyy-mm-dd"))*('Daily Checklist'!$L$2:$L$2000="Y"))&gt;0,SUMPRODUCT(('Daily Checklist'!$D$2:$D$2000=$A41)*(TEXT('Daily Checklist'!$B$2:$B$2000,"yyyy-mm-dd")=TEXT(($B$4+23),"yyyy-mm-dd"))*('Daily Checklist'!$F$2:$F$2000="Done"))&amp;"/"&amp;SUMPRODUCT(('Daily Checklist'!$D$2:$D$2000=$A41)*(TEXT('Daily Checklist'!$B$2:$B$2000,"yyyy-mm-dd")=TEXT(($B$4+23),"yyyy-mm-dd")))&amp;" ESC",SUMPRODUCT(('Daily Checklist'!$D$2:$D$2000=$A41)*(TEXT('Daily Checklist'!$B$2:$B$2000,"yyyy-mm-dd")=TEXT(($B$4+23),"yyyy-mm-dd"))*('Daily Checklist'!$F$2:$F$2000="Done"))&amp;"/"&amp;SUMPRODUCT(('Daily Checklist'!$D$2:$D$2000=$A41)*(TEXT('Daily Checklist'!$B$2:$B$2000,"yyyy-mm-dd")=TEXT(($B$4+23),"yyyy-mm-dd"))))))</f>
        <v/>
      </c>
      <c r="Z41" s="25" t="str">
        <f aca="false">IF($A41="","",IF(SUMPRODUCT(('Daily Checklist'!$D$2:$D$2000=$A41)*(TEXT('Daily Checklist'!$B$2:$B$2000,"yyyy-mm-dd")=TEXT(($B$4+24),"yyyy-mm-dd")))=0,"-",IF(SUMPRODUCT(('Daily Checklist'!$D$2:$D$2000=$A41)*(TEXT('Daily Checklist'!$B$2:$B$2000,"yyyy-mm-dd")=TEXT(($B$4+24),"yyyy-mm-dd"))*('Daily Checklist'!$L$2:$L$2000="Y"))&gt;0,SUMPRODUCT(('Daily Checklist'!$D$2:$D$2000=$A41)*(TEXT('Daily Checklist'!$B$2:$B$2000,"yyyy-mm-dd")=TEXT(($B$4+24),"yyyy-mm-dd"))*('Daily Checklist'!$F$2:$F$2000="Done"))&amp;"/"&amp;SUMPRODUCT(('Daily Checklist'!$D$2:$D$2000=$A41)*(TEXT('Daily Checklist'!$B$2:$B$2000,"yyyy-mm-dd")=TEXT(($B$4+24),"yyyy-mm-dd")))&amp;" ESC",SUMPRODUCT(('Daily Checklist'!$D$2:$D$2000=$A41)*(TEXT('Daily Checklist'!$B$2:$B$2000,"yyyy-mm-dd")=TEXT(($B$4+24),"yyyy-mm-dd"))*('Daily Checklist'!$F$2:$F$2000="Done"))&amp;"/"&amp;SUMPRODUCT(('Daily Checklist'!$D$2:$D$2000=$A41)*(TEXT('Daily Checklist'!$B$2:$B$2000,"yyyy-mm-dd")=TEXT(($B$4+24),"yyyy-mm-dd"))))))</f>
        <v/>
      </c>
      <c r="AA41" s="25" t="str">
        <f aca="false">IF($A41="","",IF(SUMPRODUCT(('Daily Checklist'!$D$2:$D$2000=$A41)*(TEXT('Daily Checklist'!$B$2:$B$2000,"yyyy-mm-dd")=TEXT(($B$4+25),"yyyy-mm-dd")))=0,"-",IF(SUMPRODUCT(('Daily Checklist'!$D$2:$D$2000=$A41)*(TEXT('Daily Checklist'!$B$2:$B$2000,"yyyy-mm-dd")=TEXT(($B$4+25),"yyyy-mm-dd"))*('Daily Checklist'!$L$2:$L$2000="Y"))&gt;0,SUMPRODUCT(('Daily Checklist'!$D$2:$D$2000=$A41)*(TEXT('Daily Checklist'!$B$2:$B$2000,"yyyy-mm-dd")=TEXT(($B$4+25),"yyyy-mm-dd"))*('Daily Checklist'!$F$2:$F$2000="Done"))&amp;"/"&amp;SUMPRODUCT(('Daily Checklist'!$D$2:$D$2000=$A41)*(TEXT('Daily Checklist'!$B$2:$B$2000,"yyyy-mm-dd")=TEXT(($B$4+25),"yyyy-mm-dd")))&amp;" ESC",SUMPRODUCT(('Daily Checklist'!$D$2:$D$2000=$A41)*(TEXT('Daily Checklist'!$B$2:$B$2000,"yyyy-mm-dd")=TEXT(($B$4+25),"yyyy-mm-dd"))*('Daily Checklist'!$F$2:$F$2000="Done"))&amp;"/"&amp;SUMPRODUCT(('Daily Checklist'!$D$2:$D$2000=$A41)*(TEXT('Daily Checklist'!$B$2:$B$2000,"yyyy-mm-dd")=TEXT(($B$4+25),"yyyy-mm-dd"))))))</f>
        <v/>
      </c>
      <c r="AB41" s="25" t="str">
        <f aca="false">IF($A41="","",IF(SUMPRODUCT(('Daily Checklist'!$D$2:$D$2000=$A41)*(TEXT('Daily Checklist'!$B$2:$B$2000,"yyyy-mm-dd")=TEXT(($B$4+26),"yyyy-mm-dd")))=0,"-",IF(SUMPRODUCT(('Daily Checklist'!$D$2:$D$2000=$A41)*(TEXT('Daily Checklist'!$B$2:$B$2000,"yyyy-mm-dd")=TEXT(($B$4+26),"yyyy-mm-dd"))*('Daily Checklist'!$L$2:$L$2000="Y"))&gt;0,SUMPRODUCT(('Daily Checklist'!$D$2:$D$2000=$A41)*(TEXT('Daily Checklist'!$B$2:$B$2000,"yyyy-mm-dd")=TEXT(($B$4+26),"yyyy-mm-dd"))*('Daily Checklist'!$F$2:$F$2000="Done"))&amp;"/"&amp;SUMPRODUCT(('Daily Checklist'!$D$2:$D$2000=$A41)*(TEXT('Daily Checklist'!$B$2:$B$2000,"yyyy-mm-dd")=TEXT(($B$4+26),"yyyy-mm-dd")))&amp;" ESC",SUMPRODUCT(('Daily Checklist'!$D$2:$D$2000=$A41)*(TEXT('Daily Checklist'!$B$2:$B$2000,"yyyy-mm-dd")=TEXT(($B$4+26),"yyyy-mm-dd"))*('Daily Checklist'!$F$2:$F$2000="Done"))&amp;"/"&amp;SUMPRODUCT(('Daily Checklist'!$D$2:$D$2000=$A41)*(TEXT('Daily Checklist'!$B$2:$B$2000,"yyyy-mm-dd")=TEXT(($B$4+26),"yyyy-mm-dd"))))))</f>
        <v/>
      </c>
      <c r="AC41" s="25" t="str">
        <f aca="false">IF($A41="","",IF(SUMPRODUCT(('Daily Checklist'!$D$2:$D$2000=$A41)*(TEXT('Daily Checklist'!$B$2:$B$2000,"yyyy-mm-dd")=TEXT(($B$4+27),"yyyy-mm-dd")))=0,"-",IF(SUMPRODUCT(('Daily Checklist'!$D$2:$D$2000=$A41)*(TEXT('Daily Checklist'!$B$2:$B$2000,"yyyy-mm-dd")=TEXT(($B$4+27),"yyyy-mm-dd"))*('Daily Checklist'!$L$2:$L$2000="Y"))&gt;0,SUMPRODUCT(('Daily Checklist'!$D$2:$D$2000=$A41)*(TEXT('Daily Checklist'!$B$2:$B$2000,"yyyy-mm-dd")=TEXT(($B$4+27),"yyyy-mm-dd"))*('Daily Checklist'!$F$2:$F$2000="Done"))&amp;"/"&amp;SUMPRODUCT(('Daily Checklist'!$D$2:$D$2000=$A41)*(TEXT('Daily Checklist'!$B$2:$B$2000,"yyyy-mm-dd")=TEXT(($B$4+27),"yyyy-mm-dd")))&amp;" ESC",SUMPRODUCT(('Daily Checklist'!$D$2:$D$2000=$A41)*(TEXT('Daily Checklist'!$B$2:$B$2000,"yyyy-mm-dd")=TEXT(($B$4+27),"yyyy-mm-dd"))*('Daily Checklist'!$F$2:$F$2000="Done"))&amp;"/"&amp;SUMPRODUCT(('Daily Checklist'!$D$2:$D$2000=$A41)*(TEXT('Daily Checklist'!$B$2:$B$2000,"yyyy-mm-dd")=TEXT(($B$4+27),"yyyy-mm-dd"))))))</f>
        <v/>
      </c>
      <c r="AD41" s="25" t="str">
        <f aca="false">IF($A41="","",IF(SUMPRODUCT(('Daily Checklist'!$D$2:$D$2000=$A41)*(TEXT('Daily Checklist'!$B$2:$B$2000,"yyyy-mm-dd")=TEXT(($B$4+28),"yyyy-mm-dd")))=0,"-",IF(SUMPRODUCT(('Daily Checklist'!$D$2:$D$2000=$A41)*(TEXT('Daily Checklist'!$B$2:$B$2000,"yyyy-mm-dd")=TEXT(($B$4+28),"yyyy-mm-dd"))*('Daily Checklist'!$L$2:$L$2000="Y"))&gt;0,SUMPRODUCT(('Daily Checklist'!$D$2:$D$2000=$A41)*(TEXT('Daily Checklist'!$B$2:$B$2000,"yyyy-mm-dd")=TEXT(($B$4+28),"yyyy-mm-dd"))*('Daily Checklist'!$F$2:$F$2000="Done"))&amp;"/"&amp;SUMPRODUCT(('Daily Checklist'!$D$2:$D$2000=$A41)*(TEXT('Daily Checklist'!$B$2:$B$2000,"yyyy-mm-dd")=TEXT(($B$4+28),"yyyy-mm-dd")))&amp;" ESC",SUMPRODUCT(('Daily Checklist'!$D$2:$D$2000=$A41)*(TEXT('Daily Checklist'!$B$2:$B$2000,"yyyy-mm-dd")=TEXT(($B$4+28),"yyyy-mm-dd"))*('Daily Checklist'!$F$2:$F$2000="Done"))&amp;"/"&amp;SUMPRODUCT(('Daily Checklist'!$D$2:$D$2000=$A41)*(TEXT('Daily Checklist'!$B$2:$B$2000,"yyyy-mm-dd")=TEXT(($B$4+28),"yyyy-mm-dd"))))))</f>
        <v/>
      </c>
      <c r="AE41" s="25" t="str">
        <f aca="false">IF($A41="","",IF(SUMPRODUCT(('Daily Checklist'!$D$2:$D$2000=$A41)*(TEXT('Daily Checklist'!$B$2:$B$2000,"yyyy-mm-dd")=TEXT(($B$4+29),"yyyy-mm-dd")))=0,"-",IF(SUMPRODUCT(('Daily Checklist'!$D$2:$D$2000=$A41)*(TEXT('Daily Checklist'!$B$2:$B$2000,"yyyy-mm-dd")=TEXT(($B$4+29),"yyyy-mm-dd"))*('Daily Checklist'!$L$2:$L$2000="Y"))&gt;0,SUMPRODUCT(('Daily Checklist'!$D$2:$D$2000=$A41)*(TEXT('Daily Checklist'!$B$2:$B$2000,"yyyy-mm-dd")=TEXT(($B$4+29),"yyyy-mm-dd"))*('Daily Checklist'!$F$2:$F$2000="Done"))&amp;"/"&amp;SUMPRODUCT(('Daily Checklist'!$D$2:$D$2000=$A41)*(TEXT('Daily Checklist'!$B$2:$B$2000,"yyyy-mm-dd")=TEXT(($B$4+29),"yyyy-mm-dd")))&amp;" ESC",SUMPRODUCT(('Daily Checklist'!$D$2:$D$2000=$A41)*(TEXT('Daily Checklist'!$B$2:$B$2000,"yyyy-mm-dd")=TEXT(($B$4+29),"yyyy-mm-dd"))*('Daily Checklist'!$F$2:$F$2000="Done"))&amp;"/"&amp;SUMPRODUCT(('Daily Checklist'!$D$2:$D$2000=$A41)*(TEXT('Daily Checklist'!$B$2:$B$2000,"yyyy-mm-dd")=TEXT(($B$4+29),"yyyy-mm-dd"))))))</f>
        <v/>
      </c>
      <c r="AF41" s="25" t="str">
        <f aca="false">IF($A41="","",IF(SUMPRODUCT(('Daily Checklist'!$D$2:$D$2000=$A41)*(TEXT('Daily Checklist'!$B$2:$B$2000,"yyyy-mm-dd")=TEXT(($B$4+30),"yyyy-mm-dd")))=0,"-",IF(SUMPRODUCT(('Daily Checklist'!$D$2:$D$2000=$A41)*(TEXT('Daily Checklist'!$B$2:$B$2000,"yyyy-mm-dd")=TEXT(($B$4+30),"yyyy-mm-dd"))*('Daily Checklist'!$L$2:$L$2000="Y"))&gt;0,SUMPRODUCT(('Daily Checklist'!$D$2:$D$2000=$A41)*(TEXT('Daily Checklist'!$B$2:$B$2000,"yyyy-mm-dd")=TEXT(($B$4+30),"yyyy-mm-dd"))*('Daily Checklist'!$F$2:$F$2000="Done"))&amp;"/"&amp;SUMPRODUCT(('Daily Checklist'!$D$2:$D$2000=$A41)*(TEXT('Daily Checklist'!$B$2:$B$2000,"yyyy-mm-dd")=TEXT(($B$4+30),"yyyy-mm-dd")))&amp;" ESC",SUMPRODUCT(('Daily Checklist'!$D$2:$D$2000=$A41)*(TEXT('Daily Checklist'!$B$2:$B$2000,"yyyy-mm-dd")=TEXT(($B$4+30),"yyyy-mm-dd"))*('Daily Checklist'!$F$2:$F$2000="Done"))&amp;"/"&amp;SUMPRODUCT(('Daily Checklist'!$D$2:$D$2000=$A41)*(TEXT('Daily Checklist'!$B$2:$B$2000,"yyyy-mm-dd")=TEXT(($B$4+30),"yyyy-mm-dd"))))))</f>
        <v/>
      </c>
    </row>
    <row r="42" customFormat="false" ht="15" hidden="false" customHeight="true" outlineLevel="0" collapsed="false">
      <c r="A42" s="24" t="str">
        <f aca="false">IFERROR(IF(Employees!A37="","",Employees!A37),"")</f>
        <v/>
      </c>
      <c r="B42" s="25" t="str">
        <f aca="false">IF($A42="","",IF(SUMPRODUCT(('Daily Checklist'!$D$2:$D$2000=$A42)*(TEXT('Daily Checklist'!$B$2:$B$2000,"yyyy-mm-dd")=TEXT(($B$4+0),"yyyy-mm-dd")))=0,"-",IF(SUMPRODUCT(('Daily Checklist'!$D$2:$D$2000=$A42)*(TEXT('Daily Checklist'!$B$2:$B$2000,"yyyy-mm-dd")=TEXT(($B$4+0),"yyyy-mm-dd"))*('Daily Checklist'!$L$2:$L$2000="Y"))&gt;0,SUMPRODUCT(('Daily Checklist'!$D$2:$D$2000=$A42)*(TEXT('Daily Checklist'!$B$2:$B$2000,"yyyy-mm-dd")=TEXT(($B$4+0),"yyyy-mm-dd"))*('Daily Checklist'!$F$2:$F$2000="Done"))&amp;"/"&amp;SUMPRODUCT(('Daily Checklist'!$D$2:$D$2000=$A42)*(TEXT('Daily Checklist'!$B$2:$B$2000,"yyyy-mm-dd")=TEXT(($B$4+0),"yyyy-mm-dd")))&amp;" ESC",SUMPRODUCT(('Daily Checklist'!$D$2:$D$2000=$A42)*(TEXT('Daily Checklist'!$B$2:$B$2000,"yyyy-mm-dd")=TEXT(($B$4+0),"yyyy-mm-dd"))*('Daily Checklist'!$F$2:$F$2000="Done"))&amp;"/"&amp;SUMPRODUCT(('Daily Checklist'!$D$2:$D$2000=$A42)*(TEXT('Daily Checklist'!$B$2:$B$2000,"yyyy-mm-dd")=TEXT(($B$4+0),"yyyy-mm-dd"))))))</f>
        <v/>
      </c>
      <c r="C42" s="25" t="str">
        <f aca="false">IF($A42="","",IF(SUMPRODUCT(('Daily Checklist'!$D$2:$D$2000=$A42)*(TEXT('Daily Checklist'!$B$2:$B$2000,"yyyy-mm-dd")=TEXT(($B$4+1),"yyyy-mm-dd")))=0,"-",IF(SUMPRODUCT(('Daily Checklist'!$D$2:$D$2000=$A42)*(TEXT('Daily Checklist'!$B$2:$B$2000,"yyyy-mm-dd")=TEXT(($B$4+1),"yyyy-mm-dd"))*('Daily Checklist'!$L$2:$L$2000="Y"))&gt;0,SUMPRODUCT(('Daily Checklist'!$D$2:$D$2000=$A42)*(TEXT('Daily Checklist'!$B$2:$B$2000,"yyyy-mm-dd")=TEXT(($B$4+1),"yyyy-mm-dd"))*('Daily Checklist'!$F$2:$F$2000="Done"))&amp;"/"&amp;SUMPRODUCT(('Daily Checklist'!$D$2:$D$2000=$A42)*(TEXT('Daily Checklist'!$B$2:$B$2000,"yyyy-mm-dd")=TEXT(($B$4+1),"yyyy-mm-dd")))&amp;" ESC",SUMPRODUCT(('Daily Checklist'!$D$2:$D$2000=$A42)*(TEXT('Daily Checklist'!$B$2:$B$2000,"yyyy-mm-dd")=TEXT(($B$4+1),"yyyy-mm-dd"))*('Daily Checklist'!$F$2:$F$2000="Done"))&amp;"/"&amp;SUMPRODUCT(('Daily Checklist'!$D$2:$D$2000=$A42)*(TEXT('Daily Checklist'!$B$2:$B$2000,"yyyy-mm-dd")=TEXT(($B$4+1),"yyyy-mm-dd"))))))</f>
        <v/>
      </c>
      <c r="D42" s="25" t="str">
        <f aca="false">IF($A42="","",IF(SUMPRODUCT(('Daily Checklist'!$D$2:$D$2000=$A42)*(TEXT('Daily Checklist'!$B$2:$B$2000,"yyyy-mm-dd")=TEXT(($B$4+2),"yyyy-mm-dd")))=0,"-",IF(SUMPRODUCT(('Daily Checklist'!$D$2:$D$2000=$A42)*(TEXT('Daily Checklist'!$B$2:$B$2000,"yyyy-mm-dd")=TEXT(($B$4+2),"yyyy-mm-dd"))*('Daily Checklist'!$L$2:$L$2000="Y"))&gt;0,SUMPRODUCT(('Daily Checklist'!$D$2:$D$2000=$A42)*(TEXT('Daily Checklist'!$B$2:$B$2000,"yyyy-mm-dd")=TEXT(($B$4+2),"yyyy-mm-dd"))*('Daily Checklist'!$F$2:$F$2000="Done"))&amp;"/"&amp;SUMPRODUCT(('Daily Checklist'!$D$2:$D$2000=$A42)*(TEXT('Daily Checklist'!$B$2:$B$2000,"yyyy-mm-dd")=TEXT(($B$4+2),"yyyy-mm-dd")))&amp;" ESC",SUMPRODUCT(('Daily Checklist'!$D$2:$D$2000=$A42)*(TEXT('Daily Checklist'!$B$2:$B$2000,"yyyy-mm-dd")=TEXT(($B$4+2),"yyyy-mm-dd"))*('Daily Checklist'!$F$2:$F$2000="Done"))&amp;"/"&amp;SUMPRODUCT(('Daily Checklist'!$D$2:$D$2000=$A42)*(TEXT('Daily Checklist'!$B$2:$B$2000,"yyyy-mm-dd")=TEXT(($B$4+2),"yyyy-mm-dd"))))))</f>
        <v/>
      </c>
      <c r="E42" s="25" t="str">
        <f aca="false">IF($A42="","",IF(SUMPRODUCT(('Daily Checklist'!$D$2:$D$2000=$A42)*(TEXT('Daily Checklist'!$B$2:$B$2000,"yyyy-mm-dd")=TEXT(($B$4+3),"yyyy-mm-dd")))=0,"-",IF(SUMPRODUCT(('Daily Checklist'!$D$2:$D$2000=$A42)*(TEXT('Daily Checklist'!$B$2:$B$2000,"yyyy-mm-dd")=TEXT(($B$4+3),"yyyy-mm-dd"))*('Daily Checklist'!$L$2:$L$2000="Y"))&gt;0,SUMPRODUCT(('Daily Checklist'!$D$2:$D$2000=$A42)*(TEXT('Daily Checklist'!$B$2:$B$2000,"yyyy-mm-dd")=TEXT(($B$4+3),"yyyy-mm-dd"))*('Daily Checklist'!$F$2:$F$2000="Done"))&amp;"/"&amp;SUMPRODUCT(('Daily Checklist'!$D$2:$D$2000=$A42)*(TEXT('Daily Checklist'!$B$2:$B$2000,"yyyy-mm-dd")=TEXT(($B$4+3),"yyyy-mm-dd")))&amp;" ESC",SUMPRODUCT(('Daily Checklist'!$D$2:$D$2000=$A42)*(TEXT('Daily Checklist'!$B$2:$B$2000,"yyyy-mm-dd")=TEXT(($B$4+3),"yyyy-mm-dd"))*('Daily Checklist'!$F$2:$F$2000="Done"))&amp;"/"&amp;SUMPRODUCT(('Daily Checklist'!$D$2:$D$2000=$A42)*(TEXT('Daily Checklist'!$B$2:$B$2000,"yyyy-mm-dd")=TEXT(($B$4+3),"yyyy-mm-dd"))))))</f>
        <v/>
      </c>
      <c r="F42" s="25" t="str">
        <f aca="false">IF($A42="","",IF(SUMPRODUCT(('Daily Checklist'!$D$2:$D$2000=$A42)*(TEXT('Daily Checklist'!$B$2:$B$2000,"yyyy-mm-dd")=TEXT(($B$4+4),"yyyy-mm-dd")))=0,"-",IF(SUMPRODUCT(('Daily Checklist'!$D$2:$D$2000=$A42)*(TEXT('Daily Checklist'!$B$2:$B$2000,"yyyy-mm-dd")=TEXT(($B$4+4),"yyyy-mm-dd"))*('Daily Checklist'!$L$2:$L$2000="Y"))&gt;0,SUMPRODUCT(('Daily Checklist'!$D$2:$D$2000=$A42)*(TEXT('Daily Checklist'!$B$2:$B$2000,"yyyy-mm-dd")=TEXT(($B$4+4),"yyyy-mm-dd"))*('Daily Checklist'!$F$2:$F$2000="Done"))&amp;"/"&amp;SUMPRODUCT(('Daily Checklist'!$D$2:$D$2000=$A42)*(TEXT('Daily Checklist'!$B$2:$B$2000,"yyyy-mm-dd")=TEXT(($B$4+4),"yyyy-mm-dd")))&amp;" ESC",SUMPRODUCT(('Daily Checklist'!$D$2:$D$2000=$A42)*(TEXT('Daily Checklist'!$B$2:$B$2000,"yyyy-mm-dd")=TEXT(($B$4+4),"yyyy-mm-dd"))*('Daily Checklist'!$F$2:$F$2000="Done"))&amp;"/"&amp;SUMPRODUCT(('Daily Checklist'!$D$2:$D$2000=$A42)*(TEXT('Daily Checklist'!$B$2:$B$2000,"yyyy-mm-dd")=TEXT(($B$4+4),"yyyy-mm-dd"))))))</f>
        <v/>
      </c>
      <c r="G42" s="25" t="str">
        <f aca="false">IF($A42="","",IF(SUMPRODUCT(('Daily Checklist'!$D$2:$D$2000=$A42)*(TEXT('Daily Checklist'!$B$2:$B$2000,"yyyy-mm-dd")=TEXT(($B$4+5),"yyyy-mm-dd")))=0,"-",IF(SUMPRODUCT(('Daily Checklist'!$D$2:$D$2000=$A42)*(TEXT('Daily Checklist'!$B$2:$B$2000,"yyyy-mm-dd")=TEXT(($B$4+5),"yyyy-mm-dd"))*('Daily Checklist'!$L$2:$L$2000="Y"))&gt;0,SUMPRODUCT(('Daily Checklist'!$D$2:$D$2000=$A42)*(TEXT('Daily Checklist'!$B$2:$B$2000,"yyyy-mm-dd")=TEXT(($B$4+5),"yyyy-mm-dd"))*('Daily Checklist'!$F$2:$F$2000="Done"))&amp;"/"&amp;SUMPRODUCT(('Daily Checklist'!$D$2:$D$2000=$A42)*(TEXT('Daily Checklist'!$B$2:$B$2000,"yyyy-mm-dd")=TEXT(($B$4+5),"yyyy-mm-dd")))&amp;" ESC",SUMPRODUCT(('Daily Checklist'!$D$2:$D$2000=$A42)*(TEXT('Daily Checklist'!$B$2:$B$2000,"yyyy-mm-dd")=TEXT(($B$4+5),"yyyy-mm-dd"))*('Daily Checklist'!$F$2:$F$2000="Done"))&amp;"/"&amp;SUMPRODUCT(('Daily Checklist'!$D$2:$D$2000=$A42)*(TEXT('Daily Checklist'!$B$2:$B$2000,"yyyy-mm-dd")=TEXT(($B$4+5),"yyyy-mm-dd"))))))</f>
        <v/>
      </c>
      <c r="H42" s="25" t="str">
        <f aca="false">IF($A42="","",IF(SUMPRODUCT(('Daily Checklist'!$D$2:$D$2000=$A42)*(TEXT('Daily Checklist'!$B$2:$B$2000,"yyyy-mm-dd")=TEXT(($B$4+6),"yyyy-mm-dd")))=0,"-",IF(SUMPRODUCT(('Daily Checklist'!$D$2:$D$2000=$A42)*(TEXT('Daily Checklist'!$B$2:$B$2000,"yyyy-mm-dd")=TEXT(($B$4+6),"yyyy-mm-dd"))*('Daily Checklist'!$L$2:$L$2000="Y"))&gt;0,SUMPRODUCT(('Daily Checklist'!$D$2:$D$2000=$A42)*(TEXT('Daily Checklist'!$B$2:$B$2000,"yyyy-mm-dd")=TEXT(($B$4+6),"yyyy-mm-dd"))*('Daily Checklist'!$F$2:$F$2000="Done"))&amp;"/"&amp;SUMPRODUCT(('Daily Checklist'!$D$2:$D$2000=$A42)*(TEXT('Daily Checklist'!$B$2:$B$2000,"yyyy-mm-dd")=TEXT(($B$4+6),"yyyy-mm-dd")))&amp;" ESC",SUMPRODUCT(('Daily Checklist'!$D$2:$D$2000=$A42)*(TEXT('Daily Checklist'!$B$2:$B$2000,"yyyy-mm-dd")=TEXT(($B$4+6),"yyyy-mm-dd"))*('Daily Checklist'!$F$2:$F$2000="Done"))&amp;"/"&amp;SUMPRODUCT(('Daily Checklist'!$D$2:$D$2000=$A42)*(TEXT('Daily Checklist'!$B$2:$B$2000,"yyyy-mm-dd")=TEXT(($B$4+6),"yyyy-mm-dd"))))))</f>
        <v/>
      </c>
      <c r="I42" s="25" t="str">
        <f aca="false">IF($A42="","",IF(SUMPRODUCT(('Daily Checklist'!$D$2:$D$2000=$A42)*(TEXT('Daily Checklist'!$B$2:$B$2000,"yyyy-mm-dd")=TEXT(($B$4+7),"yyyy-mm-dd")))=0,"-",IF(SUMPRODUCT(('Daily Checklist'!$D$2:$D$2000=$A42)*(TEXT('Daily Checklist'!$B$2:$B$2000,"yyyy-mm-dd")=TEXT(($B$4+7),"yyyy-mm-dd"))*('Daily Checklist'!$L$2:$L$2000="Y"))&gt;0,SUMPRODUCT(('Daily Checklist'!$D$2:$D$2000=$A42)*(TEXT('Daily Checklist'!$B$2:$B$2000,"yyyy-mm-dd")=TEXT(($B$4+7),"yyyy-mm-dd"))*('Daily Checklist'!$F$2:$F$2000="Done"))&amp;"/"&amp;SUMPRODUCT(('Daily Checklist'!$D$2:$D$2000=$A42)*(TEXT('Daily Checklist'!$B$2:$B$2000,"yyyy-mm-dd")=TEXT(($B$4+7),"yyyy-mm-dd")))&amp;" ESC",SUMPRODUCT(('Daily Checklist'!$D$2:$D$2000=$A42)*(TEXT('Daily Checklist'!$B$2:$B$2000,"yyyy-mm-dd")=TEXT(($B$4+7),"yyyy-mm-dd"))*('Daily Checklist'!$F$2:$F$2000="Done"))&amp;"/"&amp;SUMPRODUCT(('Daily Checklist'!$D$2:$D$2000=$A42)*(TEXT('Daily Checklist'!$B$2:$B$2000,"yyyy-mm-dd")=TEXT(($B$4+7),"yyyy-mm-dd"))))))</f>
        <v/>
      </c>
      <c r="J42" s="25" t="str">
        <f aca="false">IF($A42="","",IF(SUMPRODUCT(('Daily Checklist'!$D$2:$D$2000=$A42)*(TEXT('Daily Checklist'!$B$2:$B$2000,"yyyy-mm-dd")=TEXT(($B$4+8),"yyyy-mm-dd")))=0,"-",IF(SUMPRODUCT(('Daily Checklist'!$D$2:$D$2000=$A42)*(TEXT('Daily Checklist'!$B$2:$B$2000,"yyyy-mm-dd")=TEXT(($B$4+8),"yyyy-mm-dd"))*('Daily Checklist'!$L$2:$L$2000="Y"))&gt;0,SUMPRODUCT(('Daily Checklist'!$D$2:$D$2000=$A42)*(TEXT('Daily Checklist'!$B$2:$B$2000,"yyyy-mm-dd")=TEXT(($B$4+8),"yyyy-mm-dd"))*('Daily Checklist'!$F$2:$F$2000="Done"))&amp;"/"&amp;SUMPRODUCT(('Daily Checklist'!$D$2:$D$2000=$A42)*(TEXT('Daily Checklist'!$B$2:$B$2000,"yyyy-mm-dd")=TEXT(($B$4+8),"yyyy-mm-dd")))&amp;" ESC",SUMPRODUCT(('Daily Checklist'!$D$2:$D$2000=$A42)*(TEXT('Daily Checklist'!$B$2:$B$2000,"yyyy-mm-dd")=TEXT(($B$4+8),"yyyy-mm-dd"))*('Daily Checklist'!$F$2:$F$2000="Done"))&amp;"/"&amp;SUMPRODUCT(('Daily Checklist'!$D$2:$D$2000=$A42)*(TEXT('Daily Checklist'!$B$2:$B$2000,"yyyy-mm-dd")=TEXT(($B$4+8),"yyyy-mm-dd"))))))</f>
        <v/>
      </c>
      <c r="K42" s="25" t="str">
        <f aca="false">IF($A42="","",IF(SUMPRODUCT(('Daily Checklist'!$D$2:$D$2000=$A42)*(TEXT('Daily Checklist'!$B$2:$B$2000,"yyyy-mm-dd")=TEXT(($B$4+9),"yyyy-mm-dd")))=0,"-",IF(SUMPRODUCT(('Daily Checklist'!$D$2:$D$2000=$A42)*(TEXT('Daily Checklist'!$B$2:$B$2000,"yyyy-mm-dd")=TEXT(($B$4+9),"yyyy-mm-dd"))*('Daily Checklist'!$L$2:$L$2000="Y"))&gt;0,SUMPRODUCT(('Daily Checklist'!$D$2:$D$2000=$A42)*(TEXT('Daily Checklist'!$B$2:$B$2000,"yyyy-mm-dd")=TEXT(($B$4+9),"yyyy-mm-dd"))*('Daily Checklist'!$F$2:$F$2000="Done"))&amp;"/"&amp;SUMPRODUCT(('Daily Checklist'!$D$2:$D$2000=$A42)*(TEXT('Daily Checklist'!$B$2:$B$2000,"yyyy-mm-dd")=TEXT(($B$4+9),"yyyy-mm-dd")))&amp;" ESC",SUMPRODUCT(('Daily Checklist'!$D$2:$D$2000=$A42)*(TEXT('Daily Checklist'!$B$2:$B$2000,"yyyy-mm-dd")=TEXT(($B$4+9),"yyyy-mm-dd"))*('Daily Checklist'!$F$2:$F$2000="Done"))&amp;"/"&amp;SUMPRODUCT(('Daily Checklist'!$D$2:$D$2000=$A42)*(TEXT('Daily Checklist'!$B$2:$B$2000,"yyyy-mm-dd")=TEXT(($B$4+9),"yyyy-mm-dd"))))))</f>
        <v/>
      </c>
      <c r="L42" s="25" t="str">
        <f aca="false">IF($A42="","",IF(SUMPRODUCT(('Daily Checklist'!$D$2:$D$2000=$A42)*(TEXT('Daily Checklist'!$B$2:$B$2000,"yyyy-mm-dd")=TEXT(($B$4+10),"yyyy-mm-dd")))=0,"-",IF(SUMPRODUCT(('Daily Checklist'!$D$2:$D$2000=$A42)*(TEXT('Daily Checklist'!$B$2:$B$2000,"yyyy-mm-dd")=TEXT(($B$4+10),"yyyy-mm-dd"))*('Daily Checklist'!$L$2:$L$2000="Y"))&gt;0,SUMPRODUCT(('Daily Checklist'!$D$2:$D$2000=$A42)*(TEXT('Daily Checklist'!$B$2:$B$2000,"yyyy-mm-dd")=TEXT(($B$4+10),"yyyy-mm-dd"))*('Daily Checklist'!$F$2:$F$2000="Done"))&amp;"/"&amp;SUMPRODUCT(('Daily Checklist'!$D$2:$D$2000=$A42)*(TEXT('Daily Checklist'!$B$2:$B$2000,"yyyy-mm-dd")=TEXT(($B$4+10),"yyyy-mm-dd")))&amp;" ESC",SUMPRODUCT(('Daily Checklist'!$D$2:$D$2000=$A42)*(TEXT('Daily Checklist'!$B$2:$B$2000,"yyyy-mm-dd")=TEXT(($B$4+10),"yyyy-mm-dd"))*('Daily Checklist'!$F$2:$F$2000="Done"))&amp;"/"&amp;SUMPRODUCT(('Daily Checklist'!$D$2:$D$2000=$A42)*(TEXT('Daily Checklist'!$B$2:$B$2000,"yyyy-mm-dd")=TEXT(($B$4+10),"yyyy-mm-dd"))))))</f>
        <v/>
      </c>
      <c r="M42" s="25" t="str">
        <f aca="false">IF($A42="","",IF(SUMPRODUCT(('Daily Checklist'!$D$2:$D$2000=$A42)*(TEXT('Daily Checklist'!$B$2:$B$2000,"yyyy-mm-dd")=TEXT(($B$4+11),"yyyy-mm-dd")))=0,"-",IF(SUMPRODUCT(('Daily Checklist'!$D$2:$D$2000=$A42)*(TEXT('Daily Checklist'!$B$2:$B$2000,"yyyy-mm-dd")=TEXT(($B$4+11),"yyyy-mm-dd"))*('Daily Checklist'!$L$2:$L$2000="Y"))&gt;0,SUMPRODUCT(('Daily Checklist'!$D$2:$D$2000=$A42)*(TEXT('Daily Checklist'!$B$2:$B$2000,"yyyy-mm-dd")=TEXT(($B$4+11),"yyyy-mm-dd"))*('Daily Checklist'!$F$2:$F$2000="Done"))&amp;"/"&amp;SUMPRODUCT(('Daily Checklist'!$D$2:$D$2000=$A42)*(TEXT('Daily Checklist'!$B$2:$B$2000,"yyyy-mm-dd")=TEXT(($B$4+11),"yyyy-mm-dd")))&amp;" ESC",SUMPRODUCT(('Daily Checklist'!$D$2:$D$2000=$A42)*(TEXT('Daily Checklist'!$B$2:$B$2000,"yyyy-mm-dd")=TEXT(($B$4+11),"yyyy-mm-dd"))*('Daily Checklist'!$F$2:$F$2000="Done"))&amp;"/"&amp;SUMPRODUCT(('Daily Checklist'!$D$2:$D$2000=$A42)*(TEXT('Daily Checklist'!$B$2:$B$2000,"yyyy-mm-dd")=TEXT(($B$4+11),"yyyy-mm-dd"))))))</f>
        <v/>
      </c>
      <c r="N42" s="25" t="str">
        <f aca="false">IF($A42="","",IF(SUMPRODUCT(('Daily Checklist'!$D$2:$D$2000=$A42)*(TEXT('Daily Checklist'!$B$2:$B$2000,"yyyy-mm-dd")=TEXT(($B$4+12),"yyyy-mm-dd")))=0,"-",IF(SUMPRODUCT(('Daily Checklist'!$D$2:$D$2000=$A42)*(TEXT('Daily Checklist'!$B$2:$B$2000,"yyyy-mm-dd")=TEXT(($B$4+12),"yyyy-mm-dd"))*('Daily Checklist'!$L$2:$L$2000="Y"))&gt;0,SUMPRODUCT(('Daily Checklist'!$D$2:$D$2000=$A42)*(TEXT('Daily Checklist'!$B$2:$B$2000,"yyyy-mm-dd")=TEXT(($B$4+12),"yyyy-mm-dd"))*('Daily Checklist'!$F$2:$F$2000="Done"))&amp;"/"&amp;SUMPRODUCT(('Daily Checklist'!$D$2:$D$2000=$A42)*(TEXT('Daily Checklist'!$B$2:$B$2000,"yyyy-mm-dd")=TEXT(($B$4+12),"yyyy-mm-dd")))&amp;" ESC",SUMPRODUCT(('Daily Checklist'!$D$2:$D$2000=$A42)*(TEXT('Daily Checklist'!$B$2:$B$2000,"yyyy-mm-dd")=TEXT(($B$4+12),"yyyy-mm-dd"))*('Daily Checklist'!$F$2:$F$2000="Done"))&amp;"/"&amp;SUMPRODUCT(('Daily Checklist'!$D$2:$D$2000=$A42)*(TEXT('Daily Checklist'!$B$2:$B$2000,"yyyy-mm-dd")=TEXT(($B$4+12),"yyyy-mm-dd"))))))</f>
        <v/>
      </c>
      <c r="O42" s="25" t="str">
        <f aca="false">IF($A42="","",IF(SUMPRODUCT(('Daily Checklist'!$D$2:$D$2000=$A42)*(TEXT('Daily Checklist'!$B$2:$B$2000,"yyyy-mm-dd")=TEXT(($B$4+13),"yyyy-mm-dd")))=0,"-",IF(SUMPRODUCT(('Daily Checklist'!$D$2:$D$2000=$A42)*(TEXT('Daily Checklist'!$B$2:$B$2000,"yyyy-mm-dd")=TEXT(($B$4+13),"yyyy-mm-dd"))*('Daily Checklist'!$L$2:$L$2000="Y"))&gt;0,SUMPRODUCT(('Daily Checklist'!$D$2:$D$2000=$A42)*(TEXT('Daily Checklist'!$B$2:$B$2000,"yyyy-mm-dd")=TEXT(($B$4+13),"yyyy-mm-dd"))*('Daily Checklist'!$F$2:$F$2000="Done"))&amp;"/"&amp;SUMPRODUCT(('Daily Checklist'!$D$2:$D$2000=$A42)*(TEXT('Daily Checklist'!$B$2:$B$2000,"yyyy-mm-dd")=TEXT(($B$4+13),"yyyy-mm-dd")))&amp;" ESC",SUMPRODUCT(('Daily Checklist'!$D$2:$D$2000=$A42)*(TEXT('Daily Checklist'!$B$2:$B$2000,"yyyy-mm-dd")=TEXT(($B$4+13),"yyyy-mm-dd"))*('Daily Checklist'!$F$2:$F$2000="Done"))&amp;"/"&amp;SUMPRODUCT(('Daily Checklist'!$D$2:$D$2000=$A42)*(TEXT('Daily Checklist'!$B$2:$B$2000,"yyyy-mm-dd")=TEXT(($B$4+13),"yyyy-mm-dd"))))))</f>
        <v/>
      </c>
      <c r="P42" s="25" t="str">
        <f aca="false">IF($A42="","",IF(SUMPRODUCT(('Daily Checklist'!$D$2:$D$2000=$A42)*(TEXT('Daily Checklist'!$B$2:$B$2000,"yyyy-mm-dd")=TEXT(($B$4+14),"yyyy-mm-dd")))=0,"-",IF(SUMPRODUCT(('Daily Checklist'!$D$2:$D$2000=$A42)*(TEXT('Daily Checklist'!$B$2:$B$2000,"yyyy-mm-dd")=TEXT(($B$4+14),"yyyy-mm-dd"))*('Daily Checklist'!$L$2:$L$2000="Y"))&gt;0,SUMPRODUCT(('Daily Checklist'!$D$2:$D$2000=$A42)*(TEXT('Daily Checklist'!$B$2:$B$2000,"yyyy-mm-dd")=TEXT(($B$4+14),"yyyy-mm-dd"))*('Daily Checklist'!$F$2:$F$2000="Done"))&amp;"/"&amp;SUMPRODUCT(('Daily Checklist'!$D$2:$D$2000=$A42)*(TEXT('Daily Checklist'!$B$2:$B$2000,"yyyy-mm-dd")=TEXT(($B$4+14),"yyyy-mm-dd")))&amp;" ESC",SUMPRODUCT(('Daily Checklist'!$D$2:$D$2000=$A42)*(TEXT('Daily Checklist'!$B$2:$B$2000,"yyyy-mm-dd")=TEXT(($B$4+14),"yyyy-mm-dd"))*('Daily Checklist'!$F$2:$F$2000="Done"))&amp;"/"&amp;SUMPRODUCT(('Daily Checklist'!$D$2:$D$2000=$A42)*(TEXT('Daily Checklist'!$B$2:$B$2000,"yyyy-mm-dd")=TEXT(($B$4+14),"yyyy-mm-dd"))))))</f>
        <v/>
      </c>
      <c r="Q42" s="25" t="str">
        <f aca="false">IF($A42="","",IF(SUMPRODUCT(('Daily Checklist'!$D$2:$D$2000=$A42)*(TEXT('Daily Checklist'!$B$2:$B$2000,"yyyy-mm-dd")=TEXT(($B$4+15),"yyyy-mm-dd")))=0,"-",IF(SUMPRODUCT(('Daily Checklist'!$D$2:$D$2000=$A42)*(TEXT('Daily Checklist'!$B$2:$B$2000,"yyyy-mm-dd")=TEXT(($B$4+15),"yyyy-mm-dd"))*('Daily Checklist'!$L$2:$L$2000="Y"))&gt;0,SUMPRODUCT(('Daily Checklist'!$D$2:$D$2000=$A42)*(TEXT('Daily Checklist'!$B$2:$B$2000,"yyyy-mm-dd")=TEXT(($B$4+15),"yyyy-mm-dd"))*('Daily Checklist'!$F$2:$F$2000="Done"))&amp;"/"&amp;SUMPRODUCT(('Daily Checklist'!$D$2:$D$2000=$A42)*(TEXT('Daily Checklist'!$B$2:$B$2000,"yyyy-mm-dd")=TEXT(($B$4+15),"yyyy-mm-dd")))&amp;" ESC",SUMPRODUCT(('Daily Checklist'!$D$2:$D$2000=$A42)*(TEXT('Daily Checklist'!$B$2:$B$2000,"yyyy-mm-dd")=TEXT(($B$4+15),"yyyy-mm-dd"))*('Daily Checklist'!$F$2:$F$2000="Done"))&amp;"/"&amp;SUMPRODUCT(('Daily Checklist'!$D$2:$D$2000=$A42)*(TEXT('Daily Checklist'!$B$2:$B$2000,"yyyy-mm-dd")=TEXT(($B$4+15),"yyyy-mm-dd"))))))</f>
        <v/>
      </c>
      <c r="R42" s="25" t="str">
        <f aca="false">IF($A42="","",IF(SUMPRODUCT(('Daily Checklist'!$D$2:$D$2000=$A42)*(TEXT('Daily Checklist'!$B$2:$B$2000,"yyyy-mm-dd")=TEXT(($B$4+16),"yyyy-mm-dd")))=0,"-",IF(SUMPRODUCT(('Daily Checklist'!$D$2:$D$2000=$A42)*(TEXT('Daily Checklist'!$B$2:$B$2000,"yyyy-mm-dd")=TEXT(($B$4+16),"yyyy-mm-dd"))*('Daily Checklist'!$L$2:$L$2000="Y"))&gt;0,SUMPRODUCT(('Daily Checklist'!$D$2:$D$2000=$A42)*(TEXT('Daily Checklist'!$B$2:$B$2000,"yyyy-mm-dd")=TEXT(($B$4+16),"yyyy-mm-dd"))*('Daily Checklist'!$F$2:$F$2000="Done"))&amp;"/"&amp;SUMPRODUCT(('Daily Checklist'!$D$2:$D$2000=$A42)*(TEXT('Daily Checklist'!$B$2:$B$2000,"yyyy-mm-dd")=TEXT(($B$4+16),"yyyy-mm-dd")))&amp;" ESC",SUMPRODUCT(('Daily Checklist'!$D$2:$D$2000=$A42)*(TEXT('Daily Checklist'!$B$2:$B$2000,"yyyy-mm-dd")=TEXT(($B$4+16),"yyyy-mm-dd"))*('Daily Checklist'!$F$2:$F$2000="Done"))&amp;"/"&amp;SUMPRODUCT(('Daily Checklist'!$D$2:$D$2000=$A42)*(TEXT('Daily Checklist'!$B$2:$B$2000,"yyyy-mm-dd")=TEXT(($B$4+16),"yyyy-mm-dd"))))))</f>
        <v/>
      </c>
      <c r="S42" s="25" t="str">
        <f aca="false">IF($A42="","",IF(SUMPRODUCT(('Daily Checklist'!$D$2:$D$2000=$A42)*(TEXT('Daily Checklist'!$B$2:$B$2000,"yyyy-mm-dd")=TEXT(($B$4+17),"yyyy-mm-dd")))=0,"-",IF(SUMPRODUCT(('Daily Checklist'!$D$2:$D$2000=$A42)*(TEXT('Daily Checklist'!$B$2:$B$2000,"yyyy-mm-dd")=TEXT(($B$4+17),"yyyy-mm-dd"))*('Daily Checklist'!$L$2:$L$2000="Y"))&gt;0,SUMPRODUCT(('Daily Checklist'!$D$2:$D$2000=$A42)*(TEXT('Daily Checklist'!$B$2:$B$2000,"yyyy-mm-dd")=TEXT(($B$4+17),"yyyy-mm-dd"))*('Daily Checklist'!$F$2:$F$2000="Done"))&amp;"/"&amp;SUMPRODUCT(('Daily Checklist'!$D$2:$D$2000=$A42)*(TEXT('Daily Checklist'!$B$2:$B$2000,"yyyy-mm-dd")=TEXT(($B$4+17),"yyyy-mm-dd")))&amp;" ESC",SUMPRODUCT(('Daily Checklist'!$D$2:$D$2000=$A42)*(TEXT('Daily Checklist'!$B$2:$B$2000,"yyyy-mm-dd")=TEXT(($B$4+17),"yyyy-mm-dd"))*('Daily Checklist'!$F$2:$F$2000="Done"))&amp;"/"&amp;SUMPRODUCT(('Daily Checklist'!$D$2:$D$2000=$A42)*(TEXT('Daily Checklist'!$B$2:$B$2000,"yyyy-mm-dd")=TEXT(($B$4+17),"yyyy-mm-dd"))))))</f>
        <v/>
      </c>
      <c r="T42" s="25" t="str">
        <f aca="false">IF($A42="","",IF(SUMPRODUCT(('Daily Checklist'!$D$2:$D$2000=$A42)*(TEXT('Daily Checklist'!$B$2:$B$2000,"yyyy-mm-dd")=TEXT(($B$4+18),"yyyy-mm-dd")))=0,"-",IF(SUMPRODUCT(('Daily Checklist'!$D$2:$D$2000=$A42)*(TEXT('Daily Checklist'!$B$2:$B$2000,"yyyy-mm-dd")=TEXT(($B$4+18),"yyyy-mm-dd"))*('Daily Checklist'!$L$2:$L$2000="Y"))&gt;0,SUMPRODUCT(('Daily Checklist'!$D$2:$D$2000=$A42)*(TEXT('Daily Checklist'!$B$2:$B$2000,"yyyy-mm-dd")=TEXT(($B$4+18),"yyyy-mm-dd"))*('Daily Checklist'!$F$2:$F$2000="Done"))&amp;"/"&amp;SUMPRODUCT(('Daily Checklist'!$D$2:$D$2000=$A42)*(TEXT('Daily Checklist'!$B$2:$B$2000,"yyyy-mm-dd")=TEXT(($B$4+18),"yyyy-mm-dd")))&amp;" ESC",SUMPRODUCT(('Daily Checklist'!$D$2:$D$2000=$A42)*(TEXT('Daily Checklist'!$B$2:$B$2000,"yyyy-mm-dd")=TEXT(($B$4+18),"yyyy-mm-dd"))*('Daily Checklist'!$F$2:$F$2000="Done"))&amp;"/"&amp;SUMPRODUCT(('Daily Checklist'!$D$2:$D$2000=$A42)*(TEXT('Daily Checklist'!$B$2:$B$2000,"yyyy-mm-dd")=TEXT(($B$4+18),"yyyy-mm-dd"))))))</f>
        <v/>
      </c>
      <c r="U42" s="25" t="str">
        <f aca="false">IF($A42="","",IF(SUMPRODUCT(('Daily Checklist'!$D$2:$D$2000=$A42)*(TEXT('Daily Checklist'!$B$2:$B$2000,"yyyy-mm-dd")=TEXT(($B$4+19),"yyyy-mm-dd")))=0,"-",IF(SUMPRODUCT(('Daily Checklist'!$D$2:$D$2000=$A42)*(TEXT('Daily Checklist'!$B$2:$B$2000,"yyyy-mm-dd")=TEXT(($B$4+19),"yyyy-mm-dd"))*('Daily Checklist'!$L$2:$L$2000="Y"))&gt;0,SUMPRODUCT(('Daily Checklist'!$D$2:$D$2000=$A42)*(TEXT('Daily Checklist'!$B$2:$B$2000,"yyyy-mm-dd")=TEXT(($B$4+19),"yyyy-mm-dd"))*('Daily Checklist'!$F$2:$F$2000="Done"))&amp;"/"&amp;SUMPRODUCT(('Daily Checklist'!$D$2:$D$2000=$A42)*(TEXT('Daily Checklist'!$B$2:$B$2000,"yyyy-mm-dd")=TEXT(($B$4+19),"yyyy-mm-dd")))&amp;" ESC",SUMPRODUCT(('Daily Checklist'!$D$2:$D$2000=$A42)*(TEXT('Daily Checklist'!$B$2:$B$2000,"yyyy-mm-dd")=TEXT(($B$4+19),"yyyy-mm-dd"))*('Daily Checklist'!$F$2:$F$2000="Done"))&amp;"/"&amp;SUMPRODUCT(('Daily Checklist'!$D$2:$D$2000=$A42)*(TEXT('Daily Checklist'!$B$2:$B$2000,"yyyy-mm-dd")=TEXT(($B$4+19),"yyyy-mm-dd"))))))</f>
        <v/>
      </c>
      <c r="V42" s="25" t="str">
        <f aca="false">IF($A42="","",IF(SUMPRODUCT(('Daily Checklist'!$D$2:$D$2000=$A42)*(TEXT('Daily Checklist'!$B$2:$B$2000,"yyyy-mm-dd")=TEXT(($B$4+20),"yyyy-mm-dd")))=0,"-",IF(SUMPRODUCT(('Daily Checklist'!$D$2:$D$2000=$A42)*(TEXT('Daily Checklist'!$B$2:$B$2000,"yyyy-mm-dd")=TEXT(($B$4+20),"yyyy-mm-dd"))*('Daily Checklist'!$L$2:$L$2000="Y"))&gt;0,SUMPRODUCT(('Daily Checklist'!$D$2:$D$2000=$A42)*(TEXT('Daily Checklist'!$B$2:$B$2000,"yyyy-mm-dd")=TEXT(($B$4+20),"yyyy-mm-dd"))*('Daily Checklist'!$F$2:$F$2000="Done"))&amp;"/"&amp;SUMPRODUCT(('Daily Checklist'!$D$2:$D$2000=$A42)*(TEXT('Daily Checklist'!$B$2:$B$2000,"yyyy-mm-dd")=TEXT(($B$4+20),"yyyy-mm-dd")))&amp;" ESC",SUMPRODUCT(('Daily Checklist'!$D$2:$D$2000=$A42)*(TEXT('Daily Checklist'!$B$2:$B$2000,"yyyy-mm-dd")=TEXT(($B$4+20),"yyyy-mm-dd"))*('Daily Checklist'!$F$2:$F$2000="Done"))&amp;"/"&amp;SUMPRODUCT(('Daily Checklist'!$D$2:$D$2000=$A42)*(TEXT('Daily Checklist'!$B$2:$B$2000,"yyyy-mm-dd")=TEXT(($B$4+20),"yyyy-mm-dd"))))))</f>
        <v/>
      </c>
      <c r="W42" s="25" t="str">
        <f aca="false">IF($A42="","",IF(SUMPRODUCT(('Daily Checklist'!$D$2:$D$2000=$A42)*(TEXT('Daily Checklist'!$B$2:$B$2000,"yyyy-mm-dd")=TEXT(($B$4+21),"yyyy-mm-dd")))=0,"-",IF(SUMPRODUCT(('Daily Checklist'!$D$2:$D$2000=$A42)*(TEXT('Daily Checklist'!$B$2:$B$2000,"yyyy-mm-dd")=TEXT(($B$4+21),"yyyy-mm-dd"))*('Daily Checklist'!$L$2:$L$2000="Y"))&gt;0,SUMPRODUCT(('Daily Checklist'!$D$2:$D$2000=$A42)*(TEXT('Daily Checklist'!$B$2:$B$2000,"yyyy-mm-dd")=TEXT(($B$4+21),"yyyy-mm-dd"))*('Daily Checklist'!$F$2:$F$2000="Done"))&amp;"/"&amp;SUMPRODUCT(('Daily Checklist'!$D$2:$D$2000=$A42)*(TEXT('Daily Checklist'!$B$2:$B$2000,"yyyy-mm-dd")=TEXT(($B$4+21),"yyyy-mm-dd")))&amp;" ESC",SUMPRODUCT(('Daily Checklist'!$D$2:$D$2000=$A42)*(TEXT('Daily Checklist'!$B$2:$B$2000,"yyyy-mm-dd")=TEXT(($B$4+21),"yyyy-mm-dd"))*('Daily Checklist'!$F$2:$F$2000="Done"))&amp;"/"&amp;SUMPRODUCT(('Daily Checklist'!$D$2:$D$2000=$A42)*(TEXT('Daily Checklist'!$B$2:$B$2000,"yyyy-mm-dd")=TEXT(($B$4+21),"yyyy-mm-dd"))))))</f>
        <v/>
      </c>
      <c r="X42" s="25" t="str">
        <f aca="false">IF($A42="","",IF(SUMPRODUCT(('Daily Checklist'!$D$2:$D$2000=$A42)*(TEXT('Daily Checklist'!$B$2:$B$2000,"yyyy-mm-dd")=TEXT(($B$4+22),"yyyy-mm-dd")))=0,"-",IF(SUMPRODUCT(('Daily Checklist'!$D$2:$D$2000=$A42)*(TEXT('Daily Checklist'!$B$2:$B$2000,"yyyy-mm-dd")=TEXT(($B$4+22),"yyyy-mm-dd"))*('Daily Checklist'!$L$2:$L$2000="Y"))&gt;0,SUMPRODUCT(('Daily Checklist'!$D$2:$D$2000=$A42)*(TEXT('Daily Checklist'!$B$2:$B$2000,"yyyy-mm-dd")=TEXT(($B$4+22),"yyyy-mm-dd"))*('Daily Checklist'!$F$2:$F$2000="Done"))&amp;"/"&amp;SUMPRODUCT(('Daily Checklist'!$D$2:$D$2000=$A42)*(TEXT('Daily Checklist'!$B$2:$B$2000,"yyyy-mm-dd")=TEXT(($B$4+22),"yyyy-mm-dd")))&amp;" ESC",SUMPRODUCT(('Daily Checklist'!$D$2:$D$2000=$A42)*(TEXT('Daily Checklist'!$B$2:$B$2000,"yyyy-mm-dd")=TEXT(($B$4+22),"yyyy-mm-dd"))*('Daily Checklist'!$F$2:$F$2000="Done"))&amp;"/"&amp;SUMPRODUCT(('Daily Checklist'!$D$2:$D$2000=$A42)*(TEXT('Daily Checklist'!$B$2:$B$2000,"yyyy-mm-dd")=TEXT(($B$4+22),"yyyy-mm-dd"))))))</f>
        <v/>
      </c>
      <c r="Y42" s="25" t="str">
        <f aca="false">IF($A42="","",IF(SUMPRODUCT(('Daily Checklist'!$D$2:$D$2000=$A42)*(TEXT('Daily Checklist'!$B$2:$B$2000,"yyyy-mm-dd")=TEXT(($B$4+23),"yyyy-mm-dd")))=0,"-",IF(SUMPRODUCT(('Daily Checklist'!$D$2:$D$2000=$A42)*(TEXT('Daily Checklist'!$B$2:$B$2000,"yyyy-mm-dd")=TEXT(($B$4+23),"yyyy-mm-dd"))*('Daily Checklist'!$L$2:$L$2000="Y"))&gt;0,SUMPRODUCT(('Daily Checklist'!$D$2:$D$2000=$A42)*(TEXT('Daily Checklist'!$B$2:$B$2000,"yyyy-mm-dd")=TEXT(($B$4+23),"yyyy-mm-dd"))*('Daily Checklist'!$F$2:$F$2000="Done"))&amp;"/"&amp;SUMPRODUCT(('Daily Checklist'!$D$2:$D$2000=$A42)*(TEXT('Daily Checklist'!$B$2:$B$2000,"yyyy-mm-dd")=TEXT(($B$4+23),"yyyy-mm-dd")))&amp;" ESC",SUMPRODUCT(('Daily Checklist'!$D$2:$D$2000=$A42)*(TEXT('Daily Checklist'!$B$2:$B$2000,"yyyy-mm-dd")=TEXT(($B$4+23),"yyyy-mm-dd"))*('Daily Checklist'!$F$2:$F$2000="Done"))&amp;"/"&amp;SUMPRODUCT(('Daily Checklist'!$D$2:$D$2000=$A42)*(TEXT('Daily Checklist'!$B$2:$B$2000,"yyyy-mm-dd")=TEXT(($B$4+23),"yyyy-mm-dd"))))))</f>
        <v/>
      </c>
      <c r="Z42" s="25" t="str">
        <f aca="false">IF($A42="","",IF(SUMPRODUCT(('Daily Checklist'!$D$2:$D$2000=$A42)*(TEXT('Daily Checklist'!$B$2:$B$2000,"yyyy-mm-dd")=TEXT(($B$4+24),"yyyy-mm-dd")))=0,"-",IF(SUMPRODUCT(('Daily Checklist'!$D$2:$D$2000=$A42)*(TEXT('Daily Checklist'!$B$2:$B$2000,"yyyy-mm-dd")=TEXT(($B$4+24),"yyyy-mm-dd"))*('Daily Checklist'!$L$2:$L$2000="Y"))&gt;0,SUMPRODUCT(('Daily Checklist'!$D$2:$D$2000=$A42)*(TEXT('Daily Checklist'!$B$2:$B$2000,"yyyy-mm-dd")=TEXT(($B$4+24),"yyyy-mm-dd"))*('Daily Checklist'!$F$2:$F$2000="Done"))&amp;"/"&amp;SUMPRODUCT(('Daily Checklist'!$D$2:$D$2000=$A42)*(TEXT('Daily Checklist'!$B$2:$B$2000,"yyyy-mm-dd")=TEXT(($B$4+24),"yyyy-mm-dd")))&amp;" ESC",SUMPRODUCT(('Daily Checklist'!$D$2:$D$2000=$A42)*(TEXT('Daily Checklist'!$B$2:$B$2000,"yyyy-mm-dd")=TEXT(($B$4+24),"yyyy-mm-dd"))*('Daily Checklist'!$F$2:$F$2000="Done"))&amp;"/"&amp;SUMPRODUCT(('Daily Checklist'!$D$2:$D$2000=$A42)*(TEXT('Daily Checklist'!$B$2:$B$2000,"yyyy-mm-dd")=TEXT(($B$4+24),"yyyy-mm-dd"))))))</f>
        <v/>
      </c>
      <c r="AA42" s="25" t="str">
        <f aca="false">IF($A42="","",IF(SUMPRODUCT(('Daily Checklist'!$D$2:$D$2000=$A42)*(TEXT('Daily Checklist'!$B$2:$B$2000,"yyyy-mm-dd")=TEXT(($B$4+25),"yyyy-mm-dd")))=0,"-",IF(SUMPRODUCT(('Daily Checklist'!$D$2:$D$2000=$A42)*(TEXT('Daily Checklist'!$B$2:$B$2000,"yyyy-mm-dd")=TEXT(($B$4+25),"yyyy-mm-dd"))*('Daily Checklist'!$L$2:$L$2000="Y"))&gt;0,SUMPRODUCT(('Daily Checklist'!$D$2:$D$2000=$A42)*(TEXT('Daily Checklist'!$B$2:$B$2000,"yyyy-mm-dd")=TEXT(($B$4+25),"yyyy-mm-dd"))*('Daily Checklist'!$F$2:$F$2000="Done"))&amp;"/"&amp;SUMPRODUCT(('Daily Checklist'!$D$2:$D$2000=$A42)*(TEXT('Daily Checklist'!$B$2:$B$2000,"yyyy-mm-dd")=TEXT(($B$4+25),"yyyy-mm-dd")))&amp;" ESC",SUMPRODUCT(('Daily Checklist'!$D$2:$D$2000=$A42)*(TEXT('Daily Checklist'!$B$2:$B$2000,"yyyy-mm-dd")=TEXT(($B$4+25),"yyyy-mm-dd"))*('Daily Checklist'!$F$2:$F$2000="Done"))&amp;"/"&amp;SUMPRODUCT(('Daily Checklist'!$D$2:$D$2000=$A42)*(TEXT('Daily Checklist'!$B$2:$B$2000,"yyyy-mm-dd")=TEXT(($B$4+25),"yyyy-mm-dd"))))))</f>
        <v/>
      </c>
      <c r="AB42" s="25" t="str">
        <f aca="false">IF($A42="","",IF(SUMPRODUCT(('Daily Checklist'!$D$2:$D$2000=$A42)*(TEXT('Daily Checklist'!$B$2:$B$2000,"yyyy-mm-dd")=TEXT(($B$4+26),"yyyy-mm-dd")))=0,"-",IF(SUMPRODUCT(('Daily Checklist'!$D$2:$D$2000=$A42)*(TEXT('Daily Checklist'!$B$2:$B$2000,"yyyy-mm-dd")=TEXT(($B$4+26),"yyyy-mm-dd"))*('Daily Checklist'!$L$2:$L$2000="Y"))&gt;0,SUMPRODUCT(('Daily Checklist'!$D$2:$D$2000=$A42)*(TEXT('Daily Checklist'!$B$2:$B$2000,"yyyy-mm-dd")=TEXT(($B$4+26),"yyyy-mm-dd"))*('Daily Checklist'!$F$2:$F$2000="Done"))&amp;"/"&amp;SUMPRODUCT(('Daily Checklist'!$D$2:$D$2000=$A42)*(TEXT('Daily Checklist'!$B$2:$B$2000,"yyyy-mm-dd")=TEXT(($B$4+26),"yyyy-mm-dd")))&amp;" ESC",SUMPRODUCT(('Daily Checklist'!$D$2:$D$2000=$A42)*(TEXT('Daily Checklist'!$B$2:$B$2000,"yyyy-mm-dd")=TEXT(($B$4+26),"yyyy-mm-dd"))*('Daily Checklist'!$F$2:$F$2000="Done"))&amp;"/"&amp;SUMPRODUCT(('Daily Checklist'!$D$2:$D$2000=$A42)*(TEXT('Daily Checklist'!$B$2:$B$2000,"yyyy-mm-dd")=TEXT(($B$4+26),"yyyy-mm-dd"))))))</f>
        <v/>
      </c>
      <c r="AC42" s="25" t="str">
        <f aca="false">IF($A42="","",IF(SUMPRODUCT(('Daily Checklist'!$D$2:$D$2000=$A42)*(TEXT('Daily Checklist'!$B$2:$B$2000,"yyyy-mm-dd")=TEXT(($B$4+27),"yyyy-mm-dd")))=0,"-",IF(SUMPRODUCT(('Daily Checklist'!$D$2:$D$2000=$A42)*(TEXT('Daily Checklist'!$B$2:$B$2000,"yyyy-mm-dd")=TEXT(($B$4+27),"yyyy-mm-dd"))*('Daily Checklist'!$L$2:$L$2000="Y"))&gt;0,SUMPRODUCT(('Daily Checklist'!$D$2:$D$2000=$A42)*(TEXT('Daily Checklist'!$B$2:$B$2000,"yyyy-mm-dd")=TEXT(($B$4+27),"yyyy-mm-dd"))*('Daily Checklist'!$F$2:$F$2000="Done"))&amp;"/"&amp;SUMPRODUCT(('Daily Checklist'!$D$2:$D$2000=$A42)*(TEXT('Daily Checklist'!$B$2:$B$2000,"yyyy-mm-dd")=TEXT(($B$4+27),"yyyy-mm-dd")))&amp;" ESC",SUMPRODUCT(('Daily Checklist'!$D$2:$D$2000=$A42)*(TEXT('Daily Checklist'!$B$2:$B$2000,"yyyy-mm-dd")=TEXT(($B$4+27),"yyyy-mm-dd"))*('Daily Checklist'!$F$2:$F$2000="Done"))&amp;"/"&amp;SUMPRODUCT(('Daily Checklist'!$D$2:$D$2000=$A42)*(TEXT('Daily Checklist'!$B$2:$B$2000,"yyyy-mm-dd")=TEXT(($B$4+27),"yyyy-mm-dd"))))))</f>
        <v/>
      </c>
      <c r="AD42" s="25" t="str">
        <f aca="false">IF($A42="","",IF(SUMPRODUCT(('Daily Checklist'!$D$2:$D$2000=$A42)*(TEXT('Daily Checklist'!$B$2:$B$2000,"yyyy-mm-dd")=TEXT(($B$4+28),"yyyy-mm-dd")))=0,"-",IF(SUMPRODUCT(('Daily Checklist'!$D$2:$D$2000=$A42)*(TEXT('Daily Checklist'!$B$2:$B$2000,"yyyy-mm-dd")=TEXT(($B$4+28),"yyyy-mm-dd"))*('Daily Checklist'!$L$2:$L$2000="Y"))&gt;0,SUMPRODUCT(('Daily Checklist'!$D$2:$D$2000=$A42)*(TEXT('Daily Checklist'!$B$2:$B$2000,"yyyy-mm-dd")=TEXT(($B$4+28),"yyyy-mm-dd"))*('Daily Checklist'!$F$2:$F$2000="Done"))&amp;"/"&amp;SUMPRODUCT(('Daily Checklist'!$D$2:$D$2000=$A42)*(TEXT('Daily Checklist'!$B$2:$B$2000,"yyyy-mm-dd")=TEXT(($B$4+28),"yyyy-mm-dd")))&amp;" ESC",SUMPRODUCT(('Daily Checklist'!$D$2:$D$2000=$A42)*(TEXT('Daily Checklist'!$B$2:$B$2000,"yyyy-mm-dd")=TEXT(($B$4+28),"yyyy-mm-dd"))*('Daily Checklist'!$F$2:$F$2000="Done"))&amp;"/"&amp;SUMPRODUCT(('Daily Checklist'!$D$2:$D$2000=$A42)*(TEXT('Daily Checklist'!$B$2:$B$2000,"yyyy-mm-dd")=TEXT(($B$4+28),"yyyy-mm-dd"))))))</f>
        <v/>
      </c>
      <c r="AE42" s="25" t="str">
        <f aca="false">IF($A42="","",IF(SUMPRODUCT(('Daily Checklist'!$D$2:$D$2000=$A42)*(TEXT('Daily Checklist'!$B$2:$B$2000,"yyyy-mm-dd")=TEXT(($B$4+29),"yyyy-mm-dd")))=0,"-",IF(SUMPRODUCT(('Daily Checklist'!$D$2:$D$2000=$A42)*(TEXT('Daily Checklist'!$B$2:$B$2000,"yyyy-mm-dd")=TEXT(($B$4+29),"yyyy-mm-dd"))*('Daily Checklist'!$L$2:$L$2000="Y"))&gt;0,SUMPRODUCT(('Daily Checklist'!$D$2:$D$2000=$A42)*(TEXT('Daily Checklist'!$B$2:$B$2000,"yyyy-mm-dd")=TEXT(($B$4+29),"yyyy-mm-dd"))*('Daily Checklist'!$F$2:$F$2000="Done"))&amp;"/"&amp;SUMPRODUCT(('Daily Checklist'!$D$2:$D$2000=$A42)*(TEXT('Daily Checklist'!$B$2:$B$2000,"yyyy-mm-dd")=TEXT(($B$4+29),"yyyy-mm-dd")))&amp;" ESC",SUMPRODUCT(('Daily Checklist'!$D$2:$D$2000=$A42)*(TEXT('Daily Checklist'!$B$2:$B$2000,"yyyy-mm-dd")=TEXT(($B$4+29),"yyyy-mm-dd"))*('Daily Checklist'!$F$2:$F$2000="Done"))&amp;"/"&amp;SUMPRODUCT(('Daily Checklist'!$D$2:$D$2000=$A42)*(TEXT('Daily Checklist'!$B$2:$B$2000,"yyyy-mm-dd")=TEXT(($B$4+29),"yyyy-mm-dd"))))))</f>
        <v/>
      </c>
      <c r="AF42" s="25" t="str">
        <f aca="false">IF($A42="","",IF(SUMPRODUCT(('Daily Checklist'!$D$2:$D$2000=$A42)*(TEXT('Daily Checklist'!$B$2:$B$2000,"yyyy-mm-dd")=TEXT(($B$4+30),"yyyy-mm-dd")))=0,"-",IF(SUMPRODUCT(('Daily Checklist'!$D$2:$D$2000=$A42)*(TEXT('Daily Checklist'!$B$2:$B$2000,"yyyy-mm-dd")=TEXT(($B$4+30),"yyyy-mm-dd"))*('Daily Checklist'!$L$2:$L$2000="Y"))&gt;0,SUMPRODUCT(('Daily Checklist'!$D$2:$D$2000=$A42)*(TEXT('Daily Checklist'!$B$2:$B$2000,"yyyy-mm-dd")=TEXT(($B$4+30),"yyyy-mm-dd"))*('Daily Checklist'!$F$2:$F$2000="Done"))&amp;"/"&amp;SUMPRODUCT(('Daily Checklist'!$D$2:$D$2000=$A42)*(TEXT('Daily Checklist'!$B$2:$B$2000,"yyyy-mm-dd")=TEXT(($B$4+30),"yyyy-mm-dd")))&amp;" ESC",SUMPRODUCT(('Daily Checklist'!$D$2:$D$2000=$A42)*(TEXT('Daily Checklist'!$B$2:$B$2000,"yyyy-mm-dd")=TEXT(($B$4+30),"yyyy-mm-dd"))*('Daily Checklist'!$F$2:$F$2000="Done"))&amp;"/"&amp;SUMPRODUCT(('Daily Checklist'!$D$2:$D$2000=$A42)*(TEXT('Daily Checklist'!$B$2:$B$2000,"yyyy-mm-dd")=TEXT(($B$4+30),"yyyy-mm-dd"))))))</f>
        <v/>
      </c>
    </row>
    <row r="43" customFormat="false" ht="15" hidden="false" customHeight="true" outlineLevel="0" collapsed="false">
      <c r="A43" s="24" t="str">
        <f aca="false">IFERROR(IF(Employees!A38="","",Employees!A38),"")</f>
        <v/>
      </c>
      <c r="B43" s="25" t="str">
        <f aca="false">IF($A43="","",IF(SUMPRODUCT(('Daily Checklist'!$D$2:$D$2000=$A43)*(TEXT('Daily Checklist'!$B$2:$B$2000,"yyyy-mm-dd")=TEXT(($B$4+0),"yyyy-mm-dd")))=0,"-",IF(SUMPRODUCT(('Daily Checklist'!$D$2:$D$2000=$A43)*(TEXT('Daily Checklist'!$B$2:$B$2000,"yyyy-mm-dd")=TEXT(($B$4+0),"yyyy-mm-dd"))*('Daily Checklist'!$L$2:$L$2000="Y"))&gt;0,SUMPRODUCT(('Daily Checklist'!$D$2:$D$2000=$A43)*(TEXT('Daily Checklist'!$B$2:$B$2000,"yyyy-mm-dd")=TEXT(($B$4+0),"yyyy-mm-dd"))*('Daily Checklist'!$F$2:$F$2000="Done"))&amp;"/"&amp;SUMPRODUCT(('Daily Checklist'!$D$2:$D$2000=$A43)*(TEXT('Daily Checklist'!$B$2:$B$2000,"yyyy-mm-dd")=TEXT(($B$4+0),"yyyy-mm-dd")))&amp;" ESC",SUMPRODUCT(('Daily Checklist'!$D$2:$D$2000=$A43)*(TEXT('Daily Checklist'!$B$2:$B$2000,"yyyy-mm-dd")=TEXT(($B$4+0),"yyyy-mm-dd"))*('Daily Checklist'!$F$2:$F$2000="Done"))&amp;"/"&amp;SUMPRODUCT(('Daily Checklist'!$D$2:$D$2000=$A43)*(TEXT('Daily Checklist'!$B$2:$B$2000,"yyyy-mm-dd")=TEXT(($B$4+0),"yyyy-mm-dd"))))))</f>
        <v/>
      </c>
      <c r="C43" s="25" t="str">
        <f aca="false">IF($A43="","",IF(SUMPRODUCT(('Daily Checklist'!$D$2:$D$2000=$A43)*(TEXT('Daily Checklist'!$B$2:$B$2000,"yyyy-mm-dd")=TEXT(($B$4+1),"yyyy-mm-dd")))=0,"-",IF(SUMPRODUCT(('Daily Checklist'!$D$2:$D$2000=$A43)*(TEXT('Daily Checklist'!$B$2:$B$2000,"yyyy-mm-dd")=TEXT(($B$4+1),"yyyy-mm-dd"))*('Daily Checklist'!$L$2:$L$2000="Y"))&gt;0,SUMPRODUCT(('Daily Checklist'!$D$2:$D$2000=$A43)*(TEXT('Daily Checklist'!$B$2:$B$2000,"yyyy-mm-dd")=TEXT(($B$4+1),"yyyy-mm-dd"))*('Daily Checklist'!$F$2:$F$2000="Done"))&amp;"/"&amp;SUMPRODUCT(('Daily Checklist'!$D$2:$D$2000=$A43)*(TEXT('Daily Checklist'!$B$2:$B$2000,"yyyy-mm-dd")=TEXT(($B$4+1),"yyyy-mm-dd")))&amp;" ESC",SUMPRODUCT(('Daily Checklist'!$D$2:$D$2000=$A43)*(TEXT('Daily Checklist'!$B$2:$B$2000,"yyyy-mm-dd")=TEXT(($B$4+1),"yyyy-mm-dd"))*('Daily Checklist'!$F$2:$F$2000="Done"))&amp;"/"&amp;SUMPRODUCT(('Daily Checklist'!$D$2:$D$2000=$A43)*(TEXT('Daily Checklist'!$B$2:$B$2000,"yyyy-mm-dd")=TEXT(($B$4+1),"yyyy-mm-dd"))))))</f>
        <v/>
      </c>
      <c r="D43" s="25" t="str">
        <f aca="false">IF($A43="","",IF(SUMPRODUCT(('Daily Checklist'!$D$2:$D$2000=$A43)*(TEXT('Daily Checklist'!$B$2:$B$2000,"yyyy-mm-dd")=TEXT(($B$4+2),"yyyy-mm-dd")))=0,"-",IF(SUMPRODUCT(('Daily Checklist'!$D$2:$D$2000=$A43)*(TEXT('Daily Checklist'!$B$2:$B$2000,"yyyy-mm-dd")=TEXT(($B$4+2),"yyyy-mm-dd"))*('Daily Checklist'!$L$2:$L$2000="Y"))&gt;0,SUMPRODUCT(('Daily Checklist'!$D$2:$D$2000=$A43)*(TEXT('Daily Checklist'!$B$2:$B$2000,"yyyy-mm-dd")=TEXT(($B$4+2),"yyyy-mm-dd"))*('Daily Checklist'!$F$2:$F$2000="Done"))&amp;"/"&amp;SUMPRODUCT(('Daily Checklist'!$D$2:$D$2000=$A43)*(TEXT('Daily Checklist'!$B$2:$B$2000,"yyyy-mm-dd")=TEXT(($B$4+2),"yyyy-mm-dd")))&amp;" ESC",SUMPRODUCT(('Daily Checklist'!$D$2:$D$2000=$A43)*(TEXT('Daily Checklist'!$B$2:$B$2000,"yyyy-mm-dd")=TEXT(($B$4+2),"yyyy-mm-dd"))*('Daily Checklist'!$F$2:$F$2000="Done"))&amp;"/"&amp;SUMPRODUCT(('Daily Checklist'!$D$2:$D$2000=$A43)*(TEXT('Daily Checklist'!$B$2:$B$2000,"yyyy-mm-dd")=TEXT(($B$4+2),"yyyy-mm-dd"))))))</f>
        <v/>
      </c>
      <c r="E43" s="25" t="str">
        <f aca="false">IF($A43="","",IF(SUMPRODUCT(('Daily Checklist'!$D$2:$D$2000=$A43)*(TEXT('Daily Checklist'!$B$2:$B$2000,"yyyy-mm-dd")=TEXT(($B$4+3),"yyyy-mm-dd")))=0,"-",IF(SUMPRODUCT(('Daily Checklist'!$D$2:$D$2000=$A43)*(TEXT('Daily Checklist'!$B$2:$B$2000,"yyyy-mm-dd")=TEXT(($B$4+3),"yyyy-mm-dd"))*('Daily Checklist'!$L$2:$L$2000="Y"))&gt;0,SUMPRODUCT(('Daily Checklist'!$D$2:$D$2000=$A43)*(TEXT('Daily Checklist'!$B$2:$B$2000,"yyyy-mm-dd")=TEXT(($B$4+3),"yyyy-mm-dd"))*('Daily Checklist'!$F$2:$F$2000="Done"))&amp;"/"&amp;SUMPRODUCT(('Daily Checklist'!$D$2:$D$2000=$A43)*(TEXT('Daily Checklist'!$B$2:$B$2000,"yyyy-mm-dd")=TEXT(($B$4+3),"yyyy-mm-dd")))&amp;" ESC",SUMPRODUCT(('Daily Checklist'!$D$2:$D$2000=$A43)*(TEXT('Daily Checklist'!$B$2:$B$2000,"yyyy-mm-dd")=TEXT(($B$4+3),"yyyy-mm-dd"))*('Daily Checklist'!$F$2:$F$2000="Done"))&amp;"/"&amp;SUMPRODUCT(('Daily Checklist'!$D$2:$D$2000=$A43)*(TEXT('Daily Checklist'!$B$2:$B$2000,"yyyy-mm-dd")=TEXT(($B$4+3),"yyyy-mm-dd"))))))</f>
        <v/>
      </c>
      <c r="F43" s="25" t="str">
        <f aca="false">IF($A43="","",IF(SUMPRODUCT(('Daily Checklist'!$D$2:$D$2000=$A43)*(TEXT('Daily Checklist'!$B$2:$B$2000,"yyyy-mm-dd")=TEXT(($B$4+4),"yyyy-mm-dd")))=0,"-",IF(SUMPRODUCT(('Daily Checklist'!$D$2:$D$2000=$A43)*(TEXT('Daily Checklist'!$B$2:$B$2000,"yyyy-mm-dd")=TEXT(($B$4+4),"yyyy-mm-dd"))*('Daily Checklist'!$L$2:$L$2000="Y"))&gt;0,SUMPRODUCT(('Daily Checklist'!$D$2:$D$2000=$A43)*(TEXT('Daily Checklist'!$B$2:$B$2000,"yyyy-mm-dd")=TEXT(($B$4+4),"yyyy-mm-dd"))*('Daily Checklist'!$F$2:$F$2000="Done"))&amp;"/"&amp;SUMPRODUCT(('Daily Checklist'!$D$2:$D$2000=$A43)*(TEXT('Daily Checklist'!$B$2:$B$2000,"yyyy-mm-dd")=TEXT(($B$4+4),"yyyy-mm-dd")))&amp;" ESC",SUMPRODUCT(('Daily Checklist'!$D$2:$D$2000=$A43)*(TEXT('Daily Checklist'!$B$2:$B$2000,"yyyy-mm-dd")=TEXT(($B$4+4),"yyyy-mm-dd"))*('Daily Checklist'!$F$2:$F$2000="Done"))&amp;"/"&amp;SUMPRODUCT(('Daily Checklist'!$D$2:$D$2000=$A43)*(TEXT('Daily Checklist'!$B$2:$B$2000,"yyyy-mm-dd")=TEXT(($B$4+4),"yyyy-mm-dd"))))))</f>
        <v/>
      </c>
      <c r="G43" s="25" t="str">
        <f aca="false">IF($A43="","",IF(SUMPRODUCT(('Daily Checklist'!$D$2:$D$2000=$A43)*(TEXT('Daily Checklist'!$B$2:$B$2000,"yyyy-mm-dd")=TEXT(($B$4+5),"yyyy-mm-dd")))=0,"-",IF(SUMPRODUCT(('Daily Checklist'!$D$2:$D$2000=$A43)*(TEXT('Daily Checklist'!$B$2:$B$2000,"yyyy-mm-dd")=TEXT(($B$4+5),"yyyy-mm-dd"))*('Daily Checklist'!$L$2:$L$2000="Y"))&gt;0,SUMPRODUCT(('Daily Checklist'!$D$2:$D$2000=$A43)*(TEXT('Daily Checklist'!$B$2:$B$2000,"yyyy-mm-dd")=TEXT(($B$4+5),"yyyy-mm-dd"))*('Daily Checklist'!$F$2:$F$2000="Done"))&amp;"/"&amp;SUMPRODUCT(('Daily Checklist'!$D$2:$D$2000=$A43)*(TEXT('Daily Checklist'!$B$2:$B$2000,"yyyy-mm-dd")=TEXT(($B$4+5),"yyyy-mm-dd")))&amp;" ESC",SUMPRODUCT(('Daily Checklist'!$D$2:$D$2000=$A43)*(TEXT('Daily Checklist'!$B$2:$B$2000,"yyyy-mm-dd")=TEXT(($B$4+5),"yyyy-mm-dd"))*('Daily Checklist'!$F$2:$F$2000="Done"))&amp;"/"&amp;SUMPRODUCT(('Daily Checklist'!$D$2:$D$2000=$A43)*(TEXT('Daily Checklist'!$B$2:$B$2000,"yyyy-mm-dd")=TEXT(($B$4+5),"yyyy-mm-dd"))))))</f>
        <v/>
      </c>
      <c r="H43" s="25" t="str">
        <f aca="false">IF($A43="","",IF(SUMPRODUCT(('Daily Checklist'!$D$2:$D$2000=$A43)*(TEXT('Daily Checklist'!$B$2:$B$2000,"yyyy-mm-dd")=TEXT(($B$4+6),"yyyy-mm-dd")))=0,"-",IF(SUMPRODUCT(('Daily Checklist'!$D$2:$D$2000=$A43)*(TEXT('Daily Checklist'!$B$2:$B$2000,"yyyy-mm-dd")=TEXT(($B$4+6),"yyyy-mm-dd"))*('Daily Checklist'!$L$2:$L$2000="Y"))&gt;0,SUMPRODUCT(('Daily Checklist'!$D$2:$D$2000=$A43)*(TEXT('Daily Checklist'!$B$2:$B$2000,"yyyy-mm-dd")=TEXT(($B$4+6),"yyyy-mm-dd"))*('Daily Checklist'!$F$2:$F$2000="Done"))&amp;"/"&amp;SUMPRODUCT(('Daily Checklist'!$D$2:$D$2000=$A43)*(TEXT('Daily Checklist'!$B$2:$B$2000,"yyyy-mm-dd")=TEXT(($B$4+6),"yyyy-mm-dd")))&amp;" ESC",SUMPRODUCT(('Daily Checklist'!$D$2:$D$2000=$A43)*(TEXT('Daily Checklist'!$B$2:$B$2000,"yyyy-mm-dd")=TEXT(($B$4+6),"yyyy-mm-dd"))*('Daily Checklist'!$F$2:$F$2000="Done"))&amp;"/"&amp;SUMPRODUCT(('Daily Checklist'!$D$2:$D$2000=$A43)*(TEXT('Daily Checklist'!$B$2:$B$2000,"yyyy-mm-dd")=TEXT(($B$4+6),"yyyy-mm-dd"))))))</f>
        <v/>
      </c>
      <c r="I43" s="25" t="str">
        <f aca="false">IF($A43="","",IF(SUMPRODUCT(('Daily Checklist'!$D$2:$D$2000=$A43)*(TEXT('Daily Checklist'!$B$2:$B$2000,"yyyy-mm-dd")=TEXT(($B$4+7),"yyyy-mm-dd")))=0,"-",IF(SUMPRODUCT(('Daily Checklist'!$D$2:$D$2000=$A43)*(TEXT('Daily Checklist'!$B$2:$B$2000,"yyyy-mm-dd")=TEXT(($B$4+7),"yyyy-mm-dd"))*('Daily Checklist'!$L$2:$L$2000="Y"))&gt;0,SUMPRODUCT(('Daily Checklist'!$D$2:$D$2000=$A43)*(TEXT('Daily Checklist'!$B$2:$B$2000,"yyyy-mm-dd")=TEXT(($B$4+7),"yyyy-mm-dd"))*('Daily Checklist'!$F$2:$F$2000="Done"))&amp;"/"&amp;SUMPRODUCT(('Daily Checklist'!$D$2:$D$2000=$A43)*(TEXT('Daily Checklist'!$B$2:$B$2000,"yyyy-mm-dd")=TEXT(($B$4+7),"yyyy-mm-dd")))&amp;" ESC",SUMPRODUCT(('Daily Checklist'!$D$2:$D$2000=$A43)*(TEXT('Daily Checklist'!$B$2:$B$2000,"yyyy-mm-dd")=TEXT(($B$4+7),"yyyy-mm-dd"))*('Daily Checklist'!$F$2:$F$2000="Done"))&amp;"/"&amp;SUMPRODUCT(('Daily Checklist'!$D$2:$D$2000=$A43)*(TEXT('Daily Checklist'!$B$2:$B$2000,"yyyy-mm-dd")=TEXT(($B$4+7),"yyyy-mm-dd"))))))</f>
        <v/>
      </c>
      <c r="J43" s="25" t="str">
        <f aca="false">IF($A43="","",IF(SUMPRODUCT(('Daily Checklist'!$D$2:$D$2000=$A43)*(TEXT('Daily Checklist'!$B$2:$B$2000,"yyyy-mm-dd")=TEXT(($B$4+8),"yyyy-mm-dd")))=0,"-",IF(SUMPRODUCT(('Daily Checklist'!$D$2:$D$2000=$A43)*(TEXT('Daily Checklist'!$B$2:$B$2000,"yyyy-mm-dd")=TEXT(($B$4+8),"yyyy-mm-dd"))*('Daily Checklist'!$L$2:$L$2000="Y"))&gt;0,SUMPRODUCT(('Daily Checklist'!$D$2:$D$2000=$A43)*(TEXT('Daily Checklist'!$B$2:$B$2000,"yyyy-mm-dd")=TEXT(($B$4+8),"yyyy-mm-dd"))*('Daily Checklist'!$F$2:$F$2000="Done"))&amp;"/"&amp;SUMPRODUCT(('Daily Checklist'!$D$2:$D$2000=$A43)*(TEXT('Daily Checklist'!$B$2:$B$2000,"yyyy-mm-dd")=TEXT(($B$4+8),"yyyy-mm-dd")))&amp;" ESC",SUMPRODUCT(('Daily Checklist'!$D$2:$D$2000=$A43)*(TEXT('Daily Checklist'!$B$2:$B$2000,"yyyy-mm-dd")=TEXT(($B$4+8),"yyyy-mm-dd"))*('Daily Checklist'!$F$2:$F$2000="Done"))&amp;"/"&amp;SUMPRODUCT(('Daily Checklist'!$D$2:$D$2000=$A43)*(TEXT('Daily Checklist'!$B$2:$B$2000,"yyyy-mm-dd")=TEXT(($B$4+8),"yyyy-mm-dd"))))))</f>
        <v/>
      </c>
      <c r="K43" s="25" t="str">
        <f aca="false">IF($A43="","",IF(SUMPRODUCT(('Daily Checklist'!$D$2:$D$2000=$A43)*(TEXT('Daily Checklist'!$B$2:$B$2000,"yyyy-mm-dd")=TEXT(($B$4+9),"yyyy-mm-dd")))=0,"-",IF(SUMPRODUCT(('Daily Checklist'!$D$2:$D$2000=$A43)*(TEXT('Daily Checklist'!$B$2:$B$2000,"yyyy-mm-dd")=TEXT(($B$4+9),"yyyy-mm-dd"))*('Daily Checklist'!$L$2:$L$2000="Y"))&gt;0,SUMPRODUCT(('Daily Checklist'!$D$2:$D$2000=$A43)*(TEXT('Daily Checklist'!$B$2:$B$2000,"yyyy-mm-dd")=TEXT(($B$4+9),"yyyy-mm-dd"))*('Daily Checklist'!$F$2:$F$2000="Done"))&amp;"/"&amp;SUMPRODUCT(('Daily Checklist'!$D$2:$D$2000=$A43)*(TEXT('Daily Checklist'!$B$2:$B$2000,"yyyy-mm-dd")=TEXT(($B$4+9),"yyyy-mm-dd")))&amp;" ESC",SUMPRODUCT(('Daily Checklist'!$D$2:$D$2000=$A43)*(TEXT('Daily Checklist'!$B$2:$B$2000,"yyyy-mm-dd")=TEXT(($B$4+9),"yyyy-mm-dd"))*('Daily Checklist'!$F$2:$F$2000="Done"))&amp;"/"&amp;SUMPRODUCT(('Daily Checklist'!$D$2:$D$2000=$A43)*(TEXT('Daily Checklist'!$B$2:$B$2000,"yyyy-mm-dd")=TEXT(($B$4+9),"yyyy-mm-dd"))))))</f>
        <v/>
      </c>
      <c r="L43" s="25" t="str">
        <f aca="false">IF($A43="","",IF(SUMPRODUCT(('Daily Checklist'!$D$2:$D$2000=$A43)*(TEXT('Daily Checklist'!$B$2:$B$2000,"yyyy-mm-dd")=TEXT(($B$4+10),"yyyy-mm-dd")))=0,"-",IF(SUMPRODUCT(('Daily Checklist'!$D$2:$D$2000=$A43)*(TEXT('Daily Checklist'!$B$2:$B$2000,"yyyy-mm-dd")=TEXT(($B$4+10),"yyyy-mm-dd"))*('Daily Checklist'!$L$2:$L$2000="Y"))&gt;0,SUMPRODUCT(('Daily Checklist'!$D$2:$D$2000=$A43)*(TEXT('Daily Checklist'!$B$2:$B$2000,"yyyy-mm-dd")=TEXT(($B$4+10),"yyyy-mm-dd"))*('Daily Checklist'!$F$2:$F$2000="Done"))&amp;"/"&amp;SUMPRODUCT(('Daily Checklist'!$D$2:$D$2000=$A43)*(TEXT('Daily Checklist'!$B$2:$B$2000,"yyyy-mm-dd")=TEXT(($B$4+10),"yyyy-mm-dd")))&amp;" ESC",SUMPRODUCT(('Daily Checklist'!$D$2:$D$2000=$A43)*(TEXT('Daily Checklist'!$B$2:$B$2000,"yyyy-mm-dd")=TEXT(($B$4+10),"yyyy-mm-dd"))*('Daily Checklist'!$F$2:$F$2000="Done"))&amp;"/"&amp;SUMPRODUCT(('Daily Checklist'!$D$2:$D$2000=$A43)*(TEXT('Daily Checklist'!$B$2:$B$2000,"yyyy-mm-dd")=TEXT(($B$4+10),"yyyy-mm-dd"))))))</f>
        <v/>
      </c>
      <c r="M43" s="25" t="str">
        <f aca="false">IF($A43="","",IF(SUMPRODUCT(('Daily Checklist'!$D$2:$D$2000=$A43)*(TEXT('Daily Checklist'!$B$2:$B$2000,"yyyy-mm-dd")=TEXT(($B$4+11),"yyyy-mm-dd")))=0,"-",IF(SUMPRODUCT(('Daily Checklist'!$D$2:$D$2000=$A43)*(TEXT('Daily Checklist'!$B$2:$B$2000,"yyyy-mm-dd")=TEXT(($B$4+11),"yyyy-mm-dd"))*('Daily Checklist'!$L$2:$L$2000="Y"))&gt;0,SUMPRODUCT(('Daily Checklist'!$D$2:$D$2000=$A43)*(TEXT('Daily Checklist'!$B$2:$B$2000,"yyyy-mm-dd")=TEXT(($B$4+11),"yyyy-mm-dd"))*('Daily Checklist'!$F$2:$F$2000="Done"))&amp;"/"&amp;SUMPRODUCT(('Daily Checklist'!$D$2:$D$2000=$A43)*(TEXT('Daily Checklist'!$B$2:$B$2000,"yyyy-mm-dd")=TEXT(($B$4+11),"yyyy-mm-dd")))&amp;" ESC",SUMPRODUCT(('Daily Checklist'!$D$2:$D$2000=$A43)*(TEXT('Daily Checklist'!$B$2:$B$2000,"yyyy-mm-dd")=TEXT(($B$4+11),"yyyy-mm-dd"))*('Daily Checklist'!$F$2:$F$2000="Done"))&amp;"/"&amp;SUMPRODUCT(('Daily Checklist'!$D$2:$D$2000=$A43)*(TEXT('Daily Checklist'!$B$2:$B$2000,"yyyy-mm-dd")=TEXT(($B$4+11),"yyyy-mm-dd"))))))</f>
        <v/>
      </c>
      <c r="N43" s="25" t="str">
        <f aca="false">IF($A43="","",IF(SUMPRODUCT(('Daily Checklist'!$D$2:$D$2000=$A43)*(TEXT('Daily Checklist'!$B$2:$B$2000,"yyyy-mm-dd")=TEXT(($B$4+12),"yyyy-mm-dd")))=0,"-",IF(SUMPRODUCT(('Daily Checklist'!$D$2:$D$2000=$A43)*(TEXT('Daily Checklist'!$B$2:$B$2000,"yyyy-mm-dd")=TEXT(($B$4+12),"yyyy-mm-dd"))*('Daily Checklist'!$L$2:$L$2000="Y"))&gt;0,SUMPRODUCT(('Daily Checklist'!$D$2:$D$2000=$A43)*(TEXT('Daily Checklist'!$B$2:$B$2000,"yyyy-mm-dd")=TEXT(($B$4+12),"yyyy-mm-dd"))*('Daily Checklist'!$F$2:$F$2000="Done"))&amp;"/"&amp;SUMPRODUCT(('Daily Checklist'!$D$2:$D$2000=$A43)*(TEXT('Daily Checklist'!$B$2:$B$2000,"yyyy-mm-dd")=TEXT(($B$4+12),"yyyy-mm-dd")))&amp;" ESC",SUMPRODUCT(('Daily Checklist'!$D$2:$D$2000=$A43)*(TEXT('Daily Checklist'!$B$2:$B$2000,"yyyy-mm-dd")=TEXT(($B$4+12),"yyyy-mm-dd"))*('Daily Checklist'!$F$2:$F$2000="Done"))&amp;"/"&amp;SUMPRODUCT(('Daily Checklist'!$D$2:$D$2000=$A43)*(TEXT('Daily Checklist'!$B$2:$B$2000,"yyyy-mm-dd")=TEXT(($B$4+12),"yyyy-mm-dd"))))))</f>
        <v/>
      </c>
      <c r="O43" s="25" t="str">
        <f aca="false">IF($A43="","",IF(SUMPRODUCT(('Daily Checklist'!$D$2:$D$2000=$A43)*(TEXT('Daily Checklist'!$B$2:$B$2000,"yyyy-mm-dd")=TEXT(($B$4+13),"yyyy-mm-dd")))=0,"-",IF(SUMPRODUCT(('Daily Checklist'!$D$2:$D$2000=$A43)*(TEXT('Daily Checklist'!$B$2:$B$2000,"yyyy-mm-dd")=TEXT(($B$4+13),"yyyy-mm-dd"))*('Daily Checklist'!$L$2:$L$2000="Y"))&gt;0,SUMPRODUCT(('Daily Checklist'!$D$2:$D$2000=$A43)*(TEXT('Daily Checklist'!$B$2:$B$2000,"yyyy-mm-dd")=TEXT(($B$4+13),"yyyy-mm-dd"))*('Daily Checklist'!$F$2:$F$2000="Done"))&amp;"/"&amp;SUMPRODUCT(('Daily Checklist'!$D$2:$D$2000=$A43)*(TEXT('Daily Checklist'!$B$2:$B$2000,"yyyy-mm-dd")=TEXT(($B$4+13),"yyyy-mm-dd")))&amp;" ESC",SUMPRODUCT(('Daily Checklist'!$D$2:$D$2000=$A43)*(TEXT('Daily Checklist'!$B$2:$B$2000,"yyyy-mm-dd")=TEXT(($B$4+13),"yyyy-mm-dd"))*('Daily Checklist'!$F$2:$F$2000="Done"))&amp;"/"&amp;SUMPRODUCT(('Daily Checklist'!$D$2:$D$2000=$A43)*(TEXT('Daily Checklist'!$B$2:$B$2000,"yyyy-mm-dd")=TEXT(($B$4+13),"yyyy-mm-dd"))))))</f>
        <v/>
      </c>
      <c r="P43" s="25" t="str">
        <f aca="false">IF($A43="","",IF(SUMPRODUCT(('Daily Checklist'!$D$2:$D$2000=$A43)*(TEXT('Daily Checklist'!$B$2:$B$2000,"yyyy-mm-dd")=TEXT(($B$4+14),"yyyy-mm-dd")))=0,"-",IF(SUMPRODUCT(('Daily Checklist'!$D$2:$D$2000=$A43)*(TEXT('Daily Checklist'!$B$2:$B$2000,"yyyy-mm-dd")=TEXT(($B$4+14),"yyyy-mm-dd"))*('Daily Checklist'!$L$2:$L$2000="Y"))&gt;0,SUMPRODUCT(('Daily Checklist'!$D$2:$D$2000=$A43)*(TEXT('Daily Checklist'!$B$2:$B$2000,"yyyy-mm-dd")=TEXT(($B$4+14),"yyyy-mm-dd"))*('Daily Checklist'!$F$2:$F$2000="Done"))&amp;"/"&amp;SUMPRODUCT(('Daily Checklist'!$D$2:$D$2000=$A43)*(TEXT('Daily Checklist'!$B$2:$B$2000,"yyyy-mm-dd")=TEXT(($B$4+14),"yyyy-mm-dd")))&amp;" ESC",SUMPRODUCT(('Daily Checklist'!$D$2:$D$2000=$A43)*(TEXT('Daily Checklist'!$B$2:$B$2000,"yyyy-mm-dd")=TEXT(($B$4+14),"yyyy-mm-dd"))*('Daily Checklist'!$F$2:$F$2000="Done"))&amp;"/"&amp;SUMPRODUCT(('Daily Checklist'!$D$2:$D$2000=$A43)*(TEXT('Daily Checklist'!$B$2:$B$2000,"yyyy-mm-dd")=TEXT(($B$4+14),"yyyy-mm-dd"))))))</f>
        <v/>
      </c>
      <c r="Q43" s="25" t="str">
        <f aca="false">IF($A43="","",IF(SUMPRODUCT(('Daily Checklist'!$D$2:$D$2000=$A43)*(TEXT('Daily Checklist'!$B$2:$B$2000,"yyyy-mm-dd")=TEXT(($B$4+15),"yyyy-mm-dd")))=0,"-",IF(SUMPRODUCT(('Daily Checklist'!$D$2:$D$2000=$A43)*(TEXT('Daily Checklist'!$B$2:$B$2000,"yyyy-mm-dd")=TEXT(($B$4+15),"yyyy-mm-dd"))*('Daily Checklist'!$L$2:$L$2000="Y"))&gt;0,SUMPRODUCT(('Daily Checklist'!$D$2:$D$2000=$A43)*(TEXT('Daily Checklist'!$B$2:$B$2000,"yyyy-mm-dd")=TEXT(($B$4+15),"yyyy-mm-dd"))*('Daily Checklist'!$F$2:$F$2000="Done"))&amp;"/"&amp;SUMPRODUCT(('Daily Checklist'!$D$2:$D$2000=$A43)*(TEXT('Daily Checklist'!$B$2:$B$2000,"yyyy-mm-dd")=TEXT(($B$4+15),"yyyy-mm-dd")))&amp;" ESC",SUMPRODUCT(('Daily Checklist'!$D$2:$D$2000=$A43)*(TEXT('Daily Checklist'!$B$2:$B$2000,"yyyy-mm-dd")=TEXT(($B$4+15),"yyyy-mm-dd"))*('Daily Checklist'!$F$2:$F$2000="Done"))&amp;"/"&amp;SUMPRODUCT(('Daily Checklist'!$D$2:$D$2000=$A43)*(TEXT('Daily Checklist'!$B$2:$B$2000,"yyyy-mm-dd")=TEXT(($B$4+15),"yyyy-mm-dd"))))))</f>
        <v/>
      </c>
      <c r="R43" s="25" t="str">
        <f aca="false">IF($A43="","",IF(SUMPRODUCT(('Daily Checklist'!$D$2:$D$2000=$A43)*(TEXT('Daily Checklist'!$B$2:$B$2000,"yyyy-mm-dd")=TEXT(($B$4+16),"yyyy-mm-dd")))=0,"-",IF(SUMPRODUCT(('Daily Checklist'!$D$2:$D$2000=$A43)*(TEXT('Daily Checklist'!$B$2:$B$2000,"yyyy-mm-dd")=TEXT(($B$4+16),"yyyy-mm-dd"))*('Daily Checklist'!$L$2:$L$2000="Y"))&gt;0,SUMPRODUCT(('Daily Checklist'!$D$2:$D$2000=$A43)*(TEXT('Daily Checklist'!$B$2:$B$2000,"yyyy-mm-dd")=TEXT(($B$4+16),"yyyy-mm-dd"))*('Daily Checklist'!$F$2:$F$2000="Done"))&amp;"/"&amp;SUMPRODUCT(('Daily Checklist'!$D$2:$D$2000=$A43)*(TEXT('Daily Checklist'!$B$2:$B$2000,"yyyy-mm-dd")=TEXT(($B$4+16),"yyyy-mm-dd")))&amp;" ESC",SUMPRODUCT(('Daily Checklist'!$D$2:$D$2000=$A43)*(TEXT('Daily Checklist'!$B$2:$B$2000,"yyyy-mm-dd")=TEXT(($B$4+16),"yyyy-mm-dd"))*('Daily Checklist'!$F$2:$F$2000="Done"))&amp;"/"&amp;SUMPRODUCT(('Daily Checklist'!$D$2:$D$2000=$A43)*(TEXT('Daily Checklist'!$B$2:$B$2000,"yyyy-mm-dd")=TEXT(($B$4+16),"yyyy-mm-dd"))))))</f>
        <v/>
      </c>
      <c r="S43" s="25" t="str">
        <f aca="false">IF($A43="","",IF(SUMPRODUCT(('Daily Checklist'!$D$2:$D$2000=$A43)*(TEXT('Daily Checklist'!$B$2:$B$2000,"yyyy-mm-dd")=TEXT(($B$4+17),"yyyy-mm-dd")))=0,"-",IF(SUMPRODUCT(('Daily Checklist'!$D$2:$D$2000=$A43)*(TEXT('Daily Checklist'!$B$2:$B$2000,"yyyy-mm-dd")=TEXT(($B$4+17),"yyyy-mm-dd"))*('Daily Checklist'!$L$2:$L$2000="Y"))&gt;0,SUMPRODUCT(('Daily Checklist'!$D$2:$D$2000=$A43)*(TEXT('Daily Checklist'!$B$2:$B$2000,"yyyy-mm-dd")=TEXT(($B$4+17),"yyyy-mm-dd"))*('Daily Checklist'!$F$2:$F$2000="Done"))&amp;"/"&amp;SUMPRODUCT(('Daily Checklist'!$D$2:$D$2000=$A43)*(TEXT('Daily Checklist'!$B$2:$B$2000,"yyyy-mm-dd")=TEXT(($B$4+17),"yyyy-mm-dd")))&amp;" ESC",SUMPRODUCT(('Daily Checklist'!$D$2:$D$2000=$A43)*(TEXT('Daily Checklist'!$B$2:$B$2000,"yyyy-mm-dd")=TEXT(($B$4+17),"yyyy-mm-dd"))*('Daily Checklist'!$F$2:$F$2000="Done"))&amp;"/"&amp;SUMPRODUCT(('Daily Checklist'!$D$2:$D$2000=$A43)*(TEXT('Daily Checklist'!$B$2:$B$2000,"yyyy-mm-dd")=TEXT(($B$4+17),"yyyy-mm-dd"))))))</f>
        <v/>
      </c>
      <c r="T43" s="25" t="str">
        <f aca="false">IF($A43="","",IF(SUMPRODUCT(('Daily Checklist'!$D$2:$D$2000=$A43)*(TEXT('Daily Checklist'!$B$2:$B$2000,"yyyy-mm-dd")=TEXT(($B$4+18),"yyyy-mm-dd")))=0,"-",IF(SUMPRODUCT(('Daily Checklist'!$D$2:$D$2000=$A43)*(TEXT('Daily Checklist'!$B$2:$B$2000,"yyyy-mm-dd")=TEXT(($B$4+18),"yyyy-mm-dd"))*('Daily Checklist'!$L$2:$L$2000="Y"))&gt;0,SUMPRODUCT(('Daily Checklist'!$D$2:$D$2000=$A43)*(TEXT('Daily Checklist'!$B$2:$B$2000,"yyyy-mm-dd")=TEXT(($B$4+18),"yyyy-mm-dd"))*('Daily Checklist'!$F$2:$F$2000="Done"))&amp;"/"&amp;SUMPRODUCT(('Daily Checklist'!$D$2:$D$2000=$A43)*(TEXT('Daily Checklist'!$B$2:$B$2000,"yyyy-mm-dd")=TEXT(($B$4+18),"yyyy-mm-dd")))&amp;" ESC",SUMPRODUCT(('Daily Checklist'!$D$2:$D$2000=$A43)*(TEXT('Daily Checklist'!$B$2:$B$2000,"yyyy-mm-dd")=TEXT(($B$4+18),"yyyy-mm-dd"))*('Daily Checklist'!$F$2:$F$2000="Done"))&amp;"/"&amp;SUMPRODUCT(('Daily Checklist'!$D$2:$D$2000=$A43)*(TEXT('Daily Checklist'!$B$2:$B$2000,"yyyy-mm-dd")=TEXT(($B$4+18),"yyyy-mm-dd"))))))</f>
        <v/>
      </c>
      <c r="U43" s="25" t="str">
        <f aca="false">IF($A43="","",IF(SUMPRODUCT(('Daily Checklist'!$D$2:$D$2000=$A43)*(TEXT('Daily Checklist'!$B$2:$B$2000,"yyyy-mm-dd")=TEXT(($B$4+19),"yyyy-mm-dd")))=0,"-",IF(SUMPRODUCT(('Daily Checklist'!$D$2:$D$2000=$A43)*(TEXT('Daily Checklist'!$B$2:$B$2000,"yyyy-mm-dd")=TEXT(($B$4+19),"yyyy-mm-dd"))*('Daily Checklist'!$L$2:$L$2000="Y"))&gt;0,SUMPRODUCT(('Daily Checklist'!$D$2:$D$2000=$A43)*(TEXT('Daily Checklist'!$B$2:$B$2000,"yyyy-mm-dd")=TEXT(($B$4+19),"yyyy-mm-dd"))*('Daily Checklist'!$F$2:$F$2000="Done"))&amp;"/"&amp;SUMPRODUCT(('Daily Checklist'!$D$2:$D$2000=$A43)*(TEXT('Daily Checklist'!$B$2:$B$2000,"yyyy-mm-dd")=TEXT(($B$4+19),"yyyy-mm-dd")))&amp;" ESC",SUMPRODUCT(('Daily Checklist'!$D$2:$D$2000=$A43)*(TEXT('Daily Checklist'!$B$2:$B$2000,"yyyy-mm-dd")=TEXT(($B$4+19),"yyyy-mm-dd"))*('Daily Checklist'!$F$2:$F$2000="Done"))&amp;"/"&amp;SUMPRODUCT(('Daily Checklist'!$D$2:$D$2000=$A43)*(TEXT('Daily Checklist'!$B$2:$B$2000,"yyyy-mm-dd")=TEXT(($B$4+19),"yyyy-mm-dd"))))))</f>
        <v/>
      </c>
      <c r="V43" s="25" t="str">
        <f aca="false">IF($A43="","",IF(SUMPRODUCT(('Daily Checklist'!$D$2:$D$2000=$A43)*(TEXT('Daily Checklist'!$B$2:$B$2000,"yyyy-mm-dd")=TEXT(($B$4+20),"yyyy-mm-dd")))=0,"-",IF(SUMPRODUCT(('Daily Checklist'!$D$2:$D$2000=$A43)*(TEXT('Daily Checklist'!$B$2:$B$2000,"yyyy-mm-dd")=TEXT(($B$4+20),"yyyy-mm-dd"))*('Daily Checklist'!$L$2:$L$2000="Y"))&gt;0,SUMPRODUCT(('Daily Checklist'!$D$2:$D$2000=$A43)*(TEXT('Daily Checklist'!$B$2:$B$2000,"yyyy-mm-dd")=TEXT(($B$4+20),"yyyy-mm-dd"))*('Daily Checklist'!$F$2:$F$2000="Done"))&amp;"/"&amp;SUMPRODUCT(('Daily Checklist'!$D$2:$D$2000=$A43)*(TEXT('Daily Checklist'!$B$2:$B$2000,"yyyy-mm-dd")=TEXT(($B$4+20),"yyyy-mm-dd")))&amp;" ESC",SUMPRODUCT(('Daily Checklist'!$D$2:$D$2000=$A43)*(TEXT('Daily Checklist'!$B$2:$B$2000,"yyyy-mm-dd")=TEXT(($B$4+20),"yyyy-mm-dd"))*('Daily Checklist'!$F$2:$F$2000="Done"))&amp;"/"&amp;SUMPRODUCT(('Daily Checklist'!$D$2:$D$2000=$A43)*(TEXT('Daily Checklist'!$B$2:$B$2000,"yyyy-mm-dd")=TEXT(($B$4+20),"yyyy-mm-dd"))))))</f>
        <v/>
      </c>
      <c r="W43" s="25" t="str">
        <f aca="false">IF($A43="","",IF(SUMPRODUCT(('Daily Checklist'!$D$2:$D$2000=$A43)*(TEXT('Daily Checklist'!$B$2:$B$2000,"yyyy-mm-dd")=TEXT(($B$4+21),"yyyy-mm-dd")))=0,"-",IF(SUMPRODUCT(('Daily Checklist'!$D$2:$D$2000=$A43)*(TEXT('Daily Checklist'!$B$2:$B$2000,"yyyy-mm-dd")=TEXT(($B$4+21),"yyyy-mm-dd"))*('Daily Checklist'!$L$2:$L$2000="Y"))&gt;0,SUMPRODUCT(('Daily Checklist'!$D$2:$D$2000=$A43)*(TEXT('Daily Checklist'!$B$2:$B$2000,"yyyy-mm-dd")=TEXT(($B$4+21),"yyyy-mm-dd"))*('Daily Checklist'!$F$2:$F$2000="Done"))&amp;"/"&amp;SUMPRODUCT(('Daily Checklist'!$D$2:$D$2000=$A43)*(TEXT('Daily Checklist'!$B$2:$B$2000,"yyyy-mm-dd")=TEXT(($B$4+21),"yyyy-mm-dd")))&amp;" ESC",SUMPRODUCT(('Daily Checklist'!$D$2:$D$2000=$A43)*(TEXT('Daily Checklist'!$B$2:$B$2000,"yyyy-mm-dd")=TEXT(($B$4+21),"yyyy-mm-dd"))*('Daily Checklist'!$F$2:$F$2000="Done"))&amp;"/"&amp;SUMPRODUCT(('Daily Checklist'!$D$2:$D$2000=$A43)*(TEXT('Daily Checklist'!$B$2:$B$2000,"yyyy-mm-dd")=TEXT(($B$4+21),"yyyy-mm-dd"))))))</f>
        <v/>
      </c>
      <c r="X43" s="25" t="str">
        <f aca="false">IF($A43="","",IF(SUMPRODUCT(('Daily Checklist'!$D$2:$D$2000=$A43)*(TEXT('Daily Checklist'!$B$2:$B$2000,"yyyy-mm-dd")=TEXT(($B$4+22),"yyyy-mm-dd")))=0,"-",IF(SUMPRODUCT(('Daily Checklist'!$D$2:$D$2000=$A43)*(TEXT('Daily Checklist'!$B$2:$B$2000,"yyyy-mm-dd")=TEXT(($B$4+22),"yyyy-mm-dd"))*('Daily Checklist'!$L$2:$L$2000="Y"))&gt;0,SUMPRODUCT(('Daily Checklist'!$D$2:$D$2000=$A43)*(TEXT('Daily Checklist'!$B$2:$B$2000,"yyyy-mm-dd")=TEXT(($B$4+22),"yyyy-mm-dd"))*('Daily Checklist'!$F$2:$F$2000="Done"))&amp;"/"&amp;SUMPRODUCT(('Daily Checklist'!$D$2:$D$2000=$A43)*(TEXT('Daily Checklist'!$B$2:$B$2000,"yyyy-mm-dd")=TEXT(($B$4+22),"yyyy-mm-dd")))&amp;" ESC",SUMPRODUCT(('Daily Checklist'!$D$2:$D$2000=$A43)*(TEXT('Daily Checklist'!$B$2:$B$2000,"yyyy-mm-dd")=TEXT(($B$4+22),"yyyy-mm-dd"))*('Daily Checklist'!$F$2:$F$2000="Done"))&amp;"/"&amp;SUMPRODUCT(('Daily Checklist'!$D$2:$D$2000=$A43)*(TEXT('Daily Checklist'!$B$2:$B$2000,"yyyy-mm-dd")=TEXT(($B$4+22),"yyyy-mm-dd"))))))</f>
        <v/>
      </c>
      <c r="Y43" s="25" t="str">
        <f aca="false">IF($A43="","",IF(SUMPRODUCT(('Daily Checklist'!$D$2:$D$2000=$A43)*(TEXT('Daily Checklist'!$B$2:$B$2000,"yyyy-mm-dd")=TEXT(($B$4+23),"yyyy-mm-dd")))=0,"-",IF(SUMPRODUCT(('Daily Checklist'!$D$2:$D$2000=$A43)*(TEXT('Daily Checklist'!$B$2:$B$2000,"yyyy-mm-dd")=TEXT(($B$4+23),"yyyy-mm-dd"))*('Daily Checklist'!$L$2:$L$2000="Y"))&gt;0,SUMPRODUCT(('Daily Checklist'!$D$2:$D$2000=$A43)*(TEXT('Daily Checklist'!$B$2:$B$2000,"yyyy-mm-dd")=TEXT(($B$4+23),"yyyy-mm-dd"))*('Daily Checklist'!$F$2:$F$2000="Done"))&amp;"/"&amp;SUMPRODUCT(('Daily Checklist'!$D$2:$D$2000=$A43)*(TEXT('Daily Checklist'!$B$2:$B$2000,"yyyy-mm-dd")=TEXT(($B$4+23),"yyyy-mm-dd")))&amp;" ESC",SUMPRODUCT(('Daily Checklist'!$D$2:$D$2000=$A43)*(TEXT('Daily Checklist'!$B$2:$B$2000,"yyyy-mm-dd")=TEXT(($B$4+23),"yyyy-mm-dd"))*('Daily Checklist'!$F$2:$F$2000="Done"))&amp;"/"&amp;SUMPRODUCT(('Daily Checklist'!$D$2:$D$2000=$A43)*(TEXT('Daily Checklist'!$B$2:$B$2000,"yyyy-mm-dd")=TEXT(($B$4+23),"yyyy-mm-dd"))))))</f>
        <v/>
      </c>
      <c r="Z43" s="25" t="str">
        <f aca="false">IF($A43="","",IF(SUMPRODUCT(('Daily Checklist'!$D$2:$D$2000=$A43)*(TEXT('Daily Checklist'!$B$2:$B$2000,"yyyy-mm-dd")=TEXT(($B$4+24),"yyyy-mm-dd")))=0,"-",IF(SUMPRODUCT(('Daily Checklist'!$D$2:$D$2000=$A43)*(TEXT('Daily Checklist'!$B$2:$B$2000,"yyyy-mm-dd")=TEXT(($B$4+24),"yyyy-mm-dd"))*('Daily Checklist'!$L$2:$L$2000="Y"))&gt;0,SUMPRODUCT(('Daily Checklist'!$D$2:$D$2000=$A43)*(TEXT('Daily Checklist'!$B$2:$B$2000,"yyyy-mm-dd")=TEXT(($B$4+24),"yyyy-mm-dd"))*('Daily Checklist'!$F$2:$F$2000="Done"))&amp;"/"&amp;SUMPRODUCT(('Daily Checklist'!$D$2:$D$2000=$A43)*(TEXT('Daily Checklist'!$B$2:$B$2000,"yyyy-mm-dd")=TEXT(($B$4+24),"yyyy-mm-dd")))&amp;" ESC",SUMPRODUCT(('Daily Checklist'!$D$2:$D$2000=$A43)*(TEXT('Daily Checklist'!$B$2:$B$2000,"yyyy-mm-dd")=TEXT(($B$4+24),"yyyy-mm-dd"))*('Daily Checklist'!$F$2:$F$2000="Done"))&amp;"/"&amp;SUMPRODUCT(('Daily Checklist'!$D$2:$D$2000=$A43)*(TEXT('Daily Checklist'!$B$2:$B$2000,"yyyy-mm-dd")=TEXT(($B$4+24),"yyyy-mm-dd"))))))</f>
        <v/>
      </c>
      <c r="AA43" s="25" t="str">
        <f aca="false">IF($A43="","",IF(SUMPRODUCT(('Daily Checklist'!$D$2:$D$2000=$A43)*(TEXT('Daily Checklist'!$B$2:$B$2000,"yyyy-mm-dd")=TEXT(($B$4+25),"yyyy-mm-dd")))=0,"-",IF(SUMPRODUCT(('Daily Checklist'!$D$2:$D$2000=$A43)*(TEXT('Daily Checklist'!$B$2:$B$2000,"yyyy-mm-dd")=TEXT(($B$4+25),"yyyy-mm-dd"))*('Daily Checklist'!$L$2:$L$2000="Y"))&gt;0,SUMPRODUCT(('Daily Checklist'!$D$2:$D$2000=$A43)*(TEXT('Daily Checklist'!$B$2:$B$2000,"yyyy-mm-dd")=TEXT(($B$4+25),"yyyy-mm-dd"))*('Daily Checklist'!$F$2:$F$2000="Done"))&amp;"/"&amp;SUMPRODUCT(('Daily Checklist'!$D$2:$D$2000=$A43)*(TEXT('Daily Checklist'!$B$2:$B$2000,"yyyy-mm-dd")=TEXT(($B$4+25),"yyyy-mm-dd")))&amp;" ESC",SUMPRODUCT(('Daily Checklist'!$D$2:$D$2000=$A43)*(TEXT('Daily Checklist'!$B$2:$B$2000,"yyyy-mm-dd")=TEXT(($B$4+25),"yyyy-mm-dd"))*('Daily Checklist'!$F$2:$F$2000="Done"))&amp;"/"&amp;SUMPRODUCT(('Daily Checklist'!$D$2:$D$2000=$A43)*(TEXT('Daily Checklist'!$B$2:$B$2000,"yyyy-mm-dd")=TEXT(($B$4+25),"yyyy-mm-dd"))))))</f>
        <v/>
      </c>
      <c r="AB43" s="25" t="str">
        <f aca="false">IF($A43="","",IF(SUMPRODUCT(('Daily Checklist'!$D$2:$D$2000=$A43)*(TEXT('Daily Checklist'!$B$2:$B$2000,"yyyy-mm-dd")=TEXT(($B$4+26),"yyyy-mm-dd")))=0,"-",IF(SUMPRODUCT(('Daily Checklist'!$D$2:$D$2000=$A43)*(TEXT('Daily Checklist'!$B$2:$B$2000,"yyyy-mm-dd")=TEXT(($B$4+26),"yyyy-mm-dd"))*('Daily Checklist'!$L$2:$L$2000="Y"))&gt;0,SUMPRODUCT(('Daily Checklist'!$D$2:$D$2000=$A43)*(TEXT('Daily Checklist'!$B$2:$B$2000,"yyyy-mm-dd")=TEXT(($B$4+26),"yyyy-mm-dd"))*('Daily Checklist'!$F$2:$F$2000="Done"))&amp;"/"&amp;SUMPRODUCT(('Daily Checklist'!$D$2:$D$2000=$A43)*(TEXT('Daily Checklist'!$B$2:$B$2000,"yyyy-mm-dd")=TEXT(($B$4+26),"yyyy-mm-dd")))&amp;" ESC",SUMPRODUCT(('Daily Checklist'!$D$2:$D$2000=$A43)*(TEXT('Daily Checklist'!$B$2:$B$2000,"yyyy-mm-dd")=TEXT(($B$4+26),"yyyy-mm-dd"))*('Daily Checklist'!$F$2:$F$2000="Done"))&amp;"/"&amp;SUMPRODUCT(('Daily Checklist'!$D$2:$D$2000=$A43)*(TEXT('Daily Checklist'!$B$2:$B$2000,"yyyy-mm-dd")=TEXT(($B$4+26),"yyyy-mm-dd"))))))</f>
        <v/>
      </c>
      <c r="AC43" s="25" t="str">
        <f aca="false">IF($A43="","",IF(SUMPRODUCT(('Daily Checklist'!$D$2:$D$2000=$A43)*(TEXT('Daily Checklist'!$B$2:$B$2000,"yyyy-mm-dd")=TEXT(($B$4+27),"yyyy-mm-dd")))=0,"-",IF(SUMPRODUCT(('Daily Checklist'!$D$2:$D$2000=$A43)*(TEXT('Daily Checklist'!$B$2:$B$2000,"yyyy-mm-dd")=TEXT(($B$4+27),"yyyy-mm-dd"))*('Daily Checklist'!$L$2:$L$2000="Y"))&gt;0,SUMPRODUCT(('Daily Checklist'!$D$2:$D$2000=$A43)*(TEXT('Daily Checklist'!$B$2:$B$2000,"yyyy-mm-dd")=TEXT(($B$4+27),"yyyy-mm-dd"))*('Daily Checklist'!$F$2:$F$2000="Done"))&amp;"/"&amp;SUMPRODUCT(('Daily Checklist'!$D$2:$D$2000=$A43)*(TEXT('Daily Checklist'!$B$2:$B$2000,"yyyy-mm-dd")=TEXT(($B$4+27),"yyyy-mm-dd")))&amp;" ESC",SUMPRODUCT(('Daily Checklist'!$D$2:$D$2000=$A43)*(TEXT('Daily Checklist'!$B$2:$B$2000,"yyyy-mm-dd")=TEXT(($B$4+27),"yyyy-mm-dd"))*('Daily Checklist'!$F$2:$F$2000="Done"))&amp;"/"&amp;SUMPRODUCT(('Daily Checklist'!$D$2:$D$2000=$A43)*(TEXT('Daily Checklist'!$B$2:$B$2000,"yyyy-mm-dd")=TEXT(($B$4+27),"yyyy-mm-dd"))))))</f>
        <v/>
      </c>
      <c r="AD43" s="25" t="str">
        <f aca="false">IF($A43="","",IF(SUMPRODUCT(('Daily Checklist'!$D$2:$D$2000=$A43)*(TEXT('Daily Checklist'!$B$2:$B$2000,"yyyy-mm-dd")=TEXT(($B$4+28),"yyyy-mm-dd")))=0,"-",IF(SUMPRODUCT(('Daily Checklist'!$D$2:$D$2000=$A43)*(TEXT('Daily Checklist'!$B$2:$B$2000,"yyyy-mm-dd")=TEXT(($B$4+28),"yyyy-mm-dd"))*('Daily Checklist'!$L$2:$L$2000="Y"))&gt;0,SUMPRODUCT(('Daily Checklist'!$D$2:$D$2000=$A43)*(TEXT('Daily Checklist'!$B$2:$B$2000,"yyyy-mm-dd")=TEXT(($B$4+28),"yyyy-mm-dd"))*('Daily Checklist'!$F$2:$F$2000="Done"))&amp;"/"&amp;SUMPRODUCT(('Daily Checklist'!$D$2:$D$2000=$A43)*(TEXT('Daily Checklist'!$B$2:$B$2000,"yyyy-mm-dd")=TEXT(($B$4+28),"yyyy-mm-dd")))&amp;" ESC",SUMPRODUCT(('Daily Checklist'!$D$2:$D$2000=$A43)*(TEXT('Daily Checklist'!$B$2:$B$2000,"yyyy-mm-dd")=TEXT(($B$4+28),"yyyy-mm-dd"))*('Daily Checklist'!$F$2:$F$2000="Done"))&amp;"/"&amp;SUMPRODUCT(('Daily Checklist'!$D$2:$D$2000=$A43)*(TEXT('Daily Checklist'!$B$2:$B$2000,"yyyy-mm-dd")=TEXT(($B$4+28),"yyyy-mm-dd"))))))</f>
        <v/>
      </c>
      <c r="AE43" s="25" t="str">
        <f aca="false">IF($A43="","",IF(SUMPRODUCT(('Daily Checklist'!$D$2:$D$2000=$A43)*(TEXT('Daily Checklist'!$B$2:$B$2000,"yyyy-mm-dd")=TEXT(($B$4+29),"yyyy-mm-dd")))=0,"-",IF(SUMPRODUCT(('Daily Checklist'!$D$2:$D$2000=$A43)*(TEXT('Daily Checklist'!$B$2:$B$2000,"yyyy-mm-dd")=TEXT(($B$4+29),"yyyy-mm-dd"))*('Daily Checklist'!$L$2:$L$2000="Y"))&gt;0,SUMPRODUCT(('Daily Checklist'!$D$2:$D$2000=$A43)*(TEXT('Daily Checklist'!$B$2:$B$2000,"yyyy-mm-dd")=TEXT(($B$4+29),"yyyy-mm-dd"))*('Daily Checklist'!$F$2:$F$2000="Done"))&amp;"/"&amp;SUMPRODUCT(('Daily Checklist'!$D$2:$D$2000=$A43)*(TEXT('Daily Checklist'!$B$2:$B$2000,"yyyy-mm-dd")=TEXT(($B$4+29),"yyyy-mm-dd")))&amp;" ESC",SUMPRODUCT(('Daily Checklist'!$D$2:$D$2000=$A43)*(TEXT('Daily Checklist'!$B$2:$B$2000,"yyyy-mm-dd")=TEXT(($B$4+29),"yyyy-mm-dd"))*('Daily Checklist'!$F$2:$F$2000="Done"))&amp;"/"&amp;SUMPRODUCT(('Daily Checklist'!$D$2:$D$2000=$A43)*(TEXT('Daily Checklist'!$B$2:$B$2000,"yyyy-mm-dd")=TEXT(($B$4+29),"yyyy-mm-dd"))))))</f>
        <v/>
      </c>
      <c r="AF43" s="25" t="str">
        <f aca="false">IF($A43="","",IF(SUMPRODUCT(('Daily Checklist'!$D$2:$D$2000=$A43)*(TEXT('Daily Checklist'!$B$2:$B$2000,"yyyy-mm-dd")=TEXT(($B$4+30),"yyyy-mm-dd")))=0,"-",IF(SUMPRODUCT(('Daily Checklist'!$D$2:$D$2000=$A43)*(TEXT('Daily Checklist'!$B$2:$B$2000,"yyyy-mm-dd")=TEXT(($B$4+30),"yyyy-mm-dd"))*('Daily Checklist'!$L$2:$L$2000="Y"))&gt;0,SUMPRODUCT(('Daily Checklist'!$D$2:$D$2000=$A43)*(TEXT('Daily Checklist'!$B$2:$B$2000,"yyyy-mm-dd")=TEXT(($B$4+30),"yyyy-mm-dd"))*('Daily Checklist'!$F$2:$F$2000="Done"))&amp;"/"&amp;SUMPRODUCT(('Daily Checklist'!$D$2:$D$2000=$A43)*(TEXT('Daily Checklist'!$B$2:$B$2000,"yyyy-mm-dd")=TEXT(($B$4+30),"yyyy-mm-dd")))&amp;" ESC",SUMPRODUCT(('Daily Checklist'!$D$2:$D$2000=$A43)*(TEXT('Daily Checklist'!$B$2:$B$2000,"yyyy-mm-dd")=TEXT(($B$4+30),"yyyy-mm-dd"))*('Daily Checklist'!$F$2:$F$2000="Done"))&amp;"/"&amp;SUMPRODUCT(('Daily Checklist'!$D$2:$D$2000=$A43)*(TEXT('Daily Checklist'!$B$2:$B$2000,"yyyy-mm-dd")=TEXT(($B$4+30),"yyyy-mm-dd"))))))</f>
        <v/>
      </c>
    </row>
    <row r="44" customFormat="false" ht="15" hidden="false" customHeight="true" outlineLevel="0" collapsed="false">
      <c r="A44" s="24" t="str">
        <f aca="false">IFERROR(IF(Employees!A39="","",Employees!A39),"")</f>
        <v/>
      </c>
      <c r="B44" s="25" t="str">
        <f aca="false">IF($A44="","",IF(SUMPRODUCT(('Daily Checklist'!$D$2:$D$2000=$A44)*(TEXT('Daily Checklist'!$B$2:$B$2000,"yyyy-mm-dd")=TEXT(($B$4+0),"yyyy-mm-dd")))=0,"-",IF(SUMPRODUCT(('Daily Checklist'!$D$2:$D$2000=$A44)*(TEXT('Daily Checklist'!$B$2:$B$2000,"yyyy-mm-dd")=TEXT(($B$4+0),"yyyy-mm-dd"))*('Daily Checklist'!$L$2:$L$2000="Y"))&gt;0,SUMPRODUCT(('Daily Checklist'!$D$2:$D$2000=$A44)*(TEXT('Daily Checklist'!$B$2:$B$2000,"yyyy-mm-dd")=TEXT(($B$4+0),"yyyy-mm-dd"))*('Daily Checklist'!$F$2:$F$2000="Done"))&amp;"/"&amp;SUMPRODUCT(('Daily Checklist'!$D$2:$D$2000=$A44)*(TEXT('Daily Checklist'!$B$2:$B$2000,"yyyy-mm-dd")=TEXT(($B$4+0),"yyyy-mm-dd")))&amp;" ESC",SUMPRODUCT(('Daily Checklist'!$D$2:$D$2000=$A44)*(TEXT('Daily Checklist'!$B$2:$B$2000,"yyyy-mm-dd")=TEXT(($B$4+0),"yyyy-mm-dd"))*('Daily Checklist'!$F$2:$F$2000="Done"))&amp;"/"&amp;SUMPRODUCT(('Daily Checklist'!$D$2:$D$2000=$A44)*(TEXT('Daily Checklist'!$B$2:$B$2000,"yyyy-mm-dd")=TEXT(($B$4+0),"yyyy-mm-dd"))))))</f>
        <v/>
      </c>
      <c r="C44" s="25" t="str">
        <f aca="false">IF($A44="","",IF(SUMPRODUCT(('Daily Checklist'!$D$2:$D$2000=$A44)*(TEXT('Daily Checklist'!$B$2:$B$2000,"yyyy-mm-dd")=TEXT(($B$4+1),"yyyy-mm-dd")))=0,"-",IF(SUMPRODUCT(('Daily Checklist'!$D$2:$D$2000=$A44)*(TEXT('Daily Checklist'!$B$2:$B$2000,"yyyy-mm-dd")=TEXT(($B$4+1),"yyyy-mm-dd"))*('Daily Checklist'!$L$2:$L$2000="Y"))&gt;0,SUMPRODUCT(('Daily Checklist'!$D$2:$D$2000=$A44)*(TEXT('Daily Checklist'!$B$2:$B$2000,"yyyy-mm-dd")=TEXT(($B$4+1),"yyyy-mm-dd"))*('Daily Checklist'!$F$2:$F$2000="Done"))&amp;"/"&amp;SUMPRODUCT(('Daily Checklist'!$D$2:$D$2000=$A44)*(TEXT('Daily Checklist'!$B$2:$B$2000,"yyyy-mm-dd")=TEXT(($B$4+1),"yyyy-mm-dd")))&amp;" ESC",SUMPRODUCT(('Daily Checklist'!$D$2:$D$2000=$A44)*(TEXT('Daily Checklist'!$B$2:$B$2000,"yyyy-mm-dd")=TEXT(($B$4+1),"yyyy-mm-dd"))*('Daily Checklist'!$F$2:$F$2000="Done"))&amp;"/"&amp;SUMPRODUCT(('Daily Checklist'!$D$2:$D$2000=$A44)*(TEXT('Daily Checklist'!$B$2:$B$2000,"yyyy-mm-dd")=TEXT(($B$4+1),"yyyy-mm-dd"))))))</f>
        <v/>
      </c>
      <c r="D44" s="25" t="str">
        <f aca="false">IF($A44="","",IF(SUMPRODUCT(('Daily Checklist'!$D$2:$D$2000=$A44)*(TEXT('Daily Checklist'!$B$2:$B$2000,"yyyy-mm-dd")=TEXT(($B$4+2),"yyyy-mm-dd")))=0,"-",IF(SUMPRODUCT(('Daily Checklist'!$D$2:$D$2000=$A44)*(TEXT('Daily Checklist'!$B$2:$B$2000,"yyyy-mm-dd")=TEXT(($B$4+2),"yyyy-mm-dd"))*('Daily Checklist'!$L$2:$L$2000="Y"))&gt;0,SUMPRODUCT(('Daily Checklist'!$D$2:$D$2000=$A44)*(TEXT('Daily Checklist'!$B$2:$B$2000,"yyyy-mm-dd")=TEXT(($B$4+2),"yyyy-mm-dd"))*('Daily Checklist'!$F$2:$F$2000="Done"))&amp;"/"&amp;SUMPRODUCT(('Daily Checklist'!$D$2:$D$2000=$A44)*(TEXT('Daily Checklist'!$B$2:$B$2000,"yyyy-mm-dd")=TEXT(($B$4+2),"yyyy-mm-dd")))&amp;" ESC",SUMPRODUCT(('Daily Checklist'!$D$2:$D$2000=$A44)*(TEXT('Daily Checklist'!$B$2:$B$2000,"yyyy-mm-dd")=TEXT(($B$4+2),"yyyy-mm-dd"))*('Daily Checklist'!$F$2:$F$2000="Done"))&amp;"/"&amp;SUMPRODUCT(('Daily Checklist'!$D$2:$D$2000=$A44)*(TEXT('Daily Checklist'!$B$2:$B$2000,"yyyy-mm-dd")=TEXT(($B$4+2),"yyyy-mm-dd"))))))</f>
        <v/>
      </c>
      <c r="E44" s="25" t="str">
        <f aca="false">IF($A44="","",IF(SUMPRODUCT(('Daily Checklist'!$D$2:$D$2000=$A44)*(TEXT('Daily Checklist'!$B$2:$B$2000,"yyyy-mm-dd")=TEXT(($B$4+3),"yyyy-mm-dd")))=0,"-",IF(SUMPRODUCT(('Daily Checklist'!$D$2:$D$2000=$A44)*(TEXT('Daily Checklist'!$B$2:$B$2000,"yyyy-mm-dd")=TEXT(($B$4+3),"yyyy-mm-dd"))*('Daily Checklist'!$L$2:$L$2000="Y"))&gt;0,SUMPRODUCT(('Daily Checklist'!$D$2:$D$2000=$A44)*(TEXT('Daily Checklist'!$B$2:$B$2000,"yyyy-mm-dd")=TEXT(($B$4+3),"yyyy-mm-dd"))*('Daily Checklist'!$F$2:$F$2000="Done"))&amp;"/"&amp;SUMPRODUCT(('Daily Checklist'!$D$2:$D$2000=$A44)*(TEXT('Daily Checklist'!$B$2:$B$2000,"yyyy-mm-dd")=TEXT(($B$4+3),"yyyy-mm-dd")))&amp;" ESC",SUMPRODUCT(('Daily Checklist'!$D$2:$D$2000=$A44)*(TEXT('Daily Checklist'!$B$2:$B$2000,"yyyy-mm-dd")=TEXT(($B$4+3),"yyyy-mm-dd"))*('Daily Checklist'!$F$2:$F$2000="Done"))&amp;"/"&amp;SUMPRODUCT(('Daily Checklist'!$D$2:$D$2000=$A44)*(TEXT('Daily Checklist'!$B$2:$B$2000,"yyyy-mm-dd")=TEXT(($B$4+3),"yyyy-mm-dd"))))))</f>
        <v/>
      </c>
      <c r="F44" s="25" t="str">
        <f aca="false">IF($A44="","",IF(SUMPRODUCT(('Daily Checklist'!$D$2:$D$2000=$A44)*(TEXT('Daily Checklist'!$B$2:$B$2000,"yyyy-mm-dd")=TEXT(($B$4+4),"yyyy-mm-dd")))=0,"-",IF(SUMPRODUCT(('Daily Checklist'!$D$2:$D$2000=$A44)*(TEXT('Daily Checklist'!$B$2:$B$2000,"yyyy-mm-dd")=TEXT(($B$4+4),"yyyy-mm-dd"))*('Daily Checklist'!$L$2:$L$2000="Y"))&gt;0,SUMPRODUCT(('Daily Checklist'!$D$2:$D$2000=$A44)*(TEXT('Daily Checklist'!$B$2:$B$2000,"yyyy-mm-dd")=TEXT(($B$4+4),"yyyy-mm-dd"))*('Daily Checklist'!$F$2:$F$2000="Done"))&amp;"/"&amp;SUMPRODUCT(('Daily Checklist'!$D$2:$D$2000=$A44)*(TEXT('Daily Checklist'!$B$2:$B$2000,"yyyy-mm-dd")=TEXT(($B$4+4),"yyyy-mm-dd")))&amp;" ESC",SUMPRODUCT(('Daily Checklist'!$D$2:$D$2000=$A44)*(TEXT('Daily Checklist'!$B$2:$B$2000,"yyyy-mm-dd")=TEXT(($B$4+4),"yyyy-mm-dd"))*('Daily Checklist'!$F$2:$F$2000="Done"))&amp;"/"&amp;SUMPRODUCT(('Daily Checklist'!$D$2:$D$2000=$A44)*(TEXT('Daily Checklist'!$B$2:$B$2000,"yyyy-mm-dd")=TEXT(($B$4+4),"yyyy-mm-dd"))))))</f>
        <v/>
      </c>
      <c r="G44" s="25" t="str">
        <f aca="false">IF($A44="","",IF(SUMPRODUCT(('Daily Checklist'!$D$2:$D$2000=$A44)*(TEXT('Daily Checklist'!$B$2:$B$2000,"yyyy-mm-dd")=TEXT(($B$4+5),"yyyy-mm-dd")))=0,"-",IF(SUMPRODUCT(('Daily Checklist'!$D$2:$D$2000=$A44)*(TEXT('Daily Checklist'!$B$2:$B$2000,"yyyy-mm-dd")=TEXT(($B$4+5),"yyyy-mm-dd"))*('Daily Checklist'!$L$2:$L$2000="Y"))&gt;0,SUMPRODUCT(('Daily Checklist'!$D$2:$D$2000=$A44)*(TEXT('Daily Checklist'!$B$2:$B$2000,"yyyy-mm-dd")=TEXT(($B$4+5),"yyyy-mm-dd"))*('Daily Checklist'!$F$2:$F$2000="Done"))&amp;"/"&amp;SUMPRODUCT(('Daily Checklist'!$D$2:$D$2000=$A44)*(TEXT('Daily Checklist'!$B$2:$B$2000,"yyyy-mm-dd")=TEXT(($B$4+5),"yyyy-mm-dd")))&amp;" ESC",SUMPRODUCT(('Daily Checklist'!$D$2:$D$2000=$A44)*(TEXT('Daily Checklist'!$B$2:$B$2000,"yyyy-mm-dd")=TEXT(($B$4+5),"yyyy-mm-dd"))*('Daily Checklist'!$F$2:$F$2000="Done"))&amp;"/"&amp;SUMPRODUCT(('Daily Checklist'!$D$2:$D$2000=$A44)*(TEXT('Daily Checklist'!$B$2:$B$2000,"yyyy-mm-dd")=TEXT(($B$4+5),"yyyy-mm-dd"))))))</f>
        <v/>
      </c>
      <c r="H44" s="25" t="str">
        <f aca="false">IF($A44="","",IF(SUMPRODUCT(('Daily Checklist'!$D$2:$D$2000=$A44)*(TEXT('Daily Checklist'!$B$2:$B$2000,"yyyy-mm-dd")=TEXT(($B$4+6),"yyyy-mm-dd")))=0,"-",IF(SUMPRODUCT(('Daily Checklist'!$D$2:$D$2000=$A44)*(TEXT('Daily Checklist'!$B$2:$B$2000,"yyyy-mm-dd")=TEXT(($B$4+6),"yyyy-mm-dd"))*('Daily Checklist'!$L$2:$L$2000="Y"))&gt;0,SUMPRODUCT(('Daily Checklist'!$D$2:$D$2000=$A44)*(TEXT('Daily Checklist'!$B$2:$B$2000,"yyyy-mm-dd")=TEXT(($B$4+6),"yyyy-mm-dd"))*('Daily Checklist'!$F$2:$F$2000="Done"))&amp;"/"&amp;SUMPRODUCT(('Daily Checklist'!$D$2:$D$2000=$A44)*(TEXT('Daily Checklist'!$B$2:$B$2000,"yyyy-mm-dd")=TEXT(($B$4+6),"yyyy-mm-dd")))&amp;" ESC",SUMPRODUCT(('Daily Checklist'!$D$2:$D$2000=$A44)*(TEXT('Daily Checklist'!$B$2:$B$2000,"yyyy-mm-dd")=TEXT(($B$4+6),"yyyy-mm-dd"))*('Daily Checklist'!$F$2:$F$2000="Done"))&amp;"/"&amp;SUMPRODUCT(('Daily Checklist'!$D$2:$D$2000=$A44)*(TEXT('Daily Checklist'!$B$2:$B$2000,"yyyy-mm-dd")=TEXT(($B$4+6),"yyyy-mm-dd"))))))</f>
        <v/>
      </c>
      <c r="I44" s="25" t="str">
        <f aca="false">IF($A44="","",IF(SUMPRODUCT(('Daily Checklist'!$D$2:$D$2000=$A44)*(TEXT('Daily Checklist'!$B$2:$B$2000,"yyyy-mm-dd")=TEXT(($B$4+7),"yyyy-mm-dd")))=0,"-",IF(SUMPRODUCT(('Daily Checklist'!$D$2:$D$2000=$A44)*(TEXT('Daily Checklist'!$B$2:$B$2000,"yyyy-mm-dd")=TEXT(($B$4+7),"yyyy-mm-dd"))*('Daily Checklist'!$L$2:$L$2000="Y"))&gt;0,SUMPRODUCT(('Daily Checklist'!$D$2:$D$2000=$A44)*(TEXT('Daily Checklist'!$B$2:$B$2000,"yyyy-mm-dd")=TEXT(($B$4+7),"yyyy-mm-dd"))*('Daily Checklist'!$F$2:$F$2000="Done"))&amp;"/"&amp;SUMPRODUCT(('Daily Checklist'!$D$2:$D$2000=$A44)*(TEXT('Daily Checklist'!$B$2:$B$2000,"yyyy-mm-dd")=TEXT(($B$4+7),"yyyy-mm-dd")))&amp;" ESC",SUMPRODUCT(('Daily Checklist'!$D$2:$D$2000=$A44)*(TEXT('Daily Checklist'!$B$2:$B$2000,"yyyy-mm-dd")=TEXT(($B$4+7),"yyyy-mm-dd"))*('Daily Checklist'!$F$2:$F$2000="Done"))&amp;"/"&amp;SUMPRODUCT(('Daily Checklist'!$D$2:$D$2000=$A44)*(TEXT('Daily Checklist'!$B$2:$B$2000,"yyyy-mm-dd")=TEXT(($B$4+7),"yyyy-mm-dd"))))))</f>
        <v/>
      </c>
      <c r="J44" s="25" t="str">
        <f aca="false">IF($A44="","",IF(SUMPRODUCT(('Daily Checklist'!$D$2:$D$2000=$A44)*(TEXT('Daily Checklist'!$B$2:$B$2000,"yyyy-mm-dd")=TEXT(($B$4+8),"yyyy-mm-dd")))=0,"-",IF(SUMPRODUCT(('Daily Checklist'!$D$2:$D$2000=$A44)*(TEXT('Daily Checklist'!$B$2:$B$2000,"yyyy-mm-dd")=TEXT(($B$4+8),"yyyy-mm-dd"))*('Daily Checklist'!$L$2:$L$2000="Y"))&gt;0,SUMPRODUCT(('Daily Checklist'!$D$2:$D$2000=$A44)*(TEXT('Daily Checklist'!$B$2:$B$2000,"yyyy-mm-dd")=TEXT(($B$4+8),"yyyy-mm-dd"))*('Daily Checklist'!$F$2:$F$2000="Done"))&amp;"/"&amp;SUMPRODUCT(('Daily Checklist'!$D$2:$D$2000=$A44)*(TEXT('Daily Checklist'!$B$2:$B$2000,"yyyy-mm-dd")=TEXT(($B$4+8),"yyyy-mm-dd")))&amp;" ESC",SUMPRODUCT(('Daily Checklist'!$D$2:$D$2000=$A44)*(TEXT('Daily Checklist'!$B$2:$B$2000,"yyyy-mm-dd")=TEXT(($B$4+8),"yyyy-mm-dd"))*('Daily Checklist'!$F$2:$F$2000="Done"))&amp;"/"&amp;SUMPRODUCT(('Daily Checklist'!$D$2:$D$2000=$A44)*(TEXT('Daily Checklist'!$B$2:$B$2000,"yyyy-mm-dd")=TEXT(($B$4+8),"yyyy-mm-dd"))))))</f>
        <v/>
      </c>
      <c r="K44" s="25" t="str">
        <f aca="false">IF($A44="","",IF(SUMPRODUCT(('Daily Checklist'!$D$2:$D$2000=$A44)*(TEXT('Daily Checklist'!$B$2:$B$2000,"yyyy-mm-dd")=TEXT(($B$4+9),"yyyy-mm-dd")))=0,"-",IF(SUMPRODUCT(('Daily Checklist'!$D$2:$D$2000=$A44)*(TEXT('Daily Checklist'!$B$2:$B$2000,"yyyy-mm-dd")=TEXT(($B$4+9),"yyyy-mm-dd"))*('Daily Checklist'!$L$2:$L$2000="Y"))&gt;0,SUMPRODUCT(('Daily Checklist'!$D$2:$D$2000=$A44)*(TEXT('Daily Checklist'!$B$2:$B$2000,"yyyy-mm-dd")=TEXT(($B$4+9),"yyyy-mm-dd"))*('Daily Checklist'!$F$2:$F$2000="Done"))&amp;"/"&amp;SUMPRODUCT(('Daily Checklist'!$D$2:$D$2000=$A44)*(TEXT('Daily Checklist'!$B$2:$B$2000,"yyyy-mm-dd")=TEXT(($B$4+9),"yyyy-mm-dd")))&amp;" ESC",SUMPRODUCT(('Daily Checklist'!$D$2:$D$2000=$A44)*(TEXT('Daily Checklist'!$B$2:$B$2000,"yyyy-mm-dd")=TEXT(($B$4+9),"yyyy-mm-dd"))*('Daily Checklist'!$F$2:$F$2000="Done"))&amp;"/"&amp;SUMPRODUCT(('Daily Checklist'!$D$2:$D$2000=$A44)*(TEXT('Daily Checklist'!$B$2:$B$2000,"yyyy-mm-dd")=TEXT(($B$4+9),"yyyy-mm-dd"))))))</f>
        <v/>
      </c>
      <c r="L44" s="25" t="str">
        <f aca="false">IF($A44="","",IF(SUMPRODUCT(('Daily Checklist'!$D$2:$D$2000=$A44)*(TEXT('Daily Checklist'!$B$2:$B$2000,"yyyy-mm-dd")=TEXT(($B$4+10),"yyyy-mm-dd")))=0,"-",IF(SUMPRODUCT(('Daily Checklist'!$D$2:$D$2000=$A44)*(TEXT('Daily Checklist'!$B$2:$B$2000,"yyyy-mm-dd")=TEXT(($B$4+10),"yyyy-mm-dd"))*('Daily Checklist'!$L$2:$L$2000="Y"))&gt;0,SUMPRODUCT(('Daily Checklist'!$D$2:$D$2000=$A44)*(TEXT('Daily Checklist'!$B$2:$B$2000,"yyyy-mm-dd")=TEXT(($B$4+10),"yyyy-mm-dd"))*('Daily Checklist'!$F$2:$F$2000="Done"))&amp;"/"&amp;SUMPRODUCT(('Daily Checklist'!$D$2:$D$2000=$A44)*(TEXT('Daily Checklist'!$B$2:$B$2000,"yyyy-mm-dd")=TEXT(($B$4+10),"yyyy-mm-dd")))&amp;" ESC",SUMPRODUCT(('Daily Checklist'!$D$2:$D$2000=$A44)*(TEXT('Daily Checklist'!$B$2:$B$2000,"yyyy-mm-dd")=TEXT(($B$4+10),"yyyy-mm-dd"))*('Daily Checklist'!$F$2:$F$2000="Done"))&amp;"/"&amp;SUMPRODUCT(('Daily Checklist'!$D$2:$D$2000=$A44)*(TEXT('Daily Checklist'!$B$2:$B$2000,"yyyy-mm-dd")=TEXT(($B$4+10),"yyyy-mm-dd"))))))</f>
        <v/>
      </c>
      <c r="M44" s="25" t="str">
        <f aca="false">IF($A44="","",IF(SUMPRODUCT(('Daily Checklist'!$D$2:$D$2000=$A44)*(TEXT('Daily Checklist'!$B$2:$B$2000,"yyyy-mm-dd")=TEXT(($B$4+11),"yyyy-mm-dd")))=0,"-",IF(SUMPRODUCT(('Daily Checklist'!$D$2:$D$2000=$A44)*(TEXT('Daily Checklist'!$B$2:$B$2000,"yyyy-mm-dd")=TEXT(($B$4+11),"yyyy-mm-dd"))*('Daily Checklist'!$L$2:$L$2000="Y"))&gt;0,SUMPRODUCT(('Daily Checklist'!$D$2:$D$2000=$A44)*(TEXT('Daily Checklist'!$B$2:$B$2000,"yyyy-mm-dd")=TEXT(($B$4+11),"yyyy-mm-dd"))*('Daily Checklist'!$F$2:$F$2000="Done"))&amp;"/"&amp;SUMPRODUCT(('Daily Checklist'!$D$2:$D$2000=$A44)*(TEXT('Daily Checklist'!$B$2:$B$2000,"yyyy-mm-dd")=TEXT(($B$4+11),"yyyy-mm-dd")))&amp;" ESC",SUMPRODUCT(('Daily Checklist'!$D$2:$D$2000=$A44)*(TEXT('Daily Checklist'!$B$2:$B$2000,"yyyy-mm-dd")=TEXT(($B$4+11),"yyyy-mm-dd"))*('Daily Checklist'!$F$2:$F$2000="Done"))&amp;"/"&amp;SUMPRODUCT(('Daily Checklist'!$D$2:$D$2000=$A44)*(TEXT('Daily Checklist'!$B$2:$B$2000,"yyyy-mm-dd")=TEXT(($B$4+11),"yyyy-mm-dd"))))))</f>
        <v/>
      </c>
      <c r="N44" s="25" t="str">
        <f aca="false">IF($A44="","",IF(SUMPRODUCT(('Daily Checklist'!$D$2:$D$2000=$A44)*(TEXT('Daily Checklist'!$B$2:$B$2000,"yyyy-mm-dd")=TEXT(($B$4+12),"yyyy-mm-dd")))=0,"-",IF(SUMPRODUCT(('Daily Checklist'!$D$2:$D$2000=$A44)*(TEXT('Daily Checklist'!$B$2:$B$2000,"yyyy-mm-dd")=TEXT(($B$4+12),"yyyy-mm-dd"))*('Daily Checklist'!$L$2:$L$2000="Y"))&gt;0,SUMPRODUCT(('Daily Checklist'!$D$2:$D$2000=$A44)*(TEXT('Daily Checklist'!$B$2:$B$2000,"yyyy-mm-dd")=TEXT(($B$4+12),"yyyy-mm-dd"))*('Daily Checklist'!$F$2:$F$2000="Done"))&amp;"/"&amp;SUMPRODUCT(('Daily Checklist'!$D$2:$D$2000=$A44)*(TEXT('Daily Checklist'!$B$2:$B$2000,"yyyy-mm-dd")=TEXT(($B$4+12),"yyyy-mm-dd")))&amp;" ESC",SUMPRODUCT(('Daily Checklist'!$D$2:$D$2000=$A44)*(TEXT('Daily Checklist'!$B$2:$B$2000,"yyyy-mm-dd")=TEXT(($B$4+12),"yyyy-mm-dd"))*('Daily Checklist'!$F$2:$F$2000="Done"))&amp;"/"&amp;SUMPRODUCT(('Daily Checklist'!$D$2:$D$2000=$A44)*(TEXT('Daily Checklist'!$B$2:$B$2000,"yyyy-mm-dd")=TEXT(($B$4+12),"yyyy-mm-dd"))))))</f>
        <v/>
      </c>
      <c r="O44" s="25" t="str">
        <f aca="false">IF($A44="","",IF(SUMPRODUCT(('Daily Checklist'!$D$2:$D$2000=$A44)*(TEXT('Daily Checklist'!$B$2:$B$2000,"yyyy-mm-dd")=TEXT(($B$4+13),"yyyy-mm-dd")))=0,"-",IF(SUMPRODUCT(('Daily Checklist'!$D$2:$D$2000=$A44)*(TEXT('Daily Checklist'!$B$2:$B$2000,"yyyy-mm-dd")=TEXT(($B$4+13),"yyyy-mm-dd"))*('Daily Checklist'!$L$2:$L$2000="Y"))&gt;0,SUMPRODUCT(('Daily Checklist'!$D$2:$D$2000=$A44)*(TEXT('Daily Checklist'!$B$2:$B$2000,"yyyy-mm-dd")=TEXT(($B$4+13),"yyyy-mm-dd"))*('Daily Checklist'!$F$2:$F$2000="Done"))&amp;"/"&amp;SUMPRODUCT(('Daily Checklist'!$D$2:$D$2000=$A44)*(TEXT('Daily Checklist'!$B$2:$B$2000,"yyyy-mm-dd")=TEXT(($B$4+13),"yyyy-mm-dd")))&amp;" ESC",SUMPRODUCT(('Daily Checklist'!$D$2:$D$2000=$A44)*(TEXT('Daily Checklist'!$B$2:$B$2000,"yyyy-mm-dd")=TEXT(($B$4+13),"yyyy-mm-dd"))*('Daily Checklist'!$F$2:$F$2000="Done"))&amp;"/"&amp;SUMPRODUCT(('Daily Checklist'!$D$2:$D$2000=$A44)*(TEXT('Daily Checklist'!$B$2:$B$2000,"yyyy-mm-dd")=TEXT(($B$4+13),"yyyy-mm-dd"))))))</f>
        <v/>
      </c>
      <c r="P44" s="25" t="str">
        <f aca="false">IF($A44="","",IF(SUMPRODUCT(('Daily Checklist'!$D$2:$D$2000=$A44)*(TEXT('Daily Checklist'!$B$2:$B$2000,"yyyy-mm-dd")=TEXT(($B$4+14),"yyyy-mm-dd")))=0,"-",IF(SUMPRODUCT(('Daily Checklist'!$D$2:$D$2000=$A44)*(TEXT('Daily Checklist'!$B$2:$B$2000,"yyyy-mm-dd")=TEXT(($B$4+14),"yyyy-mm-dd"))*('Daily Checklist'!$L$2:$L$2000="Y"))&gt;0,SUMPRODUCT(('Daily Checklist'!$D$2:$D$2000=$A44)*(TEXT('Daily Checklist'!$B$2:$B$2000,"yyyy-mm-dd")=TEXT(($B$4+14),"yyyy-mm-dd"))*('Daily Checklist'!$F$2:$F$2000="Done"))&amp;"/"&amp;SUMPRODUCT(('Daily Checklist'!$D$2:$D$2000=$A44)*(TEXT('Daily Checklist'!$B$2:$B$2000,"yyyy-mm-dd")=TEXT(($B$4+14),"yyyy-mm-dd")))&amp;" ESC",SUMPRODUCT(('Daily Checklist'!$D$2:$D$2000=$A44)*(TEXT('Daily Checklist'!$B$2:$B$2000,"yyyy-mm-dd")=TEXT(($B$4+14),"yyyy-mm-dd"))*('Daily Checklist'!$F$2:$F$2000="Done"))&amp;"/"&amp;SUMPRODUCT(('Daily Checklist'!$D$2:$D$2000=$A44)*(TEXT('Daily Checklist'!$B$2:$B$2000,"yyyy-mm-dd")=TEXT(($B$4+14),"yyyy-mm-dd"))))))</f>
        <v/>
      </c>
      <c r="Q44" s="25" t="str">
        <f aca="false">IF($A44="","",IF(SUMPRODUCT(('Daily Checklist'!$D$2:$D$2000=$A44)*(TEXT('Daily Checklist'!$B$2:$B$2000,"yyyy-mm-dd")=TEXT(($B$4+15),"yyyy-mm-dd")))=0,"-",IF(SUMPRODUCT(('Daily Checklist'!$D$2:$D$2000=$A44)*(TEXT('Daily Checklist'!$B$2:$B$2000,"yyyy-mm-dd")=TEXT(($B$4+15),"yyyy-mm-dd"))*('Daily Checklist'!$L$2:$L$2000="Y"))&gt;0,SUMPRODUCT(('Daily Checklist'!$D$2:$D$2000=$A44)*(TEXT('Daily Checklist'!$B$2:$B$2000,"yyyy-mm-dd")=TEXT(($B$4+15),"yyyy-mm-dd"))*('Daily Checklist'!$F$2:$F$2000="Done"))&amp;"/"&amp;SUMPRODUCT(('Daily Checklist'!$D$2:$D$2000=$A44)*(TEXT('Daily Checklist'!$B$2:$B$2000,"yyyy-mm-dd")=TEXT(($B$4+15),"yyyy-mm-dd")))&amp;" ESC",SUMPRODUCT(('Daily Checklist'!$D$2:$D$2000=$A44)*(TEXT('Daily Checklist'!$B$2:$B$2000,"yyyy-mm-dd")=TEXT(($B$4+15),"yyyy-mm-dd"))*('Daily Checklist'!$F$2:$F$2000="Done"))&amp;"/"&amp;SUMPRODUCT(('Daily Checklist'!$D$2:$D$2000=$A44)*(TEXT('Daily Checklist'!$B$2:$B$2000,"yyyy-mm-dd")=TEXT(($B$4+15),"yyyy-mm-dd"))))))</f>
        <v/>
      </c>
      <c r="R44" s="25" t="str">
        <f aca="false">IF($A44="","",IF(SUMPRODUCT(('Daily Checklist'!$D$2:$D$2000=$A44)*(TEXT('Daily Checklist'!$B$2:$B$2000,"yyyy-mm-dd")=TEXT(($B$4+16),"yyyy-mm-dd")))=0,"-",IF(SUMPRODUCT(('Daily Checklist'!$D$2:$D$2000=$A44)*(TEXT('Daily Checklist'!$B$2:$B$2000,"yyyy-mm-dd")=TEXT(($B$4+16),"yyyy-mm-dd"))*('Daily Checklist'!$L$2:$L$2000="Y"))&gt;0,SUMPRODUCT(('Daily Checklist'!$D$2:$D$2000=$A44)*(TEXT('Daily Checklist'!$B$2:$B$2000,"yyyy-mm-dd")=TEXT(($B$4+16),"yyyy-mm-dd"))*('Daily Checklist'!$F$2:$F$2000="Done"))&amp;"/"&amp;SUMPRODUCT(('Daily Checklist'!$D$2:$D$2000=$A44)*(TEXT('Daily Checklist'!$B$2:$B$2000,"yyyy-mm-dd")=TEXT(($B$4+16),"yyyy-mm-dd")))&amp;" ESC",SUMPRODUCT(('Daily Checklist'!$D$2:$D$2000=$A44)*(TEXT('Daily Checklist'!$B$2:$B$2000,"yyyy-mm-dd")=TEXT(($B$4+16),"yyyy-mm-dd"))*('Daily Checklist'!$F$2:$F$2000="Done"))&amp;"/"&amp;SUMPRODUCT(('Daily Checklist'!$D$2:$D$2000=$A44)*(TEXT('Daily Checklist'!$B$2:$B$2000,"yyyy-mm-dd")=TEXT(($B$4+16),"yyyy-mm-dd"))))))</f>
        <v/>
      </c>
      <c r="S44" s="25" t="str">
        <f aca="false">IF($A44="","",IF(SUMPRODUCT(('Daily Checklist'!$D$2:$D$2000=$A44)*(TEXT('Daily Checklist'!$B$2:$B$2000,"yyyy-mm-dd")=TEXT(($B$4+17),"yyyy-mm-dd")))=0,"-",IF(SUMPRODUCT(('Daily Checklist'!$D$2:$D$2000=$A44)*(TEXT('Daily Checklist'!$B$2:$B$2000,"yyyy-mm-dd")=TEXT(($B$4+17),"yyyy-mm-dd"))*('Daily Checklist'!$L$2:$L$2000="Y"))&gt;0,SUMPRODUCT(('Daily Checklist'!$D$2:$D$2000=$A44)*(TEXT('Daily Checklist'!$B$2:$B$2000,"yyyy-mm-dd")=TEXT(($B$4+17),"yyyy-mm-dd"))*('Daily Checklist'!$F$2:$F$2000="Done"))&amp;"/"&amp;SUMPRODUCT(('Daily Checklist'!$D$2:$D$2000=$A44)*(TEXT('Daily Checklist'!$B$2:$B$2000,"yyyy-mm-dd")=TEXT(($B$4+17),"yyyy-mm-dd")))&amp;" ESC",SUMPRODUCT(('Daily Checklist'!$D$2:$D$2000=$A44)*(TEXT('Daily Checklist'!$B$2:$B$2000,"yyyy-mm-dd")=TEXT(($B$4+17),"yyyy-mm-dd"))*('Daily Checklist'!$F$2:$F$2000="Done"))&amp;"/"&amp;SUMPRODUCT(('Daily Checklist'!$D$2:$D$2000=$A44)*(TEXT('Daily Checklist'!$B$2:$B$2000,"yyyy-mm-dd")=TEXT(($B$4+17),"yyyy-mm-dd"))))))</f>
        <v/>
      </c>
      <c r="T44" s="25" t="str">
        <f aca="false">IF($A44="","",IF(SUMPRODUCT(('Daily Checklist'!$D$2:$D$2000=$A44)*(TEXT('Daily Checklist'!$B$2:$B$2000,"yyyy-mm-dd")=TEXT(($B$4+18),"yyyy-mm-dd")))=0,"-",IF(SUMPRODUCT(('Daily Checklist'!$D$2:$D$2000=$A44)*(TEXT('Daily Checklist'!$B$2:$B$2000,"yyyy-mm-dd")=TEXT(($B$4+18),"yyyy-mm-dd"))*('Daily Checklist'!$L$2:$L$2000="Y"))&gt;0,SUMPRODUCT(('Daily Checklist'!$D$2:$D$2000=$A44)*(TEXT('Daily Checklist'!$B$2:$B$2000,"yyyy-mm-dd")=TEXT(($B$4+18),"yyyy-mm-dd"))*('Daily Checklist'!$F$2:$F$2000="Done"))&amp;"/"&amp;SUMPRODUCT(('Daily Checklist'!$D$2:$D$2000=$A44)*(TEXT('Daily Checklist'!$B$2:$B$2000,"yyyy-mm-dd")=TEXT(($B$4+18),"yyyy-mm-dd")))&amp;" ESC",SUMPRODUCT(('Daily Checklist'!$D$2:$D$2000=$A44)*(TEXT('Daily Checklist'!$B$2:$B$2000,"yyyy-mm-dd")=TEXT(($B$4+18),"yyyy-mm-dd"))*('Daily Checklist'!$F$2:$F$2000="Done"))&amp;"/"&amp;SUMPRODUCT(('Daily Checklist'!$D$2:$D$2000=$A44)*(TEXT('Daily Checklist'!$B$2:$B$2000,"yyyy-mm-dd")=TEXT(($B$4+18),"yyyy-mm-dd"))))))</f>
        <v/>
      </c>
      <c r="U44" s="25" t="str">
        <f aca="false">IF($A44="","",IF(SUMPRODUCT(('Daily Checklist'!$D$2:$D$2000=$A44)*(TEXT('Daily Checklist'!$B$2:$B$2000,"yyyy-mm-dd")=TEXT(($B$4+19),"yyyy-mm-dd")))=0,"-",IF(SUMPRODUCT(('Daily Checklist'!$D$2:$D$2000=$A44)*(TEXT('Daily Checklist'!$B$2:$B$2000,"yyyy-mm-dd")=TEXT(($B$4+19),"yyyy-mm-dd"))*('Daily Checklist'!$L$2:$L$2000="Y"))&gt;0,SUMPRODUCT(('Daily Checklist'!$D$2:$D$2000=$A44)*(TEXT('Daily Checklist'!$B$2:$B$2000,"yyyy-mm-dd")=TEXT(($B$4+19),"yyyy-mm-dd"))*('Daily Checklist'!$F$2:$F$2000="Done"))&amp;"/"&amp;SUMPRODUCT(('Daily Checklist'!$D$2:$D$2000=$A44)*(TEXT('Daily Checklist'!$B$2:$B$2000,"yyyy-mm-dd")=TEXT(($B$4+19),"yyyy-mm-dd")))&amp;" ESC",SUMPRODUCT(('Daily Checklist'!$D$2:$D$2000=$A44)*(TEXT('Daily Checklist'!$B$2:$B$2000,"yyyy-mm-dd")=TEXT(($B$4+19),"yyyy-mm-dd"))*('Daily Checklist'!$F$2:$F$2000="Done"))&amp;"/"&amp;SUMPRODUCT(('Daily Checklist'!$D$2:$D$2000=$A44)*(TEXT('Daily Checklist'!$B$2:$B$2000,"yyyy-mm-dd")=TEXT(($B$4+19),"yyyy-mm-dd"))))))</f>
        <v/>
      </c>
      <c r="V44" s="25" t="str">
        <f aca="false">IF($A44="","",IF(SUMPRODUCT(('Daily Checklist'!$D$2:$D$2000=$A44)*(TEXT('Daily Checklist'!$B$2:$B$2000,"yyyy-mm-dd")=TEXT(($B$4+20),"yyyy-mm-dd")))=0,"-",IF(SUMPRODUCT(('Daily Checklist'!$D$2:$D$2000=$A44)*(TEXT('Daily Checklist'!$B$2:$B$2000,"yyyy-mm-dd")=TEXT(($B$4+20),"yyyy-mm-dd"))*('Daily Checklist'!$L$2:$L$2000="Y"))&gt;0,SUMPRODUCT(('Daily Checklist'!$D$2:$D$2000=$A44)*(TEXT('Daily Checklist'!$B$2:$B$2000,"yyyy-mm-dd")=TEXT(($B$4+20),"yyyy-mm-dd"))*('Daily Checklist'!$F$2:$F$2000="Done"))&amp;"/"&amp;SUMPRODUCT(('Daily Checklist'!$D$2:$D$2000=$A44)*(TEXT('Daily Checklist'!$B$2:$B$2000,"yyyy-mm-dd")=TEXT(($B$4+20),"yyyy-mm-dd")))&amp;" ESC",SUMPRODUCT(('Daily Checklist'!$D$2:$D$2000=$A44)*(TEXT('Daily Checklist'!$B$2:$B$2000,"yyyy-mm-dd")=TEXT(($B$4+20),"yyyy-mm-dd"))*('Daily Checklist'!$F$2:$F$2000="Done"))&amp;"/"&amp;SUMPRODUCT(('Daily Checklist'!$D$2:$D$2000=$A44)*(TEXT('Daily Checklist'!$B$2:$B$2000,"yyyy-mm-dd")=TEXT(($B$4+20),"yyyy-mm-dd"))))))</f>
        <v/>
      </c>
      <c r="W44" s="25" t="str">
        <f aca="false">IF($A44="","",IF(SUMPRODUCT(('Daily Checklist'!$D$2:$D$2000=$A44)*(TEXT('Daily Checklist'!$B$2:$B$2000,"yyyy-mm-dd")=TEXT(($B$4+21),"yyyy-mm-dd")))=0,"-",IF(SUMPRODUCT(('Daily Checklist'!$D$2:$D$2000=$A44)*(TEXT('Daily Checklist'!$B$2:$B$2000,"yyyy-mm-dd")=TEXT(($B$4+21),"yyyy-mm-dd"))*('Daily Checklist'!$L$2:$L$2000="Y"))&gt;0,SUMPRODUCT(('Daily Checklist'!$D$2:$D$2000=$A44)*(TEXT('Daily Checklist'!$B$2:$B$2000,"yyyy-mm-dd")=TEXT(($B$4+21),"yyyy-mm-dd"))*('Daily Checklist'!$F$2:$F$2000="Done"))&amp;"/"&amp;SUMPRODUCT(('Daily Checklist'!$D$2:$D$2000=$A44)*(TEXT('Daily Checklist'!$B$2:$B$2000,"yyyy-mm-dd")=TEXT(($B$4+21),"yyyy-mm-dd")))&amp;" ESC",SUMPRODUCT(('Daily Checklist'!$D$2:$D$2000=$A44)*(TEXT('Daily Checklist'!$B$2:$B$2000,"yyyy-mm-dd")=TEXT(($B$4+21),"yyyy-mm-dd"))*('Daily Checklist'!$F$2:$F$2000="Done"))&amp;"/"&amp;SUMPRODUCT(('Daily Checklist'!$D$2:$D$2000=$A44)*(TEXT('Daily Checklist'!$B$2:$B$2000,"yyyy-mm-dd")=TEXT(($B$4+21),"yyyy-mm-dd"))))))</f>
        <v/>
      </c>
      <c r="X44" s="25" t="str">
        <f aca="false">IF($A44="","",IF(SUMPRODUCT(('Daily Checklist'!$D$2:$D$2000=$A44)*(TEXT('Daily Checklist'!$B$2:$B$2000,"yyyy-mm-dd")=TEXT(($B$4+22),"yyyy-mm-dd")))=0,"-",IF(SUMPRODUCT(('Daily Checklist'!$D$2:$D$2000=$A44)*(TEXT('Daily Checklist'!$B$2:$B$2000,"yyyy-mm-dd")=TEXT(($B$4+22),"yyyy-mm-dd"))*('Daily Checklist'!$L$2:$L$2000="Y"))&gt;0,SUMPRODUCT(('Daily Checklist'!$D$2:$D$2000=$A44)*(TEXT('Daily Checklist'!$B$2:$B$2000,"yyyy-mm-dd")=TEXT(($B$4+22),"yyyy-mm-dd"))*('Daily Checklist'!$F$2:$F$2000="Done"))&amp;"/"&amp;SUMPRODUCT(('Daily Checklist'!$D$2:$D$2000=$A44)*(TEXT('Daily Checklist'!$B$2:$B$2000,"yyyy-mm-dd")=TEXT(($B$4+22),"yyyy-mm-dd")))&amp;" ESC",SUMPRODUCT(('Daily Checklist'!$D$2:$D$2000=$A44)*(TEXT('Daily Checklist'!$B$2:$B$2000,"yyyy-mm-dd")=TEXT(($B$4+22),"yyyy-mm-dd"))*('Daily Checklist'!$F$2:$F$2000="Done"))&amp;"/"&amp;SUMPRODUCT(('Daily Checklist'!$D$2:$D$2000=$A44)*(TEXT('Daily Checklist'!$B$2:$B$2000,"yyyy-mm-dd")=TEXT(($B$4+22),"yyyy-mm-dd"))))))</f>
        <v/>
      </c>
      <c r="Y44" s="25" t="str">
        <f aca="false">IF($A44="","",IF(SUMPRODUCT(('Daily Checklist'!$D$2:$D$2000=$A44)*(TEXT('Daily Checklist'!$B$2:$B$2000,"yyyy-mm-dd")=TEXT(($B$4+23),"yyyy-mm-dd")))=0,"-",IF(SUMPRODUCT(('Daily Checklist'!$D$2:$D$2000=$A44)*(TEXT('Daily Checklist'!$B$2:$B$2000,"yyyy-mm-dd")=TEXT(($B$4+23),"yyyy-mm-dd"))*('Daily Checklist'!$L$2:$L$2000="Y"))&gt;0,SUMPRODUCT(('Daily Checklist'!$D$2:$D$2000=$A44)*(TEXT('Daily Checklist'!$B$2:$B$2000,"yyyy-mm-dd")=TEXT(($B$4+23),"yyyy-mm-dd"))*('Daily Checklist'!$F$2:$F$2000="Done"))&amp;"/"&amp;SUMPRODUCT(('Daily Checklist'!$D$2:$D$2000=$A44)*(TEXT('Daily Checklist'!$B$2:$B$2000,"yyyy-mm-dd")=TEXT(($B$4+23),"yyyy-mm-dd")))&amp;" ESC",SUMPRODUCT(('Daily Checklist'!$D$2:$D$2000=$A44)*(TEXT('Daily Checklist'!$B$2:$B$2000,"yyyy-mm-dd")=TEXT(($B$4+23),"yyyy-mm-dd"))*('Daily Checklist'!$F$2:$F$2000="Done"))&amp;"/"&amp;SUMPRODUCT(('Daily Checklist'!$D$2:$D$2000=$A44)*(TEXT('Daily Checklist'!$B$2:$B$2000,"yyyy-mm-dd")=TEXT(($B$4+23),"yyyy-mm-dd"))))))</f>
        <v/>
      </c>
      <c r="Z44" s="25" t="str">
        <f aca="false">IF($A44="","",IF(SUMPRODUCT(('Daily Checklist'!$D$2:$D$2000=$A44)*(TEXT('Daily Checklist'!$B$2:$B$2000,"yyyy-mm-dd")=TEXT(($B$4+24),"yyyy-mm-dd")))=0,"-",IF(SUMPRODUCT(('Daily Checklist'!$D$2:$D$2000=$A44)*(TEXT('Daily Checklist'!$B$2:$B$2000,"yyyy-mm-dd")=TEXT(($B$4+24),"yyyy-mm-dd"))*('Daily Checklist'!$L$2:$L$2000="Y"))&gt;0,SUMPRODUCT(('Daily Checklist'!$D$2:$D$2000=$A44)*(TEXT('Daily Checklist'!$B$2:$B$2000,"yyyy-mm-dd")=TEXT(($B$4+24),"yyyy-mm-dd"))*('Daily Checklist'!$F$2:$F$2000="Done"))&amp;"/"&amp;SUMPRODUCT(('Daily Checklist'!$D$2:$D$2000=$A44)*(TEXT('Daily Checklist'!$B$2:$B$2000,"yyyy-mm-dd")=TEXT(($B$4+24),"yyyy-mm-dd")))&amp;" ESC",SUMPRODUCT(('Daily Checklist'!$D$2:$D$2000=$A44)*(TEXT('Daily Checklist'!$B$2:$B$2000,"yyyy-mm-dd")=TEXT(($B$4+24),"yyyy-mm-dd"))*('Daily Checklist'!$F$2:$F$2000="Done"))&amp;"/"&amp;SUMPRODUCT(('Daily Checklist'!$D$2:$D$2000=$A44)*(TEXT('Daily Checklist'!$B$2:$B$2000,"yyyy-mm-dd")=TEXT(($B$4+24),"yyyy-mm-dd"))))))</f>
        <v/>
      </c>
      <c r="AA44" s="25" t="str">
        <f aca="false">IF($A44="","",IF(SUMPRODUCT(('Daily Checklist'!$D$2:$D$2000=$A44)*(TEXT('Daily Checklist'!$B$2:$B$2000,"yyyy-mm-dd")=TEXT(($B$4+25),"yyyy-mm-dd")))=0,"-",IF(SUMPRODUCT(('Daily Checklist'!$D$2:$D$2000=$A44)*(TEXT('Daily Checklist'!$B$2:$B$2000,"yyyy-mm-dd")=TEXT(($B$4+25),"yyyy-mm-dd"))*('Daily Checklist'!$L$2:$L$2000="Y"))&gt;0,SUMPRODUCT(('Daily Checklist'!$D$2:$D$2000=$A44)*(TEXT('Daily Checklist'!$B$2:$B$2000,"yyyy-mm-dd")=TEXT(($B$4+25),"yyyy-mm-dd"))*('Daily Checklist'!$F$2:$F$2000="Done"))&amp;"/"&amp;SUMPRODUCT(('Daily Checklist'!$D$2:$D$2000=$A44)*(TEXT('Daily Checklist'!$B$2:$B$2000,"yyyy-mm-dd")=TEXT(($B$4+25),"yyyy-mm-dd")))&amp;" ESC",SUMPRODUCT(('Daily Checklist'!$D$2:$D$2000=$A44)*(TEXT('Daily Checklist'!$B$2:$B$2000,"yyyy-mm-dd")=TEXT(($B$4+25),"yyyy-mm-dd"))*('Daily Checklist'!$F$2:$F$2000="Done"))&amp;"/"&amp;SUMPRODUCT(('Daily Checklist'!$D$2:$D$2000=$A44)*(TEXT('Daily Checklist'!$B$2:$B$2000,"yyyy-mm-dd")=TEXT(($B$4+25),"yyyy-mm-dd"))))))</f>
        <v/>
      </c>
      <c r="AB44" s="25" t="str">
        <f aca="false">IF($A44="","",IF(SUMPRODUCT(('Daily Checklist'!$D$2:$D$2000=$A44)*(TEXT('Daily Checklist'!$B$2:$B$2000,"yyyy-mm-dd")=TEXT(($B$4+26),"yyyy-mm-dd")))=0,"-",IF(SUMPRODUCT(('Daily Checklist'!$D$2:$D$2000=$A44)*(TEXT('Daily Checklist'!$B$2:$B$2000,"yyyy-mm-dd")=TEXT(($B$4+26),"yyyy-mm-dd"))*('Daily Checklist'!$L$2:$L$2000="Y"))&gt;0,SUMPRODUCT(('Daily Checklist'!$D$2:$D$2000=$A44)*(TEXT('Daily Checklist'!$B$2:$B$2000,"yyyy-mm-dd")=TEXT(($B$4+26),"yyyy-mm-dd"))*('Daily Checklist'!$F$2:$F$2000="Done"))&amp;"/"&amp;SUMPRODUCT(('Daily Checklist'!$D$2:$D$2000=$A44)*(TEXT('Daily Checklist'!$B$2:$B$2000,"yyyy-mm-dd")=TEXT(($B$4+26),"yyyy-mm-dd")))&amp;" ESC",SUMPRODUCT(('Daily Checklist'!$D$2:$D$2000=$A44)*(TEXT('Daily Checklist'!$B$2:$B$2000,"yyyy-mm-dd")=TEXT(($B$4+26),"yyyy-mm-dd"))*('Daily Checklist'!$F$2:$F$2000="Done"))&amp;"/"&amp;SUMPRODUCT(('Daily Checklist'!$D$2:$D$2000=$A44)*(TEXT('Daily Checklist'!$B$2:$B$2000,"yyyy-mm-dd")=TEXT(($B$4+26),"yyyy-mm-dd"))))))</f>
        <v/>
      </c>
      <c r="AC44" s="25" t="str">
        <f aca="false">IF($A44="","",IF(SUMPRODUCT(('Daily Checklist'!$D$2:$D$2000=$A44)*(TEXT('Daily Checklist'!$B$2:$B$2000,"yyyy-mm-dd")=TEXT(($B$4+27),"yyyy-mm-dd")))=0,"-",IF(SUMPRODUCT(('Daily Checklist'!$D$2:$D$2000=$A44)*(TEXT('Daily Checklist'!$B$2:$B$2000,"yyyy-mm-dd")=TEXT(($B$4+27),"yyyy-mm-dd"))*('Daily Checklist'!$L$2:$L$2000="Y"))&gt;0,SUMPRODUCT(('Daily Checklist'!$D$2:$D$2000=$A44)*(TEXT('Daily Checklist'!$B$2:$B$2000,"yyyy-mm-dd")=TEXT(($B$4+27),"yyyy-mm-dd"))*('Daily Checklist'!$F$2:$F$2000="Done"))&amp;"/"&amp;SUMPRODUCT(('Daily Checklist'!$D$2:$D$2000=$A44)*(TEXT('Daily Checklist'!$B$2:$B$2000,"yyyy-mm-dd")=TEXT(($B$4+27),"yyyy-mm-dd")))&amp;" ESC",SUMPRODUCT(('Daily Checklist'!$D$2:$D$2000=$A44)*(TEXT('Daily Checklist'!$B$2:$B$2000,"yyyy-mm-dd")=TEXT(($B$4+27),"yyyy-mm-dd"))*('Daily Checklist'!$F$2:$F$2000="Done"))&amp;"/"&amp;SUMPRODUCT(('Daily Checklist'!$D$2:$D$2000=$A44)*(TEXT('Daily Checklist'!$B$2:$B$2000,"yyyy-mm-dd")=TEXT(($B$4+27),"yyyy-mm-dd"))))))</f>
        <v/>
      </c>
      <c r="AD44" s="25" t="str">
        <f aca="false">IF($A44="","",IF(SUMPRODUCT(('Daily Checklist'!$D$2:$D$2000=$A44)*(TEXT('Daily Checklist'!$B$2:$B$2000,"yyyy-mm-dd")=TEXT(($B$4+28),"yyyy-mm-dd")))=0,"-",IF(SUMPRODUCT(('Daily Checklist'!$D$2:$D$2000=$A44)*(TEXT('Daily Checklist'!$B$2:$B$2000,"yyyy-mm-dd")=TEXT(($B$4+28),"yyyy-mm-dd"))*('Daily Checklist'!$L$2:$L$2000="Y"))&gt;0,SUMPRODUCT(('Daily Checklist'!$D$2:$D$2000=$A44)*(TEXT('Daily Checklist'!$B$2:$B$2000,"yyyy-mm-dd")=TEXT(($B$4+28),"yyyy-mm-dd"))*('Daily Checklist'!$F$2:$F$2000="Done"))&amp;"/"&amp;SUMPRODUCT(('Daily Checklist'!$D$2:$D$2000=$A44)*(TEXT('Daily Checklist'!$B$2:$B$2000,"yyyy-mm-dd")=TEXT(($B$4+28),"yyyy-mm-dd")))&amp;" ESC",SUMPRODUCT(('Daily Checklist'!$D$2:$D$2000=$A44)*(TEXT('Daily Checklist'!$B$2:$B$2000,"yyyy-mm-dd")=TEXT(($B$4+28),"yyyy-mm-dd"))*('Daily Checklist'!$F$2:$F$2000="Done"))&amp;"/"&amp;SUMPRODUCT(('Daily Checklist'!$D$2:$D$2000=$A44)*(TEXT('Daily Checklist'!$B$2:$B$2000,"yyyy-mm-dd")=TEXT(($B$4+28),"yyyy-mm-dd"))))))</f>
        <v/>
      </c>
      <c r="AE44" s="25" t="str">
        <f aca="false">IF($A44="","",IF(SUMPRODUCT(('Daily Checklist'!$D$2:$D$2000=$A44)*(TEXT('Daily Checklist'!$B$2:$B$2000,"yyyy-mm-dd")=TEXT(($B$4+29),"yyyy-mm-dd")))=0,"-",IF(SUMPRODUCT(('Daily Checklist'!$D$2:$D$2000=$A44)*(TEXT('Daily Checklist'!$B$2:$B$2000,"yyyy-mm-dd")=TEXT(($B$4+29),"yyyy-mm-dd"))*('Daily Checklist'!$L$2:$L$2000="Y"))&gt;0,SUMPRODUCT(('Daily Checklist'!$D$2:$D$2000=$A44)*(TEXT('Daily Checklist'!$B$2:$B$2000,"yyyy-mm-dd")=TEXT(($B$4+29),"yyyy-mm-dd"))*('Daily Checklist'!$F$2:$F$2000="Done"))&amp;"/"&amp;SUMPRODUCT(('Daily Checklist'!$D$2:$D$2000=$A44)*(TEXT('Daily Checklist'!$B$2:$B$2000,"yyyy-mm-dd")=TEXT(($B$4+29),"yyyy-mm-dd")))&amp;" ESC",SUMPRODUCT(('Daily Checklist'!$D$2:$D$2000=$A44)*(TEXT('Daily Checklist'!$B$2:$B$2000,"yyyy-mm-dd")=TEXT(($B$4+29),"yyyy-mm-dd"))*('Daily Checklist'!$F$2:$F$2000="Done"))&amp;"/"&amp;SUMPRODUCT(('Daily Checklist'!$D$2:$D$2000=$A44)*(TEXT('Daily Checklist'!$B$2:$B$2000,"yyyy-mm-dd")=TEXT(($B$4+29),"yyyy-mm-dd"))))))</f>
        <v/>
      </c>
      <c r="AF44" s="25" t="str">
        <f aca="false">IF($A44="","",IF(SUMPRODUCT(('Daily Checklist'!$D$2:$D$2000=$A44)*(TEXT('Daily Checklist'!$B$2:$B$2000,"yyyy-mm-dd")=TEXT(($B$4+30),"yyyy-mm-dd")))=0,"-",IF(SUMPRODUCT(('Daily Checklist'!$D$2:$D$2000=$A44)*(TEXT('Daily Checklist'!$B$2:$B$2000,"yyyy-mm-dd")=TEXT(($B$4+30),"yyyy-mm-dd"))*('Daily Checklist'!$L$2:$L$2000="Y"))&gt;0,SUMPRODUCT(('Daily Checklist'!$D$2:$D$2000=$A44)*(TEXT('Daily Checklist'!$B$2:$B$2000,"yyyy-mm-dd")=TEXT(($B$4+30),"yyyy-mm-dd"))*('Daily Checklist'!$F$2:$F$2000="Done"))&amp;"/"&amp;SUMPRODUCT(('Daily Checklist'!$D$2:$D$2000=$A44)*(TEXT('Daily Checklist'!$B$2:$B$2000,"yyyy-mm-dd")=TEXT(($B$4+30),"yyyy-mm-dd")))&amp;" ESC",SUMPRODUCT(('Daily Checklist'!$D$2:$D$2000=$A44)*(TEXT('Daily Checklist'!$B$2:$B$2000,"yyyy-mm-dd")=TEXT(($B$4+30),"yyyy-mm-dd"))*('Daily Checklist'!$F$2:$F$2000="Done"))&amp;"/"&amp;SUMPRODUCT(('Daily Checklist'!$D$2:$D$2000=$A44)*(TEXT('Daily Checklist'!$B$2:$B$2000,"yyyy-mm-dd")=TEXT(($B$4+30),"yyyy-mm-dd"))))))</f>
        <v/>
      </c>
    </row>
    <row r="45" customFormat="false" ht="15" hidden="false" customHeight="true" outlineLevel="0" collapsed="false">
      <c r="A45" s="24" t="str">
        <f aca="false">IFERROR(IF(Employees!A40="","",Employees!A40),"")</f>
        <v/>
      </c>
      <c r="B45" s="25" t="str">
        <f aca="false">IF($A45="","",IF(SUMPRODUCT(('Daily Checklist'!$D$2:$D$2000=$A45)*(TEXT('Daily Checklist'!$B$2:$B$2000,"yyyy-mm-dd")=TEXT(($B$4+0),"yyyy-mm-dd")))=0,"-",IF(SUMPRODUCT(('Daily Checklist'!$D$2:$D$2000=$A45)*(TEXT('Daily Checklist'!$B$2:$B$2000,"yyyy-mm-dd")=TEXT(($B$4+0),"yyyy-mm-dd"))*('Daily Checklist'!$L$2:$L$2000="Y"))&gt;0,SUMPRODUCT(('Daily Checklist'!$D$2:$D$2000=$A45)*(TEXT('Daily Checklist'!$B$2:$B$2000,"yyyy-mm-dd")=TEXT(($B$4+0),"yyyy-mm-dd"))*('Daily Checklist'!$F$2:$F$2000="Done"))&amp;"/"&amp;SUMPRODUCT(('Daily Checklist'!$D$2:$D$2000=$A45)*(TEXT('Daily Checklist'!$B$2:$B$2000,"yyyy-mm-dd")=TEXT(($B$4+0),"yyyy-mm-dd")))&amp;" ESC",SUMPRODUCT(('Daily Checklist'!$D$2:$D$2000=$A45)*(TEXT('Daily Checklist'!$B$2:$B$2000,"yyyy-mm-dd")=TEXT(($B$4+0),"yyyy-mm-dd"))*('Daily Checklist'!$F$2:$F$2000="Done"))&amp;"/"&amp;SUMPRODUCT(('Daily Checklist'!$D$2:$D$2000=$A45)*(TEXT('Daily Checklist'!$B$2:$B$2000,"yyyy-mm-dd")=TEXT(($B$4+0),"yyyy-mm-dd"))))))</f>
        <v/>
      </c>
      <c r="C45" s="25" t="str">
        <f aca="false">IF($A45="","",IF(SUMPRODUCT(('Daily Checklist'!$D$2:$D$2000=$A45)*(TEXT('Daily Checklist'!$B$2:$B$2000,"yyyy-mm-dd")=TEXT(($B$4+1),"yyyy-mm-dd")))=0,"-",IF(SUMPRODUCT(('Daily Checklist'!$D$2:$D$2000=$A45)*(TEXT('Daily Checklist'!$B$2:$B$2000,"yyyy-mm-dd")=TEXT(($B$4+1),"yyyy-mm-dd"))*('Daily Checklist'!$L$2:$L$2000="Y"))&gt;0,SUMPRODUCT(('Daily Checklist'!$D$2:$D$2000=$A45)*(TEXT('Daily Checklist'!$B$2:$B$2000,"yyyy-mm-dd")=TEXT(($B$4+1),"yyyy-mm-dd"))*('Daily Checklist'!$F$2:$F$2000="Done"))&amp;"/"&amp;SUMPRODUCT(('Daily Checklist'!$D$2:$D$2000=$A45)*(TEXT('Daily Checklist'!$B$2:$B$2000,"yyyy-mm-dd")=TEXT(($B$4+1),"yyyy-mm-dd")))&amp;" ESC",SUMPRODUCT(('Daily Checklist'!$D$2:$D$2000=$A45)*(TEXT('Daily Checklist'!$B$2:$B$2000,"yyyy-mm-dd")=TEXT(($B$4+1),"yyyy-mm-dd"))*('Daily Checklist'!$F$2:$F$2000="Done"))&amp;"/"&amp;SUMPRODUCT(('Daily Checklist'!$D$2:$D$2000=$A45)*(TEXT('Daily Checklist'!$B$2:$B$2000,"yyyy-mm-dd")=TEXT(($B$4+1),"yyyy-mm-dd"))))))</f>
        <v/>
      </c>
      <c r="D45" s="25" t="str">
        <f aca="false">IF($A45="","",IF(SUMPRODUCT(('Daily Checklist'!$D$2:$D$2000=$A45)*(TEXT('Daily Checklist'!$B$2:$B$2000,"yyyy-mm-dd")=TEXT(($B$4+2),"yyyy-mm-dd")))=0,"-",IF(SUMPRODUCT(('Daily Checklist'!$D$2:$D$2000=$A45)*(TEXT('Daily Checklist'!$B$2:$B$2000,"yyyy-mm-dd")=TEXT(($B$4+2),"yyyy-mm-dd"))*('Daily Checklist'!$L$2:$L$2000="Y"))&gt;0,SUMPRODUCT(('Daily Checklist'!$D$2:$D$2000=$A45)*(TEXT('Daily Checklist'!$B$2:$B$2000,"yyyy-mm-dd")=TEXT(($B$4+2),"yyyy-mm-dd"))*('Daily Checklist'!$F$2:$F$2000="Done"))&amp;"/"&amp;SUMPRODUCT(('Daily Checklist'!$D$2:$D$2000=$A45)*(TEXT('Daily Checklist'!$B$2:$B$2000,"yyyy-mm-dd")=TEXT(($B$4+2),"yyyy-mm-dd")))&amp;" ESC",SUMPRODUCT(('Daily Checklist'!$D$2:$D$2000=$A45)*(TEXT('Daily Checklist'!$B$2:$B$2000,"yyyy-mm-dd")=TEXT(($B$4+2),"yyyy-mm-dd"))*('Daily Checklist'!$F$2:$F$2000="Done"))&amp;"/"&amp;SUMPRODUCT(('Daily Checklist'!$D$2:$D$2000=$A45)*(TEXT('Daily Checklist'!$B$2:$B$2000,"yyyy-mm-dd")=TEXT(($B$4+2),"yyyy-mm-dd"))))))</f>
        <v/>
      </c>
      <c r="E45" s="25" t="str">
        <f aca="false">IF($A45="","",IF(SUMPRODUCT(('Daily Checklist'!$D$2:$D$2000=$A45)*(TEXT('Daily Checklist'!$B$2:$B$2000,"yyyy-mm-dd")=TEXT(($B$4+3),"yyyy-mm-dd")))=0,"-",IF(SUMPRODUCT(('Daily Checklist'!$D$2:$D$2000=$A45)*(TEXT('Daily Checklist'!$B$2:$B$2000,"yyyy-mm-dd")=TEXT(($B$4+3),"yyyy-mm-dd"))*('Daily Checklist'!$L$2:$L$2000="Y"))&gt;0,SUMPRODUCT(('Daily Checklist'!$D$2:$D$2000=$A45)*(TEXT('Daily Checklist'!$B$2:$B$2000,"yyyy-mm-dd")=TEXT(($B$4+3),"yyyy-mm-dd"))*('Daily Checklist'!$F$2:$F$2000="Done"))&amp;"/"&amp;SUMPRODUCT(('Daily Checklist'!$D$2:$D$2000=$A45)*(TEXT('Daily Checklist'!$B$2:$B$2000,"yyyy-mm-dd")=TEXT(($B$4+3),"yyyy-mm-dd")))&amp;" ESC",SUMPRODUCT(('Daily Checklist'!$D$2:$D$2000=$A45)*(TEXT('Daily Checklist'!$B$2:$B$2000,"yyyy-mm-dd")=TEXT(($B$4+3),"yyyy-mm-dd"))*('Daily Checklist'!$F$2:$F$2000="Done"))&amp;"/"&amp;SUMPRODUCT(('Daily Checklist'!$D$2:$D$2000=$A45)*(TEXT('Daily Checklist'!$B$2:$B$2000,"yyyy-mm-dd")=TEXT(($B$4+3),"yyyy-mm-dd"))))))</f>
        <v/>
      </c>
      <c r="F45" s="25" t="str">
        <f aca="false">IF($A45="","",IF(SUMPRODUCT(('Daily Checklist'!$D$2:$D$2000=$A45)*(TEXT('Daily Checklist'!$B$2:$B$2000,"yyyy-mm-dd")=TEXT(($B$4+4),"yyyy-mm-dd")))=0,"-",IF(SUMPRODUCT(('Daily Checklist'!$D$2:$D$2000=$A45)*(TEXT('Daily Checklist'!$B$2:$B$2000,"yyyy-mm-dd")=TEXT(($B$4+4),"yyyy-mm-dd"))*('Daily Checklist'!$L$2:$L$2000="Y"))&gt;0,SUMPRODUCT(('Daily Checklist'!$D$2:$D$2000=$A45)*(TEXT('Daily Checklist'!$B$2:$B$2000,"yyyy-mm-dd")=TEXT(($B$4+4),"yyyy-mm-dd"))*('Daily Checklist'!$F$2:$F$2000="Done"))&amp;"/"&amp;SUMPRODUCT(('Daily Checklist'!$D$2:$D$2000=$A45)*(TEXT('Daily Checklist'!$B$2:$B$2000,"yyyy-mm-dd")=TEXT(($B$4+4),"yyyy-mm-dd")))&amp;" ESC",SUMPRODUCT(('Daily Checklist'!$D$2:$D$2000=$A45)*(TEXT('Daily Checklist'!$B$2:$B$2000,"yyyy-mm-dd")=TEXT(($B$4+4),"yyyy-mm-dd"))*('Daily Checklist'!$F$2:$F$2000="Done"))&amp;"/"&amp;SUMPRODUCT(('Daily Checklist'!$D$2:$D$2000=$A45)*(TEXT('Daily Checklist'!$B$2:$B$2000,"yyyy-mm-dd")=TEXT(($B$4+4),"yyyy-mm-dd"))))))</f>
        <v/>
      </c>
      <c r="G45" s="25" t="str">
        <f aca="false">IF($A45="","",IF(SUMPRODUCT(('Daily Checklist'!$D$2:$D$2000=$A45)*(TEXT('Daily Checklist'!$B$2:$B$2000,"yyyy-mm-dd")=TEXT(($B$4+5),"yyyy-mm-dd")))=0,"-",IF(SUMPRODUCT(('Daily Checklist'!$D$2:$D$2000=$A45)*(TEXT('Daily Checklist'!$B$2:$B$2000,"yyyy-mm-dd")=TEXT(($B$4+5),"yyyy-mm-dd"))*('Daily Checklist'!$L$2:$L$2000="Y"))&gt;0,SUMPRODUCT(('Daily Checklist'!$D$2:$D$2000=$A45)*(TEXT('Daily Checklist'!$B$2:$B$2000,"yyyy-mm-dd")=TEXT(($B$4+5),"yyyy-mm-dd"))*('Daily Checklist'!$F$2:$F$2000="Done"))&amp;"/"&amp;SUMPRODUCT(('Daily Checklist'!$D$2:$D$2000=$A45)*(TEXT('Daily Checklist'!$B$2:$B$2000,"yyyy-mm-dd")=TEXT(($B$4+5),"yyyy-mm-dd")))&amp;" ESC",SUMPRODUCT(('Daily Checklist'!$D$2:$D$2000=$A45)*(TEXT('Daily Checklist'!$B$2:$B$2000,"yyyy-mm-dd")=TEXT(($B$4+5),"yyyy-mm-dd"))*('Daily Checklist'!$F$2:$F$2000="Done"))&amp;"/"&amp;SUMPRODUCT(('Daily Checklist'!$D$2:$D$2000=$A45)*(TEXT('Daily Checklist'!$B$2:$B$2000,"yyyy-mm-dd")=TEXT(($B$4+5),"yyyy-mm-dd"))))))</f>
        <v/>
      </c>
      <c r="H45" s="25" t="str">
        <f aca="false">IF($A45="","",IF(SUMPRODUCT(('Daily Checklist'!$D$2:$D$2000=$A45)*(TEXT('Daily Checklist'!$B$2:$B$2000,"yyyy-mm-dd")=TEXT(($B$4+6),"yyyy-mm-dd")))=0,"-",IF(SUMPRODUCT(('Daily Checklist'!$D$2:$D$2000=$A45)*(TEXT('Daily Checklist'!$B$2:$B$2000,"yyyy-mm-dd")=TEXT(($B$4+6),"yyyy-mm-dd"))*('Daily Checklist'!$L$2:$L$2000="Y"))&gt;0,SUMPRODUCT(('Daily Checklist'!$D$2:$D$2000=$A45)*(TEXT('Daily Checklist'!$B$2:$B$2000,"yyyy-mm-dd")=TEXT(($B$4+6),"yyyy-mm-dd"))*('Daily Checklist'!$F$2:$F$2000="Done"))&amp;"/"&amp;SUMPRODUCT(('Daily Checklist'!$D$2:$D$2000=$A45)*(TEXT('Daily Checklist'!$B$2:$B$2000,"yyyy-mm-dd")=TEXT(($B$4+6),"yyyy-mm-dd")))&amp;" ESC",SUMPRODUCT(('Daily Checklist'!$D$2:$D$2000=$A45)*(TEXT('Daily Checklist'!$B$2:$B$2000,"yyyy-mm-dd")=TEXT(($B$4+6),"yyyy-mm-dd"))*('Daily Checklist'!$F$2:$F$2000="Done"))&amp;"/"&amp;SUMPRODUCT(('Daily Checklist'!$D$2:$D$2000=$A45)*(TEXT('Daily Checklist'!$B$2:$B$2000,"yyyy-mm-dd")=TEXT(($B$4+6),"yyyy-mm-dd"))))))</f>
        <v/>
      </c>
      <c r="I45" s="25" t="str">
        <f aca="false">IF($A45="","",IF(SUMPRODUCT(('Daily Checklist'!$D$2:$D$2000=$A45)*(TEXT('Daily Checklist'!$B$2:$B$2000,"yyyy-mm-dd")=TEXT(($B$4+7),"yyyy-mm-dd")))=0,"-",IF(SUMPRODUCT(('Daily Checklist'!$D$2:$D$2000=$A45)*(TEXT('Daily Checklist'!$B$2:$B$2000,"yyyy-mm-dd")=TEXT(($B$4+7),"yyyy-mm-dd"))*('Daily Checklist'!$L$2:$L$2000="Y"))&gt;0,SUMPRODUCT(('Daily Checklist'!$D$2:$D$2000=$A45)*(TEXT('Daily Checklist'!$B$2:$B$2000,"yyyy-mm-dd")=TEXT(($B$4+7),"yyyy-mm-dd"))*('Daily Checklist'!$F$2:$F$2000="Done"))&amp;"/"&amp;SUMPRODUCT(('Daily Checklist'!$D$2:$D$2000=$A45)*(TEXT('Daily Checklist'!$B$2:$B$2000,"yyyy-mm-dd")=TEXT(($B$4+7),"yyyy-mm-dd")))&amp;" ESC",SUMPRODUCT(('Daily Checklist'!$D$2:$D$2000=$A45)*(TEXT('Daily Checklist'!$B$2:$B$2000,"yyyy-mm-dd")=TEXT(($B$4+7),"yyyy-mm-dd"))*('Daily Checklist'!$F$2:$F$2000="Done"))&amp;"/"&amp;SUMPRODUCT(('Daily Checklist'!$D$2:$D$2000=$A45)*(TEXT('Daily Checklist'!$B$2:$B$2000,"yyyy-mm-dd")=TEXT(($B$4+7),"yyyy-mm-dd"))))))</f>
        <v/>
      </c>
      <c r="J45" s="25" t="str">
        <f aca="false">IF($A45="","",IF(SUMPRODUCT(('Daily Checklist'!$D$2:$D$2000=$A45)*(TEXT('Daily Checklist'!$B$2:$B$2000,"yyyy-mm-dd")=TEXT(($B$4+8),"yyyy-mm-dd")))=0,"-",IF(SUMPRODUCT(('Daily Checklist'!$D$2:$D$2000=$A45)*(TEXT('Daily Checklist'!$B$2:$B$2000,"yyyy-mm-dd")=TEXT(($B$4+8),"yyyy-mm-dd"))*('Daily Checklist'!$L$2:$L$2000="Y"))&gt;0,SUMPRODUCT(('Daily Checklist'!$D$2:$D$2000=$A45)*(TEXT('Daily Checklist'!$B$2:$B$2000,"yyyy-mm-dd")=TEXT(($B$4+8),"yyyy-mm-dd"))*('Daily Checklist'!$F$2:$F$2000="Done"))&amp;"/"&amp;SUMPRODUCT(('Daily Checklist'!$D$2:$D$2000=$A45)*(TEXT('Daily Checklist'!$B$2:$B$2000,"yyyy-mm-dd")=TEXT(($B$4+8),"yyyy-mm-dd")))&amp;" ESC",SUMPRODUCT(('Daily Checklist'!$D$2:$D$2000=$A45)*(TEXT('Daily Checklist'!$B$2:$B$2000,"yyyy-mm-dd")=TEXT(($B$4+8),"yyyy-mm-dd"))*('Daily Checklist'!$F$2:$F$2000="Done"))&amp;"/"&amp;SUMPRODUCT(('Daily Checklist'!$D$2:$D$2000=$A45)*(TEXT('Daily Checklist'!$B$2:$B$2000,"yyyy-mm-dd")=TEXT(($B$4+8),"yyyy-mm-dd"))))))</f>
        <v/>
      </c>
      <c r="K45" s="25" t="str">
        <f aca="false">IF($A45="","",IF(SUMPRODUCT(('Daily Checklist'!$D$2:$D$2000=$A45)*(TEXT('Daily Checklist'!$B$2:$B$2000,"yyyy-mm-dd")=TEXT(($B$4+9),"yyyy-mm-dd")))=0,"-",IF(SUMPRODUCT(('Daily Checklist'!$D$2:$D$2000=$A45)*(TEXT('Daily Checklist'!$B$2:$B$2000,"yyyy-mm-dd")=TEXT(($B$4+9),"yyyy-mm-dd"))*('Daily Checklist'!$L$2:$L$2000="Y"))&gt;0,SUMPRODUCT(('Daily Checklist'!$D$2:$D$2000=$A45)*(TEXT('Daily Checklist'!$B$2:$B$2000,"yyyy-mm-dd")=TEXT(($B$4+9),"yyyy-mm-dd"))*('Daily Checklist'!$F$2:$F$2000="Done"))&amp;"/"&amp;SUMPRODUCT(('Daily Checklist'!$D$2:$D$2000=$A45)*(TEXT('Daily Checklist'!$B$2:$B$2000,"yyyy-mm-dd")=TEXT(($B$4+9),"yyyy-mm-dd")))&amp;" ESC",SUMPRODUCT(('Daily Checklist'!$D$2:$D$2000=$A45)*(TEXT('Daily Checklist'!$B$2:$B$2000,"yyyy-mm-dd")=TEXT(($B$4+9),"yyyy-mm-dd"))*('Daily Checklist'!$F$2:$F$2000="Done"))&amp;"/"&amp;SUMPRODUCT(('Daily Checklist'!$D$2:$D$2000=$A45)*(TEXT('Daily Checklist'!$B$2:$B$2000,"yyyy-mm-dd")=TEXT(($B$4+9),"yyyy-mm-dd"))))))</f>
        <v/>
      </c>
      <c r="L45" s="25" t="str">
        <f aca="false">IF($A45="","",IF(SUMPRODUCT(('Daily Checklist'!$D$2:$D$2000=$A45)*(TEXT('Daily Checklist'!$B$2:$B$2000,"yyyy-mm-dd")=TEXT(($B$4+10),"yyyy-mm-dd")))=0,"-",IF(SUMPRODUCT(('Daily Checklist'!$D$2:$D$2000=$A45)*(TEXT('Daily Checklist'!$B$2:$B$2000,"yyyy-mm-dd")=TEXT(($B$4+10),"yyyy-mm-dd"))*('Daily Checklist'!$L$2:$L$2000="Y"))&gt;0,SUMPRODUCT(('Daily Checklist'!$D$2:$D$2000=$A45)*(TEXT('Daily Checklist'!$B$2:$B$2000,"yyyy-mm-dd")=TEXT(($B$4+10),"yyyy-mm-dd"))*('Daily Checklist'!$F$2:$F$2000="Done"))&amp;"/"&amp;SUMPRODUCT(('Daily Checklist'!$D$2:$D$2000=$A45)*(TEXT('Daily Checklist'!$B$2:$B$2000,"yyyy-mm-dd")=TEXT(($B$4+10),"yyyy-mm-dd")))&amp;" ESC",SUMPRODUCT(('Daily Checklist'!$D$2:$D$2000=$A45)*(TEXT('Daily Checklist'!$B$2:$B$2000,"yyyy-mm-dd")=TEXT(($B$4+10),"yyyy-mm-dd"))*('Daily Checklist'!$F$2:$F$2000="Done"))&amp;"/"&amp;SUMPRODUCT(('Daily Checklist'!$D$2:$D$2000=$A45)*(TEXT('Daily Checklist'!$B$2:$B$2000,"yyyy-mm-dd")=TEXT(($B$4+10),"yyyy-mm-dd"))))))</f>
        <v/>
      </c>
      <c r="M45" s="25" t="str">
        <f aca="false">IF($A45="","",IF(SUMPRODUCT(('Daily Checklist'!$D$2:$D$2000=$A45)*(TEXT('Daily Checklist'!$B$2:$B$2000,"yyyy-mm-dd")=TEXT(($B$4+11),"yyyy-mm-dd")))=0,"-",IF(SUMPRODUCT(('Daily Checklist'!$D$2:$D$2000=$A45)*(TEXT('Daily Checklist'!$B$2:$B$2000,"yyyy-mm-dd")=TEXT(($B$4+11),"yyyy-mm-dd"))*('Daily Checklist'!$L$2:$L$2000="Y"))&gt;0,SUMPRODUCT(('Daily Checklist'!$D$2:$D$2000=$A45)*(TEXT('Daily Checklist'!$B$2:$B$2000,"yyyy-mm-dd")=TEXT(($B$4+11),"yyyy-mm-dd"))*('Daily Checklist'!$F$2:$F$2000="Done"))&amp;"/"&amp;SUMPRODUCT(('Daily Checklist'!$D$2:$D$2000=$A45)*(TEXT('Daily Checklist'!$B$2:$B$2000,"yyyy-mm-dd")=TEXT(($B$4+11),"yyyy-mm-dd")))&amp;" ESC",SUMPRODUCT(('Daily Checklist'!$D$2:$D$2000=$A45)*(TEXT('Daily Checklist'!$B$2:$B$2000,"yyyy-mm-dd")=TEXT(($B$4+11),"yyyy-mm-dd"))*('Daily Checklist'!$F$2:$F$2000="Done"))&amp;"/"&amp;SUMPRODUCT(('Daily Checklist'!$D$2:$D$2000=$A45)*(TEXT('Daily Checklist'!$B$2:$B$2000,"yyyy-mm-dd")=TEXT(($B$4+11),"yyyy-mm-dd"))))))</f>
        <v/>
      </c>
      <c r="N45" s="25" t="str">
        <f aca="false">IF($A45="","",IF(SUMPRODUCT(('Daily Checklist'!$D$2:$D$2000=$A45)*(TEXT('Daily Checklist'!$B$2:$B$2000,"yyyy-mm-dd")=TEXT(($B$4+12),"yyyy-mm-dd")))=0,"-",IF(SUMPRODUCT(('Daily Checklist'!$D$2:$D$2000=$A45)*(TEXT('Daily Checklist'!$B$2:$B$2000,"yyyy-mm-dd")=TEXT(($B$4+12),"yyyy-mm-dd"))*('Daily Checklist'!$L$2:$L$2000="Y"))&gt;0,SUMPRODUCT(('Daily Checklist'!$D$2:$D$2000=$A45)*(TEXT('Daily Checklist'!$B$2:$B$2000,"yyyy-mm-dd")=TEXT(($B$4+12),"yyyy-mm-dd"))*('Daily Checklist'!$F$2:$F$2000="Done"))&amp;"/"&amp;SUMPRODUCT(('Daily Checklist'!$D$2:$D$2000=$A45)*(TEXT('Daily Checklist'!$B$2:$B$2000,"yyyy-mm-dd")=TEXT(($B$4+12),"yyyy-mm-dd")))&amp;" ESC",SUMPRODUCT(('Daily Checklist'!$D$2:$D$2000=$A45)*(TEXT('Daily Checklist'!$B$2:$B$2000,"yyyy-mm-dd")=TEXT(($B$4+12),"yyyy-mm-dd"))*('Daily Checklist'!$F$2:$F$2000="Done"))&amp;"/"&amp;SUMPRODUCT(('Daily Checklist'!$D$2:$D$2000=$A45)*(TEXT('Daily Checklist'!$B$2:$B$2000,"yyyy-mm-dd")=TEXT(($B$4+12),"yyyy-mm-dd"))))))</f>
        <v/>
      </c>
      <c r="O45" s="25" t="str">
        <f aca="false">IF($A45="","",IF(SUMPRODUCT(('Daily Checklist'!$D$2:$D$2000=$A45)*(TEXT('Daily Checklist'!$B$2:$B$2000,"yyyy-mm-dd")=TEXT(($B$4+13),"yyyy-mm-dd")))=0,"-",IF(SUMPRODUCT(('Daily Checklist'!$D$2:$D$2000=$A45)*(TEXT('Daily Checklist'!$B$2:$B$2000,"yyyy-mm-dd")=TEXT(($B$4+13),"yyyy-mm-dd"))*('Daily Checklist'!$L$2:$L$2000="Y"))&gt;0,SUMPRODUCT(('Daily Checklist'!$D$2:$D$2000=$A45)*(TEXT('Daily Checklist'!$B$2:$B$2000,"yyyy-mm-dd")=TEXT(($B$4+13),"yyyy-mm-dd"))*('Daily Checklist'!$F$2:$F$2000="Done"))&amp;"/"&amp;SUMPRODUCT(('Daily Checklist'!$D$2:$D$2000=$A45)*(TEXT('Daily Checklist'!$B$2:$B$2000,"yyyy-mm-dd")=TEXT(($B$4+13),"yyyy-mm-dd")))&amp;" ESC",SUMPRODUCT(('Daily Checklist'!$D$2:$D$2000=$A45)*(TEXT('Daily Checklist'!$B$2:$B$2000,"yyyy-mm-dd")=TEXT(($B$4+13),"yyyy-mm-dd"))*('Daily Checklist'!$F$2:$F$2000="Done"))&amp;"/"&amp;SUMPRODUCT(('Daily Checklist'!$D$2:$D$2000=$A45)*(TEXT('Daily Checklist'!$B$2:$B$2000,"yyyy-mm-dd")=TEXT(($B$4+13),"yyyy-mm-dd"))))))</f>
        <v/>
      </c>
      <c r="P45" s="25" t="str">
        <f aca="false">IF($A45="","",IF(SUMPRODUCT(('Daily Checklist'!$D$2:$D$2000=$A45)*(TEXT('Daily Checklist'!$B$2:$B$2000,"yyyy-mm-dd")=TEXT(($B$4+14),"yyyy-mm-dd")))=0,"-",IF(SUMPRODUCT(('Daily Checklist'!$D$2:$D$2000=$A45)*(TEXT('Daily Checklist'!$B$2:$B$2000,"yyyy-mm-dd")=TEXT(($B$4+14),"yyyy-mm-dd"))*('Daily Checklist'!$L$2:$L$2000="Y"))&gt;0,SUMPRODUCT(('Daily Checklist'!$D$2:$D$2000=$A45)*(TEXT('Daily Checklist'!$B$2:$B$2000,"yyyy-mm-dd")=TEXT(($B$4+14),"yyyy-mm-dd"))*('Daily Checklist'!$F$2:$F$2000="Done"))&amp;"/"&amp;SUMPRODUCT(('Daily Checklist'!$D$2:$D$2000=$A45)*(TEXT('Daily Checklist'!$B$2:$B$2000,"yyyy-mm-dd")=TEXT(($B$4+14),"yyyy-mm-dd")))&amp;" ESC",SUMPRODUCT(('Daily Checklist'!$D$2:$D$2000=$A45)*(TEXT('Daily Checklist'!$B$2:$B$2000,"yyyy-mm-dd")=TEXT(($B$4+14),"yyyy-mm-dd"))*('Daily Checklist'!$F$2:$F$2000="Done"))&amp;"/"&amp;SUMPRODUCT(('Daily Checklist'!$D$2:$D$2000=$A45)*(TEXT('Daily Checklist'!$B$2:$B$2000,"yyyy-mm-dd")=TEXT(($B$4+14),"yyyy-mm-dd"))))))</f>
        <v/>
      </c>
      <c r="Q45" s="25" t="str">
        <f aca="false">IF($A45="","",IF(SUMPRODUCT(('Daily Checklist'!$D$2:$D$2000=$A45)*(TEXT('Daily Checklist'!$B$2:$B$2000,"yyyy-mm-dd")=TEXT(($B$4+15),"yyyy-mm-dd")))=0,"-",IF(SUMPRODUCT(('Daily Checklist'!$D$2:$D$2000=$A45)*(TEXT('Daily Checklist'!$B$2:$B$2000,"yyyy-mm-dd")=TEXT(($B$4+15),"yyyy-mm-dd"))*('Daily Checklist'!$L$2:$L$2000="Y"))&gt;0,SUMPRODUCT(('Daily Checklist'!$D$2:$D$2000=$A45)*(TEXT('Daily Checklist'!$B$2:$B$2000,"yyyy-mm-dd")=TEXT(($B$4+15),"yyyy-mm-dd"))*('Daily Checklist'!$F$2:$F$2000="Done"))&amp;"/"&amp;SUMPRODUCT(('Daily Checklist'!$D$2:$D$2000=$A45)*(TEXT('Daily Checklist'!$B$2:$B$2000,"yyyy-mm-dd")=TEXT(($B$4+15),"yyyy-mm-dd")))&amp;" ESC",SUMPRODUCT(('Daily Checklist'!$D$2:$D$2000=$A45)*(TEXT('Daily Checklist'!$B$2:$B$2000,"yyyy-mm-dd")=TEXT(($B$4+15),"yyyy-mm-dd"))*('Daily Checklist'!$F$2:$F$2000="Done"))&amp;"/"&amp;SUMPRODUCT(('Daily Checklist'!$D$2:$D$2000=$A45)*(TEXT('Daily Checklist'!$B$2:$B$2000,"yyyy-mm-dd")=TEXT(($B$4+15),"yyyy-mm-dd"))))))</f>
        <v/>
      </c>
      <c r="R45" s="25" t="str">
        <f aca="false">IF($A45="","",IF(SUMPRODUCT(('Daily Checklist'!$D$2:$D$2000=$A45)*(TEXT('Daily Checklist'!$B$2:$B$2000,"yyyy-mm-dd")=TEXT(($B$4+16),"yyyy-mm-dd")))=0,"-",IF(SUMPRODUCT(('Daily Checklist'!$D$2:$D$2000=$A45)*(TEXT('Daily Checklist'!$B$2:$B$2000,"yyyy-mm-dd")=TEXT(($B$4+16),"yyyy-mm-dd"))*('Daily Checklist'!$L$2:$L$2000="Y"))&gt;0,SUMPRODUCT(('Daily Checklist'!$D$2:$D$2000=$A45)*(TEXT('Daily Checklist'!$B$2:$B$2000,"yyyy-mm-dd")=TEXT(($B$4+16),"yyyy-mm-dd"))*('Daily Checklist'!$F$2:$F$2000="Done"))&amp;"/"&amp;SUMPRODUCT(('Daily Checklist'!$D$2:$D$2000=$A45)*(TEXT('Daily Checklist'!$B$2:$B$2000,"yyyy-mm-dd")=TEXT(($B$4+16),"yyyy-mm-dd")))&amp;" ESC",SUMPRODUCT(('Daily Checklist'!$D$2:$D$2000=$A45)*(TEXT('Daily Checklist'!$B$2:$B$2000,"yyyy-mm-dd")=TEXT(($B$4+16),"yyyy-mm-dd"))*('Daily Checklist'!$F$2:$F$2000="Done"))&amp;"/"&amp;SUMPRODUCT(('Daily Checklist'!$D$2:$D$2000=$A45)*(TEXT('Daily Checklist'!$B$2:$B$2000,"yyyy-mm-dd")=TEXT(($B$4+16),"yyyy-mm-dd"))))))</f>
        <v/>
      </c>
      <c r="S45" s="25" t="str">
        <f aca="false">IF($A45="","",IF(SUMPRODUCT(('Daily Checklist'!$D$2:$D$2000=$A45)*(TEXT('Daily Checklist'!$B$2:$B$2000,"yyyy-mm-dd")=TEXT(($B$4+17),"yyyy-mm-dd")))=0,"-",IF(SUMPRODUCT(('Daily Checklist'!$D$2:$D$2000=$A45)*(TEXT('Daily Checklist'!$B$2:$B$2000,"yyyy-mm-dd")=TEXT(($B$4+17),"yyyy-mm-dd"))*('Daily Checklist'!$L$2:$L$2000="Y"))&gt;0,SUMPRODUCT(('Daily Checklist'!$D$2:$D$2000=$A45)*(TEXT('Daily Checklist'!$B$2:$B$2000,"yyyy-mm-dd")=TEXT(($B$4+17),"yyyy-mm-dd"))*('Daily Checklist'!$F$2:$F$2000="Done"))&amp;"/"&amp;SUMPRODUCT(('Daily Checklist'!$D$2:$D$2000=$A45)*(TEXT('Daily Checklist'!$B$2:$B$2000,"yyyy-mm-dd")=TEXT(($B$4+17),"yyyy-mm-dd")))&amp;" ESC",SUMPRODUCT(('Daily Checklist'!$D$2:$D$2000=$A45)*(TEXT('Daily Checklist'!$B$2:$B$2000,"yyyy-mm-dd")=TEXT(($B$4+17),"yyyy-mm-dd"))*('Daily Checklist'!$F$2:$F$2000="Done"))&amp;"/"&amp;SUMPRODUCT(('Daily Checklist'!$D$2:$D$2000=$A45)*(TEXT('Daily Checklist'!$B$2:$B$2000,"yyyy-mm-dd")=TEXT(($B$4+17),"yyyy-mm-dd"))))))</f>
        <v/>
      </c>
      <c r="T45" s="25" t="str">
        <f aca="false">IF($A45="","",IF(SUMPRODUCT(('Daily Checklist'!$D$2:$D$2000=$A45)*(TEXT('Daily Checklist'!$B$2:$B$2000,"yyyy-mm-dd")=TEXT(($B$4+18),"yyyy-mm-dd")))=0,"-",IF(SUMPRODUCT(('Daily Checklist'!$D$2:$D$2000=$A45)*(TEXT('Daily Checklist'!$B$2:$B$2000,"yyyy-mm-dd")=TEXT(($B$4+18),"yyyy-mm-dd"))*('Daily Checklist'!$L$2:$L$2000="Y"))&gt;0,SUMPRODUCT(('Daily Checklist'!$D$2:$D$2000=$A45)*(TEXT('Daily Checklist'!$B$2:$B$2000,"yyyy-mm-dd")=TEXT(($B$4+18),"yyyy-mm-dd"))*('Daily Checklist'!$F$2:$F$2000="Done"))&amp;"/"&amp;SUMPRODUCT(('Daily Checklist'!$D$2:$D$2000=$A45)*(TEXT('Daily Checklist'!$B$2:$B$2000,"yyyy-mm-dd")=TEXT(($B$4+18),"yyyy-mm-dd")))&amp;" ESC",SUMPRODUCT(('Daily Checklist'!$D$2:$D$2000=$A45)*(TEXT('Daily Checklist'!$B$2:$B$2000,"yyyy-mm-dd")=TEXT(($B$4+18),"yyyy-mm-dd"))*('Daily Checklist'!$F$2:$F$2000="Done"))&amp;"/"&amp;SUMPRODUCT(('Daily Checklist'!$D$2:$D$2000=$A45)*(TEXT('Daily Checklist'!$B$2:$B$2000,"yyyy-mm-dd")=TEXT(($B$4+18),"yyyy-mm-dd"))))))</f>
        <v/>
      </c>
      <c r="U45" s="25" t="str">
        <f aca="false">IF($A45="","",IF(SUMPRODUCT(('Daily Checklist'!$D$2:$D$2000=$A45)*(TEXT('Daily Checklist'!$B$2:$B$2000,"yyyy-mm-dd")=TEXT(($B$4+19),"yyyy-mm-dd")))=0,"-",IF(SUMPRODUCT(('Daily Checklist'!$D$2:$D$2000=$A45)*(TEXT('Daily Checklist'!$B$2:$B$2000,"yyyy-mm-dd")=TEXT(($B$4+19),"yyyy-mm-dd"))*('Daily Checklist'!$L$2:$L$2000="Y"))&gt;0,SUMPRODUCT(('Daily Checklist'!$D$2:$D$2000=$A45)*(TEXT('Daily Checklist'!$B$2:$B$2000,"yyyy-mm-dd")=TEXT(($B$4+19),"yyyy-mm-dd"))*('Daily Checklist'!$F$2:$F$2000="Done"))&amp;"/"&amp;SUMPRODUCT(('Daily Checklist'!$D$2:$D$2000=$A45)*(TEXT('Daily Checklist'!$B$2:$B$2000,"yyyy-mm-dd")=TEXT(($B$4+19),"yyyy-mm-dd")))&amp;" ESC",SUMPRODUCT(('Daily Checklist'!$D$2:$D$2000=$A45)*(TEXT('Daily Checklist'!$B$2:$B$2000,"yyyy-mm-dd")=TEXT(($B$4+19),"yyyy-mm-dd"))*('Daily Checklist'!$F$2:$F$2000="Done"))&amp;"/"&amp;SUMPRODUCT(('Daily Checklist'!$D$2:$D$2000=$A45)*(TEXT('Daily Checklist'!$B$2:$B$2000,"yyyy-mm-dd")=TEXT(($B$4+19),"yyyy-mm-dd"))))))</f>
        <v/>
      </c>
      <c r="V45" s="25" t="str">
        <f aca="false">IF($A45="","",IF(SUMPRODUCT(('Daily Checklist'!$D$2:$D$2000=$A45)*(TEXT('Daily Checklist'!$B$2:$B$2000,"yyyy-mm-dd")=TEXT(($B$4+20),"yyyy-mm-dd")))=0,"-",IF(SUMPRODUCT(('Daily Checklist'!$D$2:$D$2000=$A45)*(TEXT('Daily Checklist'!$B$2:$B$2000,"yyyy-mm-dd")=TEXT(($B$4+20),"yyyy-mm-dd"))*('Daily Checklist'!$L$2:$L$2000="Y"))&gt;0,SUMPRODUCT(('Daily Checklist'!$D$2:$D$2000=$A45)*(TEXT('Daily Checklist'!$B$2:$B$2000,"yyyy-mm-dd")=TEXT(($B$4+20),"yyyy-mm-dd"))*('Daily Checklist'!$F$2:$F$2000="Done"))&amp;"/"&amp;SUMPRODUCT(('Daily Checklist'!$D$2:$D$2000=$A45)*(TEXT('Daily Checklist'!$B$2:$B$2000,"yyyy-mm-dd")=TEXT(($B$4+20),"yyyy-mm-dd")))&amp;" ESC",SUMPRODUCT(('Daily Checklist'!$D$2:$D$2000=$A45)*(TEXT('Daily Checklist'!$B$2:$B$2000,"yyyy-mm-dd")=TEXT(($B$4+20),"yyyy-mm-dd"))*('Daily Checklist'!$F$2:$F$2000="Done"))&amp;"/"&amp;SUMPRODUCT(('Daily Checklist'!$D$2:$D$2000=$A45)*(TEXT('Daily Checklist'!$B$2:$B$2000,"yyyy-mm-dd")=TEXT(($B$4+20),"yyyy-mm-dd"))))))</f>
        <v/>
      </c>
      <c r="W45" s="25" t="str">
        <f aca="false">IF($A45="","",IF(SUMPRODUCT(('Daily Checklist'!$D$2:$D$2000=$A45)*(TEXT('Daily Checklist'!$B$2:$B$2000,"yyyy-mm-dd")=TEXT(($B$4+21),"yyyy-mm-dd")))=0,"-",IF(SUMPRODUCT(('Daily Checklist'!$D$2:$D$2000=$A45)*(TEXT('Daily Checklist'!$B$2:$B$2000,"yyyy-mm-dd")=TEXT(($B$4+21),"yyyy-mm-dd"))*('Daily Checklist'!$L$2:$L$2000="Y"))&gt;0,SUMPRODUCT(('Daily Checklist'!$D$2:$D$2000=$A45)*(TEXT('Daily Checklist'!$B$2:$B$2000,"yyyy-mm-dd")=TEXT(($B$4+21),"yyyy-mm-dd"))*('Daily Checklist'!$F$2:$F$2000="Done"))&amp;"/"&amp;SUMPRODUCT(('Daily Checklist'!$D$2:$D$2000=$A45)*(TEXT('Daily Checklist'!$B$2:$B$2000,"yyyy-mm-dd")=TEXT(($B$4+21),"yyyy-mm-dd")))&amp;" ESC",SUMPRODUCT(('Daily Checklist'!$D$2:$D$2000=$A45)*(TEXT('Daily Checklist'!$B$2:$B$2000,"yyyy-mm-dd")=TEXT(($B$4+21),"yyyy-mm-dd"))*('Daily Checklist'!$F$2:$F$2000="Done"))&amp;"/"&amp;SUMPRODUCT(('Daily Checklist'!$D$2:$D$2000=$A45)*(TEXT('Daily Checklist'!$B$2:$B$2000,"yyyy-mm-dd")=TEXT(($B$4+21),"yyyy-mm-dd"))))))</f>
        <v/>
      </c>
      <c r="X45" s="25" t="str">
        <f aca="false">IF($A45="","",IF(SUMPRODUCT(('Daily Checklist'!$D$2:$D$2000=$A45)*(TEXT('Daily Checklist'!$B$2:$B$2000,"yyyy-mm-dd")=TEXT(($B$4+22),"yyyy-mm-dd")))=0,"-",IF(SUMPRODUCT(('Daily Checklist'!$D$2:$D$2000=$A45)*(TEXT('Daily Checklist'!$B$2:$B$2000,"yyyy-mm-dd")=TEXT(($B$4+22),"yyyy-mm-dd"))*('Daily Checklist'!$L$2:$L$2000="Y"))&gt;0,SUMPRODUCT(('Daily Checklist'!$D$2:$D$2000=$A45)*(TEXT('Daily Checklist'!$B$2:$B$2000,"yyyy-mm-dd")=TEXT(($B$4+22),"yyyy-mm-dd"))*('Daily Checklist'!$F$2:$F$2000="Done"))&amp;"/"&amp;SUMPRODUCT(('Daily Checklist'!$D$2:$D$2000=$A45)*(TEXT('Daily Checklist'!$B$2:$B$2000,"yyyy-mm-dd")=TEXT(($B$4+22),"yyyy-mm-dd")))&amp;" ESC",SUMPRODUCT(('Daily Checklist'!$D$2:$D$2000=$A45)*(TEXT('Daily Checklist'!$B$2:$B$2000,"yyyy-mm-dd")=TEXT(($B$4+22),"yyyy-mm-dd"))*('Daily Checklist'!$F$2:$F$2000="Done"))&amp;"/"&amp;SUMPRODUCT(('Daily Checklist'!$D$2:$D$2000=$A45)*(TEXT('Daily Checklist'!$B$2:$B$2000,"yyyy-mm-dd")=TEXT(($B$4+22),"yyyy-mm-dd"))))))</f>
        <v/>
      </c>
      <c r="Y45" s="25" t="str">
        <f aca="false">IF($A45="","",IF(SUMPRODUCT(('Daily Checklist'!$D$2:$D$2000=$A45)*(TEXT('Daily Checklist'!$B$2:$B$2000,"yyyy-mm-dd")=TEXT(($B$4+23),"yyyy-mm-dd")))=0,"-",IF(SUMPRODUCT(('Daily Checklist'!$D$2:$D$2000=$A45)*(TEXT('Daily Checklist'!$B$2:$B$2000,"yyyy-mm-dd")=TEXT(($B$4+23),"yyyy-mm-dd"))*('Daily Checklist'!$L$2:$L$2000="Y"))&gt;0,SUMPRODUCT(('Daily Checklist'!$D$2:$D$2000=$A45)*(TEXT('Daily Checklist'!$B$2:$B$2000,"yyyy-mm-dd")=TEXT(($B$4+23),"yyyy-mm-dd"))*('Daily Checklist'!$F$2:$F$2000="Done"))&amp;"/"&amp;SUMPRODUCT(('Daily Checklist'!$D$2:$D$2000=$A45)*(TEXT('Daily Checklist'!$B$2:$B$2000,"yyyy-mm-dd")=TEXT(($B$4+23),"yyyy-mm-dd")))&amp;" ESC",SUMPRODUCT(('Daily Checklist'!$D$2:$D$2000=$A45)*(TEXT('Daily Checklist'!$B$2:$B$2000,"yyyy-mm-dd")=TEXT(($B$4+23),"yyyy-mm-dd"))*('Daily Checklist'!$F$2:$F$2000="Done"))&amp;"/"&amp;SUMPRODUCT(('Daily Checklist'!$D$2:$D$2000=$A45)*(TEXT('Daily Checklist'!$B$2:$B$2000,"yyyy-mm-dd")=TEXT(($B$4+23),"yyyy-mm-dd"))))))</f>
        <v/>
      </c>
      <c r="Z45" s="25" t="str">
        <f aca="false">IF($A45="","",IF(SUMPRODUCT(('Daily Checklist'!$D$2:$D$2000=$A45)*(TEXT('Daily Checklist'!$B$2:$B$2000,"yyyy-mm-dd")=TEXT(($B$4+24),"yyyy-mm-dd")))=0,"-",IF(SUMPRODUCT(('Daily Checklist'!$D$2:$D$2000=$A45)*(TEXT('Daily Checklist'!$B$2:$B$2000,"yyyy-mm-dd")=TEXT(($B$4+24),"yyyy-mm-dd"))*('Daily Checklist'!$L$2:$L$2000="Y"))&gt;0,SUMPRODUCT(('Daily Checklist'!$D$2:$D$2000=$A45)*(TEXT('Daily Checklist'!$B$2:$B$2000,"yyyy-mm-dd")=TEXT(($B$4+24),"yyyy-mm-dd"))*('Daily Checklist'!$F$2:$F$2000="Done"))&amp;"/"&amp;SUMPRODUCT(('Daily Checklist'!$D$2:$D$2000=$A45)*(TEXT('Daily Checklist'!$B$2:$B$2000,"yyyy-mm-dd")=TEXT(($B$4+24),"yyyy-mm-dd")))&amp;" ESC",SUMPRODUCT(('Daily Checklist'!$D$2:$D$2000=$A45)*(TEXT('Daily Checklist'!$B$2:$B$2000,"yyyy-mm-dd")=TEXT(($B$4+24),"yyyy-mm-dd"))*('Daily Checklist'!$F$2:$F$2000="Done"))&amp;"/"&amp;SUMPRODUCT(('Daily Checklist'!$D$2:$D$2000=$A45)*(TEXT('Daily Checklist'!$B$2:$B$2000,"yyyy-mm-dd")=TEXT(($B$4+24),"yyyy-mm-dd"))))))</f>
        <v/>
      </c>
      <c r="AA45" s="25" t="str">
        <f aca="false">IF($A45="","",IF(SUMPRODUCT(('Daily Checklist'!$D$2:$D$2000=$A45)*(TEXT('Daily Checklist'!$B$2:$B$2000,"yyyy-mm-dd")=TEXT(($B$4+25),"yyyy-mm-dd")))=0,"-",IF(SUMPRODUCT(('Daily Checklist'!$D$2:$D$2000=$A45)*(TEXT('Daily Checklist'!$B$2:$B$2000,"yyyy-mm-dd")=TEXT(($B$4+25),"yyyy-mm-dd"))*('Daily Checklist'!$L$2:$L$2000="Y"))&gt;0,SUMPRODUCT(('Daily Checklist'!$D$2:$D$2000=$A45)*(TEXT('Daily Checklist'!$B$2:$B$2000,"yyyy-mm-dd")=TEXT(($B$4+25),"yyyy-mm-dd"))*('Daily Checklist'!$F$2:$F$2000="Done"))&amp;"/"&amp;SUMPRODUCT(('Daily Checklist'!$D$2:$D$2000=$A45)*(TEXT('Daily Checklist'!$B$2:$B$2000,"yyyy-mm-dd")=TEXT(($B$4+25),"yyyy-mm-dd")))&amp;" ESC",SUMPRODUCT(('Daily Checklist'!$D$2:$D$2000=$A45)*(TEXT('Daily Checklist'!$B$2:$B$2000,"yyyy-mm-dd")=TEXT(($B$4+25),"yyyy-mm-dd"))*('Daily Checklist'!$F$2:$F$2000="Done"))&amp;"/"&amp;SUMPRODUCT(('Daily Checklist'!$D$2:$D$2000=$A45)*(TEXT('Daily Checklist'!$B$2:$B$2000,"yyyy-mm-dd")=TEXT(($B$4+25),"yyyy-mm-dd"))))))</f>
        <v/>
      </c>
      <c r="AB45" s="25" t="str">
        <f aca="false">IF($A45="","",IF(SUMPRODUCT(('Daily Checklist'!$D$2:$D$2000=$A45)*(TEXT('Daily Checklist'!$B$2:$B$2000,"yyyy-mm-dd")=TEXT(($B$4+26),"yyyy-mm-dd")))=0,"-",IF(SUMPRODUCT(('Daily Checklist'!$D$2:$D$2000=$A45)*(TEXT('Daily Checklist'!$B$2:$B$2000,"yyyy-mm-dd")=TEXT(($B$4+26),"yyyy-mm-dd"))*('Daily Checklist'!$L$2:$L$2000="Y"))&gt;0,SUMPRODUCT(('Daily Checklist'!$D$2:$D$2000=$A45)*(TEXT('Daily Checklist'!$B$2:$B$2000,"yyyy-mm-dd")=TEXT(($B$4+26),"yyyy-mm-dd"))*('Daily Checklist'!$F$2:$F$2000="Done"))&amp;"/"&amp;SUMPRODUCT(('Daily Checklist'!$D$2:$D$2000=$A45)*(TEXT('Daily Checklist'!$B$2:$B$2000,"yyyy-mm-dd")=TEXT(($B$4+26),"yyyy-mm-dd")))&amp;" ESC",SUMPRODUCT(('Daily Checklist'!$D$2:$D$2000=$A45)*(TEXT('Daily Checklist'!$B$2:$B$2000,"yyyy-mm-dd")=TEXT(($B$4+26),"yyyy-mm-dd"))*('Daily Checklist'!$F$2:$F$2000="Done"))&amp;"/"&amp;SUMPRODUCT(('Daily Checklist'!$D$2:$D$2000=$A45)*(TEXT('Daily Checklist'!$B$2:$B$2000,"yyyy-mm-dd")=TEXT(($B$4+26),"yyyy-mm-dd"))))))</f>
        <v/>
      </c>
      <c r="AC45" s="25" t="str">
        <f aca="false">IF($A45="","",IF(SUMPRODUCT(('Daily Checklist'!$D$2:$D$2000=$A45)*(TEXT('Daily Checklist'!$B$2:$B$2000,"yyyy-mm-dd")=TEXT(($B$4+27),"yyyy-mm-dd")))=0,"-",IF(SUMPRODUCT(('Daily Checklist'!$D$2:$D$2000=$A45)*(TEXT('Daily Checklist'!$B$2:$B$2000,"yyyy-mm-dd")=TEXT(($B$4+27),"yyyy-mm-dd"))*('Daily Checklist'!$L$2:$L$2000="Y"))&gt;0,SUMPRODUCT(('Daily Checklist'!$D$2:$D$2000=$A45)*(TEXT('Daily Checklist'!$B$2:$B$2000,"yyyy-mm-dd")=TEXT(($B$4+27),"yyyy-mm-dd"))*('Daily Checklist'!$F$2:$F$2000="Done"))&amp;"/"&amp;SUMPRODUCT(('Daily Checklist'!$D$2:$D$2000=$A45)*(TEXT('Daily Checklist'!$B$2:$B$2000,"yyyy-mm-dd")=TEXT(($B$4+27),"yyyy-mm-dd")))&amp;" ESC",SUMPRODUCT(('Daily Checklist'!$D$2:$D$2000=$A45)*(TEXT('Daily Checklist'!$B$2:$B$2000,"yyyy-mm-dd")=TEXT(($B$4+27),"yyyy-mm-dd"))*('Daily Checklist'!$F$2:$F$2000="Done"))&amp;"/"&amp;SUMPRODUCT(('Daily Checklist'!$D$2:$D$2000=$A45)*(TEXT('Daily Checklist'!$B$2:$B$2000,"yyyy-mm-dd")=TEXT(($B$4+27),"yyyy-mm-dd"))))))</f>
        <v/>
      </c>
      <c r="AD45" s="25" t="str">
        <f aca="false">IF($A45="","",IF(SUMPRODUCT(('Daily Checklist'!$D$2:$D$2000=$A45)*(TEXT('Daily Checklist'!$B$2:$B$2000,"yyyy-mm-dd")=TEXT(($B$4+28),"yyyy-mm-dd")))=0,"-",IF(SUMPRODUCT(('Daily Checklist'!$D$2:$D$2000=$A45)*(TEXT('Daily Checklist'!$B$2:$B$2000,"yyyy-mm-dd")=TEXT(($B$4+28),"yyyy-mm-dd"))*('Daily Checklist'!$L$2:$L$2000="Y"))&gt;0,SUMPRODUCT(('Daily Checklist'!$D$2:$D$2000=$A45)*(TEXT('Daily Checklist'!$B$2:$B$2000,"yyyy-mm-dd")=TEXT(($B$4+28),"yyyy-mm-dd"))*('Daily Checklist'!$F$2:$F$2000="Done"))&amp;"/"&amp;SUMPRODUCT(('Daily Checklist'!$D$2:$D$2000=$A45)*(TEXT('Daily Checklist'!$B$2:$B$2000,"yyyy-mm-dd")=TEXT(($B$4+28),"yyyy-mm-dd")))&amp;" ESC",SUMPRODUCT(('Daily Checklist'!$D$2:$D$2000=$A45)*(TEXT('Daily Checklist'!$B$2:$B$2000,"yyyy-mm-dd")=TEXT(($B$4+28),"yyyy-mm-dd"))*('Daily Checklist'!$F$2:$F$2000="Done"))&amp;"/"&amp;SUMPRODUCT(('Daily Checklist'!$D$2:$D$2000=$A45)*(TEXT('Daily Checklist'!$B$2:$B$2000,"yyyy-mm-dd")=TEXT(($B$4+28),"yyyy-mm-dd"))))))</f>
        <v/>
      </c>
      <c r="AE45" s="25" t="str">
        <f aca="false">IF($A45="","",IF(SUMPRODUCT(('Daily Checklist'!$D$2:$D$2000=$A45)*(TEXT('Daily Checklist'!$B$2:$B$2000,"yyyy-mm-dd")=TEXT(($B$4+29),"yyyy-mm-dd")))=0,"-",IF(SUMPRODUCT(('Daily Checklist'!$D$2:$D$2000=$A45)*(TEXT('Daily Checklist'!$B$2:$B$2000,"yyyy-mm-dd")=TEXT(($B$4+29),"yyyy-mm-dd"))*('Daily Checklist'!$L$2:$L$2000="Y"))&gt;0,SUMPRODUCT(('Daily Checklist'!$D$2:$D$2000=$A45)*(TEXT('Daily Checklist'!$B$2:$B$2000,"yyyy-mm-dd")=TEXT(($B$4+29),"yyyy-mm-dd"))*('Daily Checklist'!$F$2:$F$2000="Done"))&amp;"/"&amp;SUMPRODUCT(('Daily Checklist'!$D$2:$D$2000=$A45)*(TEXT('Daily Checklist'!$B$2:$B$2000,"yyyy-mm-dd")=TEXT(($B$4+29),"yyyy-mm-dd")))&amp;" ESC",SUMPRODUCT(('Daily Checklist'!$D$2:$D$2000=$A45)*(TEXT('Daily Checklist'!$B$2:$B$2000,"yyyy-mm-dd")=TEXT(($B$4+29),"yyyy-mm-dd"))*('Daily Checklist'!$F$2:$F$2000="Done"))&amp;"/"&amp;SUMPRODUCT(('Daily Checklist'!$D$2:$D$2000=$A45)*(TEXT('Daily Checklist'!$B$2:$B$2000,"yyyy-mm-dd")=TEXT(($B$4+29),"yyyy-mm-dd"))))))</f>
        <v/>
      </c>
      <c r="AF45" s="25" t="str">
        <f aca="false">IF($A45="","",IF(SUMPRODUCT(('Daily Checklist'!$D$2:$D$2000=$A45)*(TEXT('Daily Checklist'!$B$2:$B$2000,"yyyy-mm-dd")=TEXT(($B$4+30),"yyyy-mm-dd")))=0,"-",IF(SUMPRODUCT(('Daily Checklist'!$D$2:$D$2000=$A45)*(TEXT('Daily Checklist'!$B$2:$B$2000,"yyyy-mm-dd")=TEXT(($B$4+30),"yyyy-mm-dd"))*('Daily Checklist'!$L$2:$L$2000="Y"))&gt;0,SUMPRODUCT(('Daily Checklist'!$D$2:$D$2000=$A45)*(TEXT('Daily Checklist'!$B$2:$B$2000,"yyyy-mm-dd")=TEXT(($B$4+30),"yyyy-mm-dd"))*('Daily Checklist'!$F$2:$F$2000="Done"))&amp;"/"&amp;SUMPRODUCT(('Daily Checklist'!$D$2:$D$2000=$A45)*(TEXT('Daily Checklist'!$B$2:$B$2000,"yyyy-mm-dd")=TEXT(($B$4+30),"yyyy-mm-dd")))&amp;" ESC",SUMPRODUCT(('Daily Checklist'!$D$2:$D$2000=$A45)*(TEXT('Daily Checklist'!$B$2:$B$2000,"yyyy-mm-dd")=TEXT(($B$4+30),"yyyy-mm-dd"))*('Daily Checklist'!$F$2:$F$2000="Done"))&amp;"/"&amp;SUMPRODUCT(('Daily Checklist'!$D$2:$D$2000=$A45)*(TEXT('Daily Checklist'!$B$2:$B$2000,"yyyy-mm-dd")=TEXT(($B$4+30),"yyyy-mm-dd"))))))</f>
        <v/>
      </c>
    </row>
    <row r="46" customFormat="false" ht="15" hidden="false" customHeight="true" outlineLevel="0" collapsed="false">
      <c r="A46" s="24" t="str">
        <f aca="false">IFERROR(IF(Employees!A41="","",Employees!A41),"")</f>
        <v/>
      </c>
      <c r="B46" s="25" t="str">
        <f aca="false">IF($A46="","",IF(SUMPRODUCT(('Daily Checklist'!$D$2:$D$2000=$A46)*(TEXT('Daily Checklist'!$B$2:$B$2000,"yyyy-mm-dd")=TEXT(($B$4+0),"yyyy-mm-dd")))=0,"-",IF(SUMPRODUCT(('Daily Checklist'!$D$2:$D$2000=$A46)*(TEXT('Daily Checklist'!$B$2:$B$2000,"yyyy-mm-dd")=TEXT(($B$4+0),"yyyy-mm-dd"))*('Daily Checklist'!$L$2:$L$2000="Y"))&gt;0,SUMPRODUCT(('Daily Checklist'!$D$2:$D$2000=$A46)*(TEXT('Daily Checklist'!$B$2:$B$2000,"yyyy-mm-dd")=TEXT(($B$4+0),"yyyy-mm-dd"))*('Daily Checklist'!$F$2:$F$2000="Done"))&amp;"/"&amp;SUMPRODUCT(('Daily Checklist'!$D$2:$D$2000=$A46)*(TEXT('Daily Checklist'!$B$2:$B$2000,"yyyy-mm-dd")=TEXT(($B$4+0),"yyyy-mm-dd")))&amp;" ESC",SUMPRODUCT(('Daily Checklist'!$D$2:$D$2000=$A46)*(TEXT('Daily Checklist'!$B$2:$B$2000,"yyyy-mm-dd")=TEXT(($B$4+0),"yyyy-mm-dd"))*('Daily Checklist'!$F$2:$F$2000="Done"))&amp;"/"&amp;SUMPRODUCT(('Daily Checklist'!$D$2:$D$2000=$A46)*(TEXT('Daily Checklist'!$B$2:$B$2000,"yyyy-mm-dd")=TEXT(($B$4+0),"yyyy-mm-dd"))))))</f>
        <v/>
      </c>
      <c r="C46" s="25" t="str">
        <f aca="false">IF($A46="","",IF(SUMPRODUCT(('Daily Checklist'!$D$2:$D$2000=$A46)*(TEXT('Daily Checklist'!$B$2:$B$2000,"yyyy-mm-dd")=TEXT(($B$4+1),"yyyy-mm-dd")))=0,"-",IF(SUMPRODUCT(('Daily Checklist'!$D$2:$D$2000=$A46)*(TEXT('Daily Checklist'!$B$2:$B$2000,"yyyy-mm-dd")=TEXT(($B$4+1),"yyyy-mm-dd"))*('Daily Checklist'!$L$2:$L$2000="Y"))&gt;0,SUMPRODUCT(('Daily Checklist'!$D$2:$D$2000=$A46)*(TEXT('Daily Checklist'!$B$2:$B$2000,"yyyy-mm-dd")=TEXT(($B$4+1),"yyyy-mm-dd"))*('Daily Checklist'!$F$2:$F$2000="Done"))&amp;"/"&amp;SUMPRODUCT(('Daily Checklist'!$D$2:$D$2000=$A46)*(TEXT('Daily Checklist'!$B$2:$B$2000,"yyyy-mm-dd")=TEXT(($B$4+1),"yyyy-mm-dd")))&amp;" ESC",SUMPRODUCT(('Daily Checklist'!$D$2:$D$2000=$A46)*(TEXT('Daily Checklist'!$B$2:$B$2000,"yyyy-mm-dd")=TEXT(($B$4+1),"yyyy-mm-dd"))*('Daily Checklist'!$F$2:$F$2000="Done"))&amp;"/"&amp;SUMPRODUCT(('Daily Checklist'!$D$2:$D$2000=$A46)*(TEXT('Daily Checklist'!$B$2:$B$2000,"yyyy-mm-dd")=TEXT(($B$4+1),"yyyy-mm-dd"))))))</f>
        <v/>
      </c>
      <c r="D46" s="25" t="str">
        <f aca="false">IF($A46="","",IF(SUMPRODUCT(('Daily Checklist'!$D$2:$D$2000=$A46)*(TEXT('Daily Checklist'!$B$2:$B$2000,"yyyy-mm-dd")=TEXT(($B$4+2),"yyyy-mm-dd")))=0,"-",IF(SUMPRODUCT(('Daily Checklist'!$D$2:$D$2000=$A46)*(TEXT('Daily Checklist'!$B$2:$B$2000,"yyyy-mm-dd")=TEXT(($B$4+2),"yyyy-mm-dd"))*('Daily Checklist'!$L$2:$L$2000="Y"))&gt;0,SUMPRODUCT(('Daily Checklist'!$D$2:$D$2000=$A46)*(TEXT('Daily Checklist'!$B$2:$B$2000,"yyyy-mm-dd")=TEXT(($B$4+2),"yyyy-mm-dd"))*('Daily Checklist'!$F$2:$F$2000="Done"))&amp;"/"&amp;SUMPRODUCT(('Daily Checklist'!$D$2:$D$2000=$A46)*(TEXT('Daily Checklist'!$B$2:$B$2000,"yyyy-mm-dd")=TEXT(($B$4+2),"yyyy-mm-dd")))&amp;" ESC",SUMPRODUCT(('Daily Checklist'!$D$2:$D$2000=$A46)*(TEXT('Daily Checklist'!$B$2:$B$2000,"yyyy-mm-dd")=TEXT(($B$4+2),"yyyy-mm-dd"))*('Daily Checklist'!$F$2:$F$2000="Done"))&amp;"/"&amp;SUMPRODUCT(('Daily Checklist'!$D$2:$D$2000=$A46)*(TEXT('Daily Checklist'!$B$2:$B$2000,"yyyy-mm-dd")=TEXT(($B$4+2),"yyyy-mm-dd"))))))</f>
        <v/>
      </c>
      <c r="E46" s="25" t="str">
        <f aca="false">IF($A46="","",IF(SUMPRODUCT(('Daily Checklist'!$D$2:$D$2000=$A46)*(TEXT('Daily Checklist'!$B$2:$B$2000,"yyyy-mm-dd")=TEXT(($B$4+3),"yyyy-mm-dd")))=0,"-",IF(SUMPRODUCT(('Daily Checklist'!$D$2:$D$2000=$A46)*(TEXT('Daily Checklist'!$B$2:$B$2000,"yyyy-mm-dd")=TEXT(($B$4+3),"yyyy-mm-dd"))*('Daily Checklist'!$L$2:$L$2000="Y"))&gt;0,SUMPRODUCT(('Daily Checklist'!$D$2:$D$2000=$A46)*(TEXT('Daily Checklist'!$B$2:$B$2000,"yyyy-mm-dd")=TEXT(($B$4+3),"yyyy-mm-dd"))*('Daily Checklist'!$F$2:$F$2000="Done"))&amp;"/"&amp;SUMPRODUCT(('Daily Checklist'!$D$2:$D$2000=$A46)*(TEXT('Daily Checklist'!$B$2:$B$2000,"yyyy-mm-dd")=TEXT(($B$4+3),"yyyy-mm-dd")))&amp;" ESC",SUMPRODUCT(('Daily Checklist'!$D$2:$D$2000=$A46)*(TEXT('Daily Checklist'!$B$2:$B$2000,"yyyy-mm-dd")=TEXT(($B$4+3),"yyyy-mm-dd"))*('Daily Checklist'!$F$2:$F$2000="Done"))&amp;"/"&amp;SUMPRODUCT(('Daily Checklist'!$D$2:$D$2000=$A46)*(TEXT('Daily Checklist'!$B$2:$B$2000,"yyyy-mm-dd")=TEXT(($B$4+3),"yyyy-mm-dd"))))))</f>
        <v/>
      </c>
      <c r="F46" s="25" t="str">
        <f aca="false">IF($A46="","",IF(SUMPRODUCT(('Daily Checklist'!$D$2:$D$2000=$A46)*(TEXT('Daily Checklist'!$B$2:$B$2000,"yyyy-mm-dd")=TEXT(($B$4+4),"yyyy-mm-dd")))=0,"-",IF(SUMPRODUCT(('Daily Checklist'!$D$2:$D$2000=$A46)*(TEXT('Daily Checklist'!$B$2:$B$2000,"yyyy-mm-dd")=TEXT(($B$4+4),"yyyy-mm-dd"))*('Daily Checklist'!$L$2:$L$2000="Y"))&gt;0,SUMPRODUCT(('Daily Checklist'!$D$2:$D$2000=$A46)*(TEXT('Daily Checklist'!$B$2:$B$2000,"yyyy-mm-dd")=TEXT(($B$4+4),"yyyy-mm-dd"))*('Daily Checklist'!$F$2:$F$2000="Done"))&amp;"/"&amp;SUMPRODUCT(('Daily Checklist'!$D$2:$D$2000=$A46)*(TEXT('Daily Checklist'!$B$2:$B$2000,"yyyy-mm-dd")=TEXT(($B$4+4),"yyyy-mm-dd")))&amp;" ESC",SUMPRODUCT(('Daily Checklist'!$D$2:$D$2000=$A46)*(TEXT('Daily Checklist'!$B$2:$B$2000,"yyyy-mm-dd")=TEXT(($B$4+4),"yyyy-mm-dd"))*('Daily Checklist'!$F$2:$F$2000="Done"))&amp;"/"&amp;SUMPRODUCT(('Daily Checklist'!$D$2:$D$2000=$A46)*(TEXT('Daily Checklist'!$B$2:$B$2000,"yyyy-mm-dd")=TEXT(($B$4+4),"yyyy-mm-dd"))))))</f>
        <v/>
      </c>
      <c r="G46" s="25" t="str">
        <f aca="false">IF($A46="","",IF(SUMPRODUCT(('Daily Checklist'!$D$2:$D$2000=$A46)*(TEXT('Daily Checklist'!$B$2:$B$2000,"yyyy-mm-dd")=TEXT(($B$4+5),"yyyy-mm-dd")))=0,"-",IF(SUMPRODUCT(('Daily Checklist'!$D$2:$D$2000=$A46)*(TEXT('Daily Checklist'!$B$2:$B$2000,"yyyy-mm-dd")=TEXT(($B$4+5),"yyyy-mm-dd"))*('Daily Checklist'!$L$2:$L$2000="Y"))&gt;0,SUMPRODUCT(('Daily Checklist'!$D$2:$D$2000=$A46)*(TEXT('Daily Checklist'!$B$2:$B$2000,"yyyy-mm-dd")=TEXT(($B$4+5),"yyyy-mm-dd"))*('Daily Checklist'!$F$2:$F$2000="Done"))&amp;"/"&amp;SUMPRODUCT(('Daily Checklist'!$D$2:$D$2000=$A46)*(TEXT('Daily Checklist'!$B$2:$B$2000,"yyyy-mm-dd")=TEXT(($B$4+5),"yyyy-mm-dd")))&amp;" ESC",SUMPRODUCT(('Daily Checklist'!$D$2:$D$2000=$A46)*(TEXT('Daily Checklist'!$B$2:$B$2000,"yyyy-mm-dd")=TEXT(($B$4+5),"yyyy-mm-dd"))*('Daily Checklist'!$F$2:$F$2000="Done"))&amp;"/"&amp;SUMPRODUCT(('Daily Checklist'!$D$2:$D$2000=$A46)*(TEXT('Daily Checklist'!$B$2:$B$2000,"yyyy-mm-dd")=TEXT(($B$4+5),"yyyy-mm-dd"))))))</f>
        <v/>
      </c>
      <c r="H46" s="25" t="str">
        <f aca="false">IF($A46="","",IF(SUMPRODUCT(('Daily Checklist'!$D$2:$D$2000=$A46)*(TEXT('Daily Checklist'!$B$2:$B$2000,"yyyy-mm-dd")=TEXT(($B$4+6),"yyyy-mm-dd")))=0,"-",IF(SUMPRODUCT(('Daily Checklist'!$D$2:$D$2000=$A46)*(TEXT('Daily Checklist'!$B$2:$B$2000,"yyyy-mm-dd")=TEXT(($B$4+6),"yyyy-mm-dd"))*('Daily Checklist'!$L$2:$L$2000="Y"))&gt;0,SUMPRODUCT(('Daily Checklist'!$D$2:$D$2000=$A46)*(TEXT('Daily Checklist'!$B$2:$B$2000,"yyyy-mm-dd")=TEXT(($B$4+6),"yyyy-mm-dd"))*('Daily Checklist'!$F$2:$F$2000="Done"))&amp;"/"&amp;SUMPRODUCT(('Daily Checklist'!$D$2:$D$2000=$A46)*(TEXT('Daily Checklist'!$B$2:$B$2000,"yyyy-mm-dd")=TEXT(($B$4+6),"yyyy-mm-dd")))&amp;" ESC",SUMPRODUCT(('Daily Checklist'!$D$2:$D$2000=$A46)*(TEXT('Daily Checklist'!$B$2:$B$2000,"yyyy-mm-dd")=TEXT(($B$4+6),"yyyy-mm-dd"))*('Daily Checklist'!$F$2:$F$2000="Done"))&amp;"/"&amp;SUMPRODUCT(('Daily Checklist'!$D$2:$D$2000=$A46)*(TEXT('Daily Checklist'!$B$2:$B$2000,"yyyy-mm-dd")=TEXT(($B$4+6),"yyyy-mm-dd"))))))</f>
        <v/>
      </c>
      <c r="I46" s="25" t="str">
        <f aca="false">IF($A46="","",IF(SUMPRODUCT(('Daily Checklist'!$D$2:$D$2000=$A46)*(TEXT('Daily Checklist'!$B$2:$B$2000,"yyyy-mm-dd")=TEXT(($B$4+7),"yyyy-mm-dd")))=0,"-",IF(SUMPRODUCT(('Daily Checklist'!$D$2:$D$2000=$A46)*(TEXT('Daily Checklist'!$B$2:$B$2000,"yyyy-mm-dd")=TEXT(($B$4+7),"yyyy-mm-dd"))*('Daily Checklist'!$L$2:$L$2000="Y"))&gt;0,SUMPRODUCT(('Daily Checklist'!$D$2:$D$2000=$A46)*(TEXT('Daily Checklist'!$B$2:$B$2000,"yyyy-mm-dd")=TEXT(($B$4+7),"yyyy-mm-dd"))*('Daily Checklist'!$F$2:$F$2000="Done"))&amp;"/"&amp;SUMPRODUCT(('Daily Checklist'!$D$2:$D$2000=$A46)*(TEXT('Daily Checklist'!$B$2:$B$2000,"yyyy-mm-dd")=TEXT(($B$4+7),"yyyy-mm-dd")))&amp;" ESC",SUMPRODUCT(('Daily Checklist'!$D$2:$D$2000=$A46)*(TEXT('Daily Checklist'!$B$2:$B$2000,"yyyy-mm-dd")=TEXT(($B$4+7),"yyyy-mm-dd"))*('Daily Checklist'!$F$2:$F$2000="Done"))&amp;"/"&amp;SUMPRODUCT(('Daily Checklist'!$D$2:$D$2000=$A46)*(TEXT('Daily Checklist'!$B$2:$B$2000,"yyyy-mm-dd")=TEXT(($B$4+7),"yyyy-mm-dd"))))))</f>
        <v/>
      </c>
      <c r="J46" s="25" t="str">
        <f aca="false">IF($A46="","",IF(SUMPRODUCT(('Daily Checklist'!$D$2:$D$2000=$A46)*(TEXT('Daily Checklist'!$B$2:$B$2000,"yyyy-mm-dd")=TEXT(($B$4+8),"yyyy-mm-dd")))=0,"-",IF(SUMPRODUCT(('Daily Checklist'!$D$2:$D$2000=$A46)*(TEXT('Daily Checklist'!$B$2:$B$2000,"yyyy-mm-dd")=TEXT(($B$4+8),"yyyy-mm-dd"))*('Daily Checklist'!$L$2:$L$2000="Y"))&gt;0,SUMPRODUCT(('Daily Checklist'!$D$2:$D$2000=$A46)*(TEXT('Daily Checklist'!$B$2:$B$2000,"yyyy-mm-dd")=TEXT(($B$4+8),"yyyy-mm-dd"))*('Daily Checklist'!$F$2:$F$2000="Done"))&amp;"/"&amp;SUMPRODUCT(('Daily Checklist'!$D$2:$D$2000=$A46)*(TEXT('Daily Checklist'!$B$2:$B$2000,"yyyy-mm-dd")=TEXT(($B$4+8),"yyyy-mm-dd")))&amp;" ESC",SUMPRODUCT(('Daily Checklist'!$D$2:$D$2000=$A46)*(TEXT('Daily Checklist'!$B$2:$B$2000,"yyyy-mm-dd")=TEXT(($B$4+8),"yyyy-mm-dd"))*('Daily Checklist'!$F$2:$F$2000="Done"))&amp;"/"&amp;SUMPRODUCT(('Daily Checklist'!$D$2:$D$2000=$A46)*(TEXT('Daily Checklist'!$B$2:$B$2000,"yyyy-mm-dd")=TEXT(($B$4+8),"yyyy-mm-dd"))))))</f>
        <v/>
      </c>
      <c r="K46" s="25" t="str">
        <f aca="false">IF($A46="","",IF(SUMPRODUCT(('Daily Checklist'!$D$2:$D$2000=$A46)*(TEXT('Daily Checklist'!$B$2:$B$2000,"yyyy-mm-dd")=TEXT(($B$4+9),"yyyy-mm-dd")))=0,"-",IF(SUMPRODUCT(('Daily Checklist'!$D$2:$D$2000=$A46)*(TEXT('Daily Checklist'!$B$2:$B$2000,"yyyy-mm-dd")=TEXT(($B$4+9),"yyyy-mm-dd"))*('Daily Checklist'!$L$2:$L$2000="Y"))&gt;0,SUMPRODUCT(('Daily Checklist'!$D$2:$D$2000=$A46)*(TEXT('Daily Checklist'!$B$2:$B$2000,"yyyy-mm-dd")=TEXT(($B$4+9),"yyyy-mm-dd"))*('Daily Checklist'!$F$2:$F$2000="Done"))&amp;"/"&amp;SUMPRODUCT(('Daily Checklist'!$D$2:$D$2000=$A46)*(TEXT('Daily Checklist'!$B$2:$B$2000,"yyyy-mm-dd")=TEXT(($B$4+9),"yyyy-mm-dd")))&amp;" ESC",SUMPRODUCT(('Daily Checklist'!$D$2:$D$2000=$A46)*(TEXT('Daily Checklist'!$B$2:$B$2000,"yyyy-mm-dd")=TEXT(($B$4+9),"yyyy-mm-dd"))*('Daily Checklist'!$F$2:$F$2000="Done"))&amp;"/"&amp;SUMPRODUCT(('Daily Checklist'!$D$2:$D$2000=$A46)*(TEXT('Daily Checklist'!$B$2:$B$2000,"yyyy-mm-dd")=TEXT(($B$4+9),"yyyy-mm-dd"))))))</f>
        <v/>
      </c>
      <c r="L46" s="25" t="str">
        <f aca="false">IF($A46="","",IF(SUMPRODUCT(('Daily Checklist'!$D$2:$D$2000=$A46)*(TEXT('Daily Checklist'!$B$2:$B$2000,"yyyy-mm-dd")=TEXT(($B$4+10),"yyyy-mm-dd")))=0,"-",IF(SUMPRODUCT(('Daily Checklist'!$D$2:$D$2000=$A46)*(TEXT('Daily Checklist'!$B$2:$B$2000,"yyyy-mm-dd")=TEXT(($B$4+10),"yyyy-mm-dd"))*('Daily Checklist'!$L$2:$L$2000="Y"))&gt;0,SUMPRODUCT(('Daily Checklist'!$D$2:$D$2000=$A46)*(TEXT('Daily Checklist'!$B$2:$B$2000,"yyyy-mm-dd")=TEXT(($B$4+10),"yyyy-mm-dd"))*('Daily Checklist'!$F$2:$F$2000="Done"))&amp;"/"&amp;SUMPRODUCT(('Daily Checklist'!$D$2:$D$2000=$A46)*(TEXT('Daily Checklist'!$B$2:$B$2000,"yyyy-mm-dd")=TEXT(($B$4+10),"yyyy-mm-dd")))&amp;" ESC",SUMPRODUCT(('Daily Checklist'!$D$2:$D$2000=$A46)*(TEXT('Daily Checklist'!$B$2:$B$2000,"yyyy-mm-dd")=TEXT(($B$4+10),"yyyy-mm-dd"))*('Daily Checklist'!$F$2:$F$2000="Done"))&amp;"/"&amp;SUMPRODUCT(('Daily Checklist'!$D$2:$D$2000=$A46)*(TEXT('Daily Checklist'!$B$2:$B$2000,"yyyy-mm-dd")=TEXT(($B$4+10),"yyyy-mm-dd"))))))</f>
        <v/>
      </c>
      <c r="M46" s="25" t="str">
        <f aca="false">IF($A46="","",IF(SUMPRODUCT(('Daily Checklist'!$D$2:$D$2000=$A46)*(TEXT('Daily Checklist'!$B$2:$B$2000,"yyyy-mm-dd")=TEXT(($B$4+11),"yyyy-mm-dd")))=0,"-",IF(SUMPRODUCT(('Daily Checklist'!$D$2:$D$2000=$A46)*(TEXT('Daily Checklist'!$B$2:$B$2000,"yyyy-mm-dd")=TEXT(($B$4+11),"yyyy-mm-dd"))*('Daily Checklist'!$L$2:$L$2000="Y"))&gt;0,SUMPRODUCT(('Daily Checklist'!$D$2:$D$2000=$A46)*(TEXT('Daily Checklist'!$B$2:$B$2000,"yyyy-mm-dd")=TEXT(($B$4+11),"yyyy-mm-dd"))*('Daily Checklist'!$F$2:$F$2000="Done"))&amp;"/"&amp;SUMPRODUCT(('Daily Checklist'!$D$2:$D$2000=$A46)*(TEXT('Daily Checklist'!$B$2:$B$2000,"yyyy-mm-dd")=TEXT(($B$4+11),"yyyy-mm-dd")))&amp;" ESC",SUMPRODUCT(('Daily Checklist'!$D$2:$D$2000=$A46)*(TEXT('Daily Checklist'!$B$2:$B$2000,"yyyy-mm-dd")=TEXT(($B$4+11),"yyyy-mm-dd"))*('Daily Checklist'!$F$2:$F$2000="Done"))&amp;"/"&amp;SUMPRODUCT(('Daily Checklist'!$D$2:$D$2000=$A46)*(TEXT('Daily Checklist'!$B$2:$B$2000,"yyyy-mm-dd")=TEXT(($B$4+11),"yyyy-mm-dd"))))))</f>
        <v/>
      </c>
      <c r="N46" s="25" t="str">
        <f aca="false">IF($A46="","",IF(SUMPRODUCT(('Daily Checklist'!$D$2:$D$2000=$A46)*(TEXT('Daily Checklist'!$B$2:$B$2000,"yyyy-mm-dd")=TEXT(($B$4+12),"yyyy-mm-dd")))=0,"-",IF(SUMPRODUCT(('Daily Checklist'!$D$2:$D$2000=$A46)*(TEXT('Daily Checklist'!$B$2:$B$2000,"yyyy-mm-dd")=TEXT(($B$4+12),"yyyy-mm-dd"))*('Daily Checklist'!$L$2:$L$2000="Y"))&gt;0,SUMPRODUCT(('Daily Checklist'!$D$2:$D$2000=$A46)*(TEXT('Daily Checklist'!$B$2:$B$2000,"yyyy-mm-dd")=TEXT(($B$4+12),"yyyy-mm-dd"))*('Daily Checklist'!$F$2:$F$2000="Done"))&amp;"/"&amp;SUMPRODUCT(('Daily Checklist'!$D$2:$D$2000=$A46)*(TEXT('Daily Checklist'!$B$2:$B$2000,"yyyy-mm-dd")=TEXT(($B$4+12),"yyyy-mm-dd")))&amp;" ESC",SUMPRODUCT(('Daily Checklist'!$D$2:$D$2000=$A46)*(TEXT('Daily Checklist'!$B$2:$B$2000,"yyyy-mm-dd")=TEXT(($B$4+12),"yyyy-mm-dd"))*('Daily Checklist'!$F$2:$F$2000="Done"))&amp;"/"&amp;SUMPRODUCT(('Daily Checklist'!$D$2:$D$2000=$A46)*(TEXT('Daily Checklist'!$B$2:$B$2000,"yyyy-mm-dd")=TEXT(($B$4+12),"yyyy-mm-dd"))))))</f>
        <v/>
      </c>
      <c r="O46" s="25" t="str">
        <f aca="false">IF($A46="","",IF(SUMPRODUCT(('Daily Checklist'!$D$2:$D$2000=$A46)*(TEXT('Daily Checklist'!$B$2:$B$2000,"yyyy-mm-dd")=TEXT(($B$4+13),"yyyy-mm-dd")))=0,"-",IF(SUMPRODUCT(('Daily Checklist'!$D$2:$D$2000=$A46)*(TEXT('Daily Checklist'!$B$2:$B$2000,"yyyy-mm-dd")=TEXT(($B$4+13),"yyyy-mm-dd"))*('Daily Checklist'!$L$2:$L$2000="Y"))&gt;0,SUMPRODUCT(('Daily Checklist'!$D$2:$D$2000=$A46)*(TEXT('Daily Checklist'!$B$2:$B$2000,"yyyy-mm-dd")=TEXT(($B$4+13),"yyyy-mm-dd"))*('Daily Checklist'!$F$2:$F$2000="Done"))&amp;"/"&amp;SUMPRODUCT(('Daily Checklist'!$D$2:$D$2000=$A46)*(TEXT('Daily Checklist'!$B$2:$B$2000,"yyyy-mm-dd")=TEXT(($B$4+13),"yyyy-mm-dd")))&amp;" ESC",SUMPRODUCT(('Daily Checklist'!$D$2:$D$2000=$A46)*(TEXT('Daily Checklist'!$B$2:$B$2000,"yyyy-mm-dd")=TEXT(($B$4+13),"yyyy-mm-dd"))*('Daily Checklist'!$F$2:$F$2000="Done"))&amp;"/"&amp;SUMPRODUCT(('Daily Checklist'!$D$2:$D$2000=$A46)*(TEXT('Daily Checklist'!$B$2:$B$2000,"yyyy-mm-dd")=TEXT(($B$4+13),"yyyy-mm-dd"))))))</f>
        <v/>
      </c>
      <c r="P46" s="25" t="str">
        <f aca="false">IF($A46="","",IF(SUMPRODUCT(('Daily Checklist'!$D$2:$D$2000=$A46)*(TEXT('Daily Checklist'!$B$2:$B$2000,"yyyy-mm-dd")=TEXT(($B$4+14),"yyyy-mm-dd")))=0,"-",IF(SUMPRODUCT(('Daily Checklist'!$D$2:$D$2000=$A46)*(TEXT('Daily Checklist'!$B$2:$B$2000,"yyyy-mm-dd")=TEXT(($B$4+14),"yyyy-mm-dd"))*('Daily Checklist'!$L$2:$L$2000="Y"))&gt;0,SUMPRODUCT(('Daily Checklist'!$D$2:$D$2000=$A46)*(TEXT('Daily Checklist'!$B$2:$B$2000,"yyyy-mm-dd")=TEXT(($B$4+14),"yyyy-mm-dd"))*('Daily Checklist'!$F$2:$F$2000="Done"))&amp;"/"&amp;SUMPRODUCT(('Daily Checklist'!$D$2:$D$2000=$A46)*(TEXT('Daily Checklist'!$B$2:$B$2000,"yyyy-mm-dd")=TEXT(($B$4+14),"yyyy-mm-dd")))&amp;" ESC",SUMPRODUCT(('Daily Checklist'!$D$2:$D$2000=$A46)*(TEXT('Daily Checklist'!$B$2:$B$2000,"yyyy-mm-dd")=TEXT(($B$4+14),"yyyy-mm-dd"))*('Daily Checklist'!$F$2:$F$2000="Done"))&amp;"/"&amp;SUMPRODUCT(('Daily Checklist'!$D$2:$D$2000=$A46)*(TEXT('Daily Checklist'!$B$2:$B$2000,"yyyy-mm-dd")=TEXT(($B$4+14),"yyyy-mm-dd"))))))</f>
        <v/>
      </c>
      <c r="Q46" s="25" t="str">
        <f aca="false">IF($A46="","",IF(SUMPRODUCT(('Daily Checklist'!$D$2:$D$2000=$A46)*(TEXT('Daily Checklist'!$B$2:$B$2000,"yyyy-mm-dd")=TEXT(($B$4+15),"yyyy-mm-dd")))=0,"-",IF(SUMPRODUCT(('Daily Checklist'!$D$2:$D$2000=$A46)*(TEXT('Daily Checklist'!$B$2:$B$2000,"yyyy-mm-dd")=TEXT(($B$4+15),"yyyy-mm-dd"))*('Daily Checklist'!$L$2:$L$2000="Y"))&gt;0,SUMPRODUCT(('Daily Checklist'!$D$2:$D$2000=$A46)*(TEXT('Daily Checklist'!$B$2:$B$2000,"yyyy-mm-dd")=TEXT(($B$4+15),"yyyy-mm-dd"))*('Daily Checklist'!$F$2:$F$2000="Done"))&amp;"/"&amp;SUMPRODUCT(('Daily Checklist'!$D$2:$D$2000=$A46)*(TEXT('Daily Checklist'!$B$2:$B$2000,"yyyy-mm-dd")=TEXT(($B$4+15),"yyyy-mm-dd")))&amp;" ESC",SUMPRODUCT(('Daily Checklist'!$D$2:$D$2000=$A46)*(TEXT('Daily Checklist'!$B$2:$B$2000,"yyyy-mm-dd")=TEXT(($B$4+15),"yyyy-mm-dd"))*('Daily Checklist'!$F$2:$F$2000="Done"))&amp;"/"&amp;SUMPRODUCT(('Daily Checklist'!$D$2:$D$2000=$A46)*(TEXT('Daily Checklist'!$B$2:$B$2000,"yyyy-mm-dd")=TEXT(($B$4+15),"yyyy-mm-dd"))))))</f>
        <v/>
      </c>
      <c r="R46" s="25" t="str">
        <f aca="false">IF($A46="","",IF(SUMPRODUCT(('Daily Checklist'!$D$2:$D$2000=$A46)*(TEXT('Daily Checklist'!$B$2:$B$2000,"yyyy-mm-dd")=TEXT(($B$4+16),"yyyy-mm-dd")))=0,"-",IF(SUMPRODUCT(('Daily Checklist'!$D$2:$D$2000=$A46)*(TEXT('Daily Checklist'!$B$2:$B$2000,"yyyy-mm-dd")=TEXT(($B$4+16),"yyyy-mm-dd"))*('Daily Checklist'!$L$2:$L$2000="Y"))&gt;0,SUMPRODUCT(('Daily Checklist'!$D$2:$D$2000=$A46)*(TEXT('Daily Checklist'!$B$2:$B$2000,"yyyy-mm-dd")=TEXT(($B$4+16),"yyyy-mm-dd"))*('Daily Checklist'!$F$2:$F$2000="Done"))&amp;"/"&amp;SUMPRODUCT(('Daily Checklist'!$D$2:$D$2000=$A46)*(TEXT('Daily Checklist'!$B$2:$B$2000,"yyyy-mm-dd")=TEXT(($B$4+16),"yyyy-mm-dd")))&amp;" ESC",SUMPRODUCT(('Daily Checklist'!$D$2:$D$2000=$A46)*(TEXT('Daily Checklist'!$B$2:$B$2000,"yyyy-mm-dd")=TEXT(($B$4+16),"yyyy-mm-dd"))*('Daily Checklist'!$F$2:$F$2000="Done"))&amp;"/"&amp;SUMPRODUCT(('Daily Checklist'!$D$2:$D$2000=$A46)*(TEXT('Daily Checklist'!$B$2:$B$2000,"yyyy-mm-dd")=TEXT(($B$4+16),"yyyy-mm-dd"))))))</f>
        <v/>
      </c>
      <c r="S46" s="25" t="str">
        <f aca="false">IF($A46="","",IF(SUMPRODUCT(('Daily Checklist'!$D$2:$D$2000=$A46)*(TEXT('Daily Checklist'!$B$2:$B$2000,"yyyy-mm-dd")=TEXT(($B$4+17),"yyyy-mm-dd")))=0,"-",IF(SUMPRODUCT(('Daily Checklist'!$D$2:$D$2000=$A46)*(TEXT('Daily Checklist'!$B$2:$B$2000,"yyyy-mm-dd")=TEXT(($B$4+17),"yyyy-mm-dd"))*('Daily Checklist'!$L$2:$L$2000="Y"))&gt;0,SUMPRODUCT(('Daily Checklist'!$D$2:$D$2000=$A46)*(TEXT('Daily Checklist'!$B$2:$B$2000,"yyyy-mm-dd")=TEXT(($B$4+17),"yyyy-mm-dd"))*('Daily Checklist'!$F$2:$F$2000="Done"))&amp;"/"&amp;SUMPRODUCT(('Daily Checklist'!$D$2:$D$2000=$A46)*(TEXT('Daily Checklist'!$B$2:$B$2000,"yyyy-mm-dd")=TEXT(($B$4+17),"yyyy-mm-dd")))&amp;" ESC",SUMPRODUCT(('Daily Checklist'!$D$2:$D$2000=$A46)*(TEXT('Daily Checklist'!$B$2:$B$2000,"yyyy-mm-dd")=TEXT(($B$4+17),"yyyy-mm-dd"))*('Daily Checklist'!$F$2:$F$2000="Done"))&amp;"/"&amp;SUMPRODUCT(('Daily Checklist'!$D$2:$D$2000=$A46)*(TEXT('Daily Checklist'!$B$2:$B$2000,"yyyy-mm-dd")=TEXT(($B$4+17),"yyyy-mm-dd"))))))</f>
        <v/>
      </c>
      <c r="T46" s="25" t="str">
        <f aca="false">IF($A46="","",IF(SUMPRODUCT(('Daily Checklist'!$D$2:$D$2000=$A46)*(TEXT('Daily Checklist'!$B$2:$B$2000,"yyyy-mm-dd")=TEXT(($B$4+18),"yyyy-mm-dd")))=0,"-",IF(SUMPRODUCT(('Daily Checklist'!$D$2:$D$2000=$A46)*(TEXT('Daily Checklist'!$B$2:$B$2000,"yyyy-mm-dd")=TEXT(($B$4+18),"yyyy-mm-dd"))*('Daily Checklist'!$L$2:$L$2000="Y"))&gt;0,SUMPRODUCT(('Daily Checklist'!$D$2:$D$2000=$A46)*(TEXT('Daily Checklist'!$B$2:$B$2000,"yyyy-mm-dd")=TEXT(($B$4+18),"yyyy-mm-dd"))*('Daily Checklist'!$F$2:$F$2000="Done"))&amp;"/"&amp;SUMPRODUCT(('Daily Checklist'!$D$2:$D$2000=$A46)*(TEXT('Daily Checklist'!$B$2:$B$2000,"yyyy-mm-dd")=TEXT(($B$4+18),"yyyy-mm-dd")))&amp;" ESC",SUMPRODUCT(('Daily Checklist'!$D$2:$D$2000=$A46)*(TEXT('Daily Checklist'!$B$2:$B$2000,"yyyy-mm-dd")=TEXT(($B$4+18),"yyyy-mm-dd"))*('Daily Checklist'!$F$2:$F$2000="Done"))&amp;"/"&amp;SUMPRODUCT(('Daily Checklist'!$D$2:$D$2000=$A46)*(TEXT('Daily Checklist'!$B$2:$B$2000,"yyyy-mm-dd")=TEXT(($B$4+18),"yyyy-mm-dd"))))))</f>
        <v/>
      </c>
      <c r="U46" s="25" t="str">
        <f aca="false">IF($A46="","",IF(SUMPRODUCT(('Daily Checklist'!$D$2:$D$2000=$A46)*(TEXT('Daily Checklist'!$B$2:$B$2000,"yyyy-mm-dd")=TEXT(($B$4+19),"yyyy-mm-dd")))=0,"-",IF(SUMPRODUCT(('Daily Checklist'!$D$2:$D$2000=$A46)*(TEXT('Daily Checklist'!$B$2:$B$2000,"yyyy-mm-dd")=TEXT(($B$4+19),"yyyy-mm-dd"))*('Daily Checklist'!$L$2:$L$2000="Y"))&gt;0,SUMPRODUCT(('Daily Checklist'!$D$2:$D$2000=$A46)*(TEXT('Daily Checklist'!$B$2:$B$2000,"yyyy-mm-dd")=TEXT(($B$4+19),"yyyy-mm-dd"))*('Daily Checklist'!$F$2:$F$2000="Done"))&amp;"/"&amp;SUMPRODUCT(('Daily Checklist'!$D$2:$D$2000=$A46)*(TEXT('Daily Checklist'!$B$2:$B$2000,"yyyy-mm-dd")=TEXT(($B$4+19),"yyyy-mm-dd")))&amp;" ESC",SUMPRODUCT(('Daily Checklist'!$D$2:$D$2000=$A46)*(TEXT('Daily Checklist'!$B$2:$B$2000,"yyyy-mm-dd")=TEXT(($B$4+19),"yyyy-mm-dd"))*('Daily Checklist'!$F$2:$F$2000="Done"))&amp;"/"&amp;SUMPRODUCT(('Daily Checklist'!$D$2:$D$2000=$A46)*(TEXT('Daily Checklist'!$B$2:$B$2000,"yyyy-mm-dd")=TEXT(($B$4+19),"yyyy-mm-dd"))))))</f>
        <v/>
      </c>
      <c r="V46" s="25" t="str">
        <f aca="false">IF($A46="","",IF(SUMPRODUCT(('Daily Checklist'!$D$2:$D$2000=$A46)*(TEXT('Daily Checklist'!$B$2:$B$2000,"yyyy-mm-dd")=TEXT(($B$4+20),"yyyy-mm-dd")))=0,"-",IF(SUMPRODUCT(('Daily Checklist'!$D$2:$D$2000=$A46)*(TEXT('Daily Checklist'!$B$2:$B$2000,"yyyy-mm-dd")=TEXT(($B$4+20),"yyyy-mm-dd"))*('Daily Checklist'!$L$2:$L$2000="Y"))&gt;0,SUMPRODUCT(('Daily Checklist'!$D$2:$D$2000=$A46)*(TEXT('Daily Checklist'!$B$2:$B$2000,"yyyy-mm-dd")=TEXT(($B$4+20),"yyyy-mm-dd"))*('Daily Checklist'!$F$2:$F$2000="Done"))&amp;"/"&amp;SUMPRODUCT(('Daily Checklist'!$D$2:$D$2000=$A46)*(TEXT('Daily Checklist'!$B$2:$B$2000,"yyyy-mm-dd")=TEXT(($B$4+20),"yyyy-mm-dd")))&amp;" ESC",SUMPRODUCT(('Daily Checklist'!$D$2:$D$2000=$A46)*(TEXT('Daily Checklist'!$B$2:$B$2000,"yyyy-mm-dd")=TEXT(($B$4+20),"yyyy-mm-dd"))*('Daily Checklist'!$F$2:$F$2000="Done"))&amp;"/"&amp;SUMPRODUCT(('Daily Checklist'!$D$2:$D$2000=$A46)*(TEXT('Daily Checklist'!$B$2:$B$2000,"yyyy-mm-dd")=TEXT(($B$4+20),"yyyy-mm-dd"))))))</f>
        <v/>
      </c>
      <c r="W46" s="25" t="str">
        <f aca="false">IF($A46="","",IF(SUMPRODUCT(('Daily Checklist'!$D$2:$D$2000=$A46)*(TEXT('Daily Checklist'!$B$2:$B$2000,"yyyy-mm-dd")=TEXT(($B$4+21),"yyyy-mm-dd")))=0,"-",IF(SUMPRODUCT(('Daily Checklist'!$D$2:$D$2000=$A46)*(TEXT('Daily Checklist'!$B$2:$B$2000,"yyyy-mm-dd")=TEXT(($B$4+21),"yyyy-mm-dd"))*('Daily Checklist'!$L$2:$L$2000="Y"))&gt;0,SUMPRODUCT(('Daily Checklist'!$D$2:$D$2000=$A46)*(TEXT('Daily Checklist'!$B$2:$B$2000,"yyyy-mm-dd")=TEXT(($B$4+21),"yyyy-mm-dd"))*('Daily Checklist'!$F$2:$F$2000="Done"))&amp;"/"&amp;SUMPRODUCT(('Daily Checklist'!$D$2:$D$2000=$A46)*(TEXT('Daily Checklist'!$B$2:$B$2000,"yyyy-mm-dd")=TEXT(($B$4+21),"yyyy-mm-dd")))&amp;" ESC",SUMPRODUCT(('Daily Checklist'!$D$2:$D$2000=$A46)*(TEXT('Daily Checklist'!$B$2:$B$2000,"yyyy-mm-dd")=TEXT(($B$4+21),"yyyy-mm-dd"))*('Daily Checklist'!$F$2:$F$2000="Done"))&amp;"/"&amp;SUMPRODUCT(('Daily Checklist'!$D$2:$D$2000=$A46)*(TEXT('Daily Checklist'!$B$2:$B$2000,"yyyy-mm-dd")=TEXT(($B$4+21),"yyyy-mm-dd"))))))</f>
        <v/>
      </c>
      <c r="X46" s="25" t="str">
        <f aca="false">IF($A46="","",IF(SUMPRODUCT(('Daily Checklist'!$D$2:$D$2000=$A46)*(TEXT('Daily Checklist'!$B$2:$B$2000,"yyyy-mm-dd")=TEXT(($B$4+22),"yyyy-mm-dd")))=0,"-",IF(SUMPRODUCT(('Daily Checklist'!$D$2:$D$2000=$A46)*(TEXT('Daily Checklist'!$B$2:$B$2000,"yyyy-mm-dd")=TEXT(($B$4+22),"yyyy-mm-dd"))*('Daily Checklist'!$L$2:$L$2000="Y"))&gt;0,SUMPRODUCT(('Daily Checklist'!$D$2:$D$2000=$A46)*(TEXT('Daily Checklist'!$B$2:$B$2000,"yyyy-mm-dd")=TEXT(($B$4+22),"yyyy-mm-dd"))*('Daily Checklist'!$F$2:$F$2000="Done"))&amp;"/"&amp;SUMPRODUCT(('Daily Checklist'!$D$2:$D$2000=$A46)*(TEXT('Daily Checklist'!$B$2:$B$2000,"yyyy-mm-dd")=TEXT(($B$4+22),"yyyy-mm-dd")))&amp;" ESC",SUMPRODUCT(('Daily Checklist'!$D$2:$D$2000=$A46)*(TEXT('Daily Checklist'!$B$2:$B$2000,"yyyy-mm-dd")=TEXT(($B$4+22),"yyyy-mm-dd"))*('Daily Checklist'!$F$2:$F$2000="Done"))&amp;"/"&amp;SUMPRODUCT(('Daily Checklist'!$D$2:$D$2000=$A46)*(TEXT('Daily Checklist'!$B$2:$B$2000,"yyyy-mm-dd")=TEXT(($B$4+22),"yyyy-mm-dd"))))))</f>
        <v/>
      </c>
      <c r="Y46" s="25" t="str">
        <f aca="false">IF($A46="","",IF(SUMPRODUCT(('Daily Checklist'!$D$2:$D$2000=$A46)*(TEXT('Daily Checklist'!$B$2:$B$2000,"yyyy-mm-dd")=TEXT(($B$4+23),"yyyy-mm-dd")))=0,"-",IF(SUMPRODUCT(('Daily Checklist'!$D$2:$D$2000=$A46)*(TEXT('Daily Checklist'!$B$2:$B$2000,"yyyy-mm-dd")=TEXT(($B$4+23),"yyyy-mm-dd"))*('Daily Checklist'!$L$2:$L$2000="Y"))&gt;0,SUMPRODUCT(('Daily Checklist'!$D$2:$D$2000=$A46)*(TEXT('Daily Checklist'!$B$2:$B$2000,"yyyy-mm-dd")=TEXT(($B$4+23),"yyyy-mm-dd"))*('Daily Checklist'!$F$2:$F$2000="Done"))&amp;"/"&amp;SUMPRODUCT(('Daily Checklist'!$D$2:$D$2000=$A46)*(TEXT('Daily Checklist'!$B$2:$B$2000,"yyyy-mm-dd")=TEXT(($B$4+23),"yyyy-mm-dd")))&amp;" ESC",SUMPRODUCT(('Daily Checklist'!$D$2:$D$2000=$A46)*(TEXT('Daily Checklist'!$B$2:$B$2000,"yyyy-mm-dd")=TEXT(($B$4+23),"yyyy-mm-dd"))*('Daily Checklist'!$F$2:$F$2000="Done"))&amp;"/"&amp;SUMPRODUCT(('Daily Checklist'!$D$2:$D$2000=$A46)*(TEXT('Daily Checklist'!$B$2:$B$2000,"yyyy-mm-dd")=TEXT(($B$4+23),"yyyy-mm-dd"))))))</f>
        <v/>
      </c>
      <c r="Z46" s="25" t="str">
        <f aca="false">IF($A46="","",IF(SUMPRODUCT(('Daily Checklist'!$D$2:$D$2000=$A46)*(TEXT('Daily Checklist'!$B$2:$B$2000,"yyyy-mm-dd")=TEXT(($B$4+24),"yyyy-mm-dd")))=0,"-",IF(SUMPRODUCT(('Daily Checklist'!$D$2:$D$2000=$A46)*(TEXT('Daily Checklist'!$B$2:$B$2000,"yyyy-mm-dd")=TEXT(($B$4+24),"yyyy-mm-dd"))*('Daily Checklist'!$L$2:$L$2000="Y"))&gt;0,SUMPRODUCT(('Daily Checklist'!$D$2:$D$2000=$A46)*(TEXT('Daily Checklist'!$B$2:$B$2000,"yyyy-mm-dd")=TEXT(($B$4+24),"yyyy-mm-dd"))*('Daily Checklist'!$F$2:$F$2000="Done"))&amp;"/"&amp;SUMPRODUCT(('Daily Checklist'!$D$2:$D$2000=$A46)*(TEXT('Daily Checklist'!$B$2:$B$2000,"yyyy-mm-dd")=TEXT(($B$4+24),"yyyy-mm-dd")))&amp;" ESC",SUMPRODUCT(('Daily Checklist'!$D$2:$D$2000=$A46)*(TEXT('Daily Checklist'!$B$2:$B$2000,"yyyy-mm-dd")=TEXT(($B$4+24),"yyyy-mm-dd"))*('Daily Checklist'!$F$2:$F$2000="Done"))&amp;"/"&amp;SUMPRODUCT(('Daily Checklist'!$D$2:$D$2000=$A46)*(TEXT('Daily Checklist'!$B$2:$B$2000,"yyyy-mm-dd")=TEXT(($B$4+24),"yyyy-mm-dd"))))))</f>
        <v/>
      </c>
      <c r="AA46" s="25" t="str">
        <f aca="false">IF($A46="","",IF(SUMPRODUCT(('Daily Checklist'!$D$2:$D$2000=$A46)*(TEXT('Daily Checklist'!$B$2:$B$2000,"yyyy-mm-dd")=TEXT(($B$4+25),"yyyy-mm-dd")))=0,"-",IF(SUMPRODUCT(('Daily Checklist'!$D$2:$D$2000=$A46)*(TEXT('Daily Checklist'!$B$2:$B$2000,"yyyy-mm-dd")=TEXT(($B$4+25),"yyyy-mm-dd"))*('Daily Checklist'!$L$2:$L$2000="Y"))&gt;0,SUMPRODUCT(('Daily Checklist'!$D$2:$D$2000=$A46)*(TEXT('Daily Checklist'!$B$2:$B$2000,"yyyy-mm-dd")=TEXT(($B$4+25),"yyyy-mm-dd"))*('Daily Checklist'!$F$2:$F$2000="Done"))&amp;"/"&amp;SUMPRODUCT(('Daily Checklist'!$D$2:$D$2000=$A46)*(TEXT('Daily Checklist'!$B$2:$B$2000,"yyyy-mm-dd")=TEXT(($B$4+25),"yyyy-mm-dd")))&amp;" ESC",SUMPRODUCT(('Daily Checklist'!$D$2:$D$2000=$A46)*(TEXT('Daily Checklist'!$B$2:$B$2000,"yyyy-mm-dd")=TEXT(($B$4+25),"yyyy-mm-dd"))*('Daily Checklist'!$F$2:$F$2000="Done"))&amp;"/"&amp;SUMPRODUCT(('Daily Checklist'!$D$2:$D$2000=$A46)*(TEXT('Daily Checklist'!$B$2:$B$2000,"yyyy-mm-dd")=TEXT(($B$4+25),"yyyy-mm-dd"))))))</f>
        <v/>
      </c>
      <c r="AB46" s="25" t="str">
        <f aca="false">IF($A46="","",IF(SUMPRODUCT(('Daily Checklist'!$D$2:$D$2000=$A46)*(TEXT('Daily Checklist'!$B$2:$B$2000,"yyyy-mm-dd")=TEXT(($B$4+26),"yyyy-mm-dd")))=0,"-",IF(SUMPRODUCT(('Daily Checklist'!$D$2:$D$2000=$A46)*(TEXT('Daily Checklist'!$B$2:$B$2000,"yyyy-mm-dd")=TEXT(($B$4+26),"yyyy-mm-dd"))*('Daily Checklist'!$L$2:$L$2000="Y"))&gt;0,SUMPRODUCT(('Daily Checklist'!$D$2:$D$2000=$A46)*(TEXT('Daily Checklist'!$B$2:$B$2000,"yyyy-mm-dd")=TEXT(($B$4+26),"yyyy-mm-dd"))*('Daily Checklist'!$F$2:$F$2000="Done"))&amp;"/"&amp;SUMPRODUCT(('Daily Checklist'!$D$2:$D$2000=$A46)*(TEXT('Daily Checklist'!$B$2:$B$2000,"yyyy-mm-dd")=TEXT(($B$4+26),"yyyy-mm-dd")))&amp;" ESC",SUMPRODUCT(('Daily Checklist'!$D$2:$D$2000=$A46)*(TEXT('Daily Checklist'!$B$2:$B$2000,"yyyy-mm-dd")=TEXT(($B$4+26),"yyyy-mm-dd"))*('Daily Checklist'!$F$2:$F$2000="Done"))&amp;"/"&amp;SUMPRODUCT(('Daily Checklist'!$D$2:$D$2000=$A46)*(TEXT('Daily Checklist'!$B$2:$B$2000,"yyyy-mm-dd")=TEXT(($B$4+26),"yyyy-mm-dd"))))))</f>
        <v/>
      </c>
      <c r="AC46" s="25" t="str">
        <f aca="false">IF($A46="","",IF(SUMPRODUCT(('Daily Checklist'!$D$2:$D$2000=$A46)*(TEXT('Daily Checklist'!$B$2:$B$2000,"yyyy-mm-dd")=TEXT(($B$4+27),"yyyy-mm-dd")))=0,"-",IF(SUMPRODUCT(('Daily Checklist'!$D$2:$D$2000=$A46)*(TEXT('Daily Checklist'!$B$2:$B$2000,"yyyy-mm-dd")=TEXT(($B$4+27),"yyyy-mm-dd"))*('Daily Checklist'!$L$2:$L$2000="Y"))&gt;0,SUMPRODUCT(('Daily Checklist'!$D$2:$D$2000=$A46)*(TEXT('Daily Checklist'!$B$2:$B$2000,"yyyy-mm-dd")=TEXT(($B$4+27),"yyyy-mm-dd"))*('Daily Checklist'!$F$2:$F$2000="Done"))&amp;"/"&amp;SUMPRODUCT(('Daily Checklist'!$D$2:$D$2000=$A46)*(TEXT('Daily Checklist'!$B$2:$B$2000,"yyyy-mm-dd")=TEXT(($B$4+27),"yyyy-mm-dd")))&amp;" ESC",SUMPRODUCT(('Daily Checklist'!$D$2:$D$2000=$A46)*(TEXT('Daily Checklist'!$B$2:$B$2000,"yyyy-mm-dd")=TEXT(($B$4+27),"yyyy-mm-dd"))*('Daily Checklist'!$F$2:$F$2000="Done"))&amp;"/"&amp;SUMPRODUCT(('Daily Checklist'!$D$2:$D$2000=$A46)*(TEXT('Daily Checklist'!$B$2:$B$2000,"yyyy-mm-dd")=TEXT(($B$4+27),"yyyy-mm-dd"))))))</f>
        <v/>
      </c>
      <c r="AD46" s="25" t="str">
        <f aca="false">IF($A46="","",IF(SUMPRODUCT(('Daily Checklist'!$D$2:$D$2000=$A46)*(TEXT('Daily Checklist'!$B$2:$B$2000,"yyyy-mm-dd")=TEXT(($B$4+28),"yyyy-mm-dd")))=0,"-",IF(SUMPRODUCT(('Daily Checklist'!$D$2:$D$2000=$A46)*(TEXT('Daily Checklist'!$B$2:$B$2000,"yyyy-mm-dd")=TEXT(($B$4+28),"yyyy-mm-dd"))*('Daily Checklist'!$L$2:$L$2000="Y"))&gt;0,SUMPRODUCT(('Daily Checklist'!$D$2:$D$2000=$A46)*(TEXT('Daily Checklist'!$B$2:$B$2000,"yyyy-mm-dd")=TEXT(($B$4+28),"yyyy-mm-dd"))*('Daily Checklist'!$F$2:$F$2000="Done"))&amp;"/"&amp;SUMPRODUCT(('Daily Checklist'!$D$2:$D$2000=$A46)*(TEXT('Daily Checklist'!$B$2:$B$2000,"yyyy-mm-dd")=TEXT(($B$4+28),"yyyy-mm-dd")))&amp;" ESC",SUMPRODUCT(('Daily Checklist'!$D$2:$D$2000=$A46)*(TEXT('Daily Checklist'!$B$2:$B$2000,"yyyy-mm-dd")=TEXT(($B$4+28),"yyyy-mm-dd"))*('Daily Checklist'!$F$2:$F$2000="Done"))&amp;"/"&amp;SUMPRODUCT(('Daily Checklist'!$D$2:$D$2000=$A46)*(TEXT('Daily Checklist'!$B$2:$B$2000,"yyyy-mm-dd")=TEXT(($B$4+28),"yyyy-mm-dd"))))))</f>
        <v/>
      </c>
      <c r="AE46" s="25" t="str">
        <f aca="false">IF($A46="","",IF(SUMPRODUCT(('Daily Checklist'!$D$2:$D$2000=$A46)*(TEXT('Daily Checklist'!$B$2:$B$2000,"yyyy-mm-dd")=TEXT(($B$4+29),"yyyy-mm-dd")))=0,"-",IF(SUMPRODUCT(('Daily Checklist'!$D$2:$D$2000=$A46)*(TEXT('Daily Checklist'!$B$2:$B$2000,"yyyy-mm-dd")=TEXT(($B$4+29),"yyyy-mm-dd"))*('Daily Checklist'!$L$2:$L$2000="Y"))&gt;0,SUMPRODUCT(('Daily Checklist'!$D$2:$D$2000=$A46)*(TEXT('Daily Checklist'!$B$2:$B$2000,"yyyy-mm-dd")=TEXT(($B$4+29),"yyyy-mm-dd"))*('Daily Checklist'!$F$2:$F$2000="Done"))&amp;"/"&amp;SUMPRODUCT(('Daily Checklist'!$D$2:$D$2000=$A46)*(TEXT('Daily Checklist'!$B$2:$B$2000,"yyyy-mm-dd")=TEXT(($B$4+29),"yyyy-mm-dd")))&amp;" ESC",SUMPRODUCT(('Daily Checklist'!$D$2:$D$2000=$A46)*(TEXT('Daily Checklist'!$B$2:$B$2000,"yyyy-mm-dd")=TEXT(($B$4+29),"yyyy-mm-dd"))*('Daily Checklist'!$F$2:$F$2000="Done"))&amp;"/"&amp;SUMPRODUCT(('Daily Checklist'!$D$2:$D$2000=$A46)*(TEXT('Daily Checklist'!$B$2:$B$2000,"yyyy-mm-dd")=TEXT(($B$4+29),"yyyy-mm-dd"))))))</f>
        <v/>
      </c>
      <c r="AF46" s="25" t="str">
        <f aca="false">IF($A46="","",IF(SUMPRODUCT(('Daily Checklist'!$D$2:$D$2000=$A46)*(TEXT('Daily Checklist'!$B$2:$B$2000,"yyyy-mm-dd")=TEXT(($B$4+30),"yyyy-mm-dd")))=0,"-",IF(SUMPRODUCT(('Daily Checklist'!$D$2:$D$2000=$A46)*(TEXT('Daily Checklist'!$B$2:$B$2000,"yyyy-mm-dd")=TEXT(($B$4+30),"yyyy-mm-dd"))*('Daily Checklist'!$L$2:$L$2000="Y"))&gt;0,SUMPRODUCT(('Daily Checklist'!$D$2:$D$2000=$A46)*(TEXT('Daily Checklist'!$B$2:$B$2000,"yyyy-mm-dd")=TEXT(($B$4+30),"yyyy-mm-dd"))*('Daily Checklist'!$F$2:$F$2000="Done"))&amp;"/"&amp;SUMPRODUCT(('Daily Checklist'!$D$2:$D$2000=$A46)*(TEXT('Daily Checklist'!$B$2:$B$2000,"yyyy-mm-dd")=TEXT(($B$4+30),"yyyy-mm-dd")))&amp;" ESC",SUMPRODUCT(('Daily Checklist'!$D$2:$D$2000=$A46)*(TEXT('Daily Checklist'!$B$2:$B$2000,"yyyy-mm-dd")=TEXT(($B$4+30),"yyyy-mm-dd"))*('Daily Checklist'!$F$2:$F$2000="Done"))&amp;"/"&amp;SUMPRODUCT(('Daily Checklist'!$D$2:$D$2000=$A46)*(TEXT('Daily Checklist'!$B$2:$B$2000,"yyyy-mm-dd")=TEXT(($B$4+30),"yyyy-mm-dd"))))))</f>
        <v/>
      </c>
    </row>
    <row r="47" customFormat="false" ht="15" hidden="false" customHeight="true" outlineLevel="0" collapsed="false">
      <c r="A47" s="24" t="str">
        <f aca="false">IFERROR(IF(Employees!A42="","",Employees!A42),"")</f>
        <v/>
      </c>
      <c r="B47" s="25" t="str">
        <f aca="false">IF($A47="","",IF(SUMPRODUCT(('Daily Checklist'!$D$2:$D$2000=$A47)*(TEXT('Daily Checklist'!$B$2:$B$2000,"yyyy-mm-dd")=TEXT(($B$4+0),"yyyy-mm-dd")))=0,"-",IF(SUMPRODUCT(('Daily Checklist'!$D$2:$D$2000=$A47)*(TEXT('Daily Checklist'!$B$2:$B$2000,"yyyy-mm-dd")=TEXT(($B$4+0),"yyyy-mm-dd"))*('Daily Checklist'!$L$2:$L$2000="Y"))&gt;0,SUMPRODUCT(('Daily Checklist'!$D$2:$D$2000=$A47)*(TEXT('Daily Checklist'!$B$2:$B$2000,"yyyy-mm-dd")=TEXT(($B$4+0),"yyyy-mm-dd"))*('Daily Checklist'!$F$2:$F$2000="Done"))&amp;"/"&amp;SUMPRODUCT(('Daily Checklist'!$D$2:$D$2000=$A47)*(TEXT('Daily Checklist'!$B$2:$B$2000,"yyyy-mm-dd")=TEXT(($B$4+0),"yyyy-mm-dd")))&amp;" ESC",SUMPRODUCT(('Daily Checklist'!$D$2:$D$2000=$A47)*(TEXT('Daily Checklist'!$B$2:$B$2000,"yyyy-mm-dd")=TEXT(($B$4+0),"yyyy-mm-dd"))*('Daily Checklist'!$F$2:$F$2000="Done"))&amp;"/"&amp;SUMPRODUCT(('Daily Checklist'!$D$2:$D$2000=$A47)*(TEXT('Daily Checklist'!$B$2:$B$2000,"yyyy-mm-dd")=TEXT(($B$4+0),"yyyy-mm-dd"))))))</f>
        <v/>
      </c>
      <c r="C47" s="25" t="str">
        <f aca="false">IF($A47="","",IF(SUMPRODUCT(('Daily Checklist'!$D$2:$D$2000=$A47)*(TEXT('Daily Checklist'!$B$2:$B$2000,"yyyy-mm-dd")=TEXT(($B$4+1),"yyyy-mm-dd")))=0,"-",IF(SUMPRODUCT(('Daily Checklist'!$D$2:$D$2000=$A47)*(TEXT('Daily Checklist'!$B$2:$B$2000,"yyyy-mm-dd")=TEXT(($B$4+1),"yyyy-mm-dd"))*('Daily Checklist'!$L$2:$L$2000="Y"))&gt;0,SUMPRODUCT(('Daily Checklist'!$D$2:$D$2000=$A47)*(TEXT('Daily Checklist'!$B$2:$B$2000,"yyyy-mm-dd")=TEXT(($B$4+1),"yyyy-mm-dd"))*('Daily Checklist'!$F$2:$F$2000="Done"))&amp;"/"&amp;SUMPRODUCT(('Daily Checklist'!$D$2:$D$2000=$A47)*(TEXT('Daily Checklist'!$B$2:$B$2000,"yyyy-mm-dd")=TEXT(($B$4+1),"yyyy-mm-dd")))&amp;" ESC",SUMPRODUCT(('Daily Checklist'!$D$2:$D$2000=$A47)*(TEXT('Daily Checklist'!$B$2:$B$2000,"yyyy-mm-dd")=TEXT(($B$4+1),"yyyy-mm-dd"))*('Daily Checklist'!$F$2:$F$2000="Done"))&amp;"/"&amp;SUMPRODUCT(('Daily Checklist'!$D$2:$D$2000=$A47)*(TEXT('Daily Checklist'!$B$2:$B$2000,"yyyy-mm-dd")=TEXT(($B$4+1),"yyyy-mm-dd"))))))</f>
        <v/>
      </c>
      <c r="D47" s="25" t="str">
        <f aca="false">IF($A47="","",IF(SUMPRODUCT(('Daily Checklist'!$D$2:$D$2000=$A47)*(TEXT('Daily Checklist'!$B$2:$B$2000,"yyyy-mm-dd")=TEXT(($B$4+2),"yyyy-mm-dd")))=0,"-",IF(SUMPRODUCT(('Daily Checklist'!$D$2:$D$2000=$A47)*(TEXT('Daily Checklist'!$B$2:$B$2000,"yyyy-mm-dd")=TEXT(($B$4+2),"yyyy-mm-dd"))*('Daily Checklist'!$L$2:$L$2000="Y"))&gt;0,SUMPRODUCT(('Daily Checklist'!$D$2:$D$2000=$A47)*(TEXT('Daily Checklist'!$B$2:$B$2000,"yyyy-mm-dd")=TEXT(($B$4+2),"yyyy-mm-dd"))*('Daily Checklist'!$F$2:$F$2000="Done"))&amp;"/"&amp;SUMPRODUCT(('Daily Checklist'!$D$2:$D$2000=$A47)*(TEXT('Daily Checklist'!$B$2:$B$2000,"yyyy-mm-dd")=TEXT(($B$4+2),"yyyy-mm-dd")))&amp;" ESC",SUMPRODUCT(('Daily Checklist'!$D$2:$D$2000=$A47)*(TEXT('Daily Checklist'!$B$2:$B$2000,"yyyy-mm-dd")=TEXT(($B$4+2),"yyyy-mm-dd"))*('Daily Checklist'!$F$2:$F$2000="Done"))&amp;"/"&amp;SUMPRODUCT(('Daily Checklist'!$D$2:$D$2000=$A47)*(TEXT('Daily Checklist'!$B$2:$B$2000,"yyyy-mm-dd")=TEXT(($B$4+2),"yyyy-mm-dd"))))))</f>
        <v/>
      </c>
      <c r="E47" s="25" t="str">
        <f aca="false">IF($A47="","",IF(SUMPRODUCT(('Daily Checklist'!$D$2:$D$2000=$A47)*(TEXT('Daily Checklist'!$B$2:$B$2000,"yyyy-mm-dd")=TEXT(($B$4+3),"yyyy-mm-dd")))=0,"-",IF(SUMPRODUCT(('Daily Checklist'!$D$2:$D$2000=$A47)*(TEXT('Daily Checklist'!$B$2:$B$2000,"yyyy-mm-dd")=TEXT(($B$4+3),"yyyy-mm-dd"))*('Daily Checklist'!$L$2:$L$2000="Y"))&gt;0,SUMPRODUCT(('Daily Checklist'!$D$2:$D$2000=$A47)*(TEXT('Daily Checklist'!$B$2:$B$2000,"yyyy-mm-dd")=TEXT(($B$4+3),"yyyy-mm-dd"))*('Daily Checklist'!$F$2:$F$2000="Done"))&amp;"/"&amp;SUMPRODUCT(('Daily Checklist'!$D$2:$D$2000=$A47)*(TEXT('Daily Checklist'!$B$2:$B$2000,"yyyy-mm-dd")=TEXT(($B$4+3),"yyyy-mm-dd")))&amp;" ESC",SUMPRODUCT(('Daily Checklist'!$D$2:$D$2000=$A47)*(TEXT('Daily Checklist'!$B$2:$B$2000,"yyyy-mm-dd")=TEXT(($B$4+3),"yyyy-mm-dd"))*('Daily Checklist'!$F$2:$F$2000="Done"))&amp;"/"&amp;SUMPRODUCT(('Daily Checklist'!$D$2:$D$2000=$A47)*(TEXT('Daily Checklist'!$B$2:$B$2000,"yyyy-mm-dd")=TEXT(($B$4+3),"yyyy-mm-dd"))))))</f>
        <v/>
      </c>
      <c r="F47" s="25" t="str">
        <f aca="false">IF($A47="","",IF(SUMPRODUCT(('Daily Checklist'!$D$2:$D$2000=$A47)*(TEXT('Daily Checklist'!$B$2:$B$2000,"yyyy-mm-dd")=TEXT(($B$4+4),"yyyy-mm-dd")))=0,"-",IF(SUMPRODUCT(('Daily Checklist'!$D$2:$D$2000=$A47)*(TEXT('Daily Checklist'!$B$2:$B$2000,"yyyy-mm-dd")=TEXT(($B$4+4),"yyyy-mm-dd"))*('Daily Checklist'!$L$2:$L$2000="Y"))&gt;0,SUMPRODUCT(('Daily Checklist'!$D$2:$D$2000=$A47)*(TEXT('Daily Checklist'!$B$2:$B$2000,"yyyy-mm-dd")=TEXT(($B$4+4),"yyyy-mm-dd"))*('Daily Checklist'!$F$2:$F$2000="Done"))&amp;"/"&amp;SUMPRODUCT(('Daily Checklist'!$D$2:$D$2000=$A47)*(TEXT('Daily Checklist'!$B$2:$B$2000,"yyyy-mm-dd")=TEXT(($B$4+4),"yyyy-mm-dd")))&amp;" ESC",SUMPRODUCT(('Daily Checklist'!$D$2:$D$2000=$A47)*(TEXT('Daily Checklist'!$B$2:$B$2000,"yyyy-mm-dd")=TEXT(($B$4+4),"yyyy-mm-dd"))*('Daily Checklist'!$F$2:$F$2000="Done"))&amp;"/"&amp;SUMPRODUCT(('Daily Checklist'!$D$2:$D$2000=$A47)*(TEXT('Daily Checklist'!$B$2:$B$2000,"yyyy-mm-dd")=TEXT(($B$4+4),"yyyy-mm-dd"))))))</f>
        <v/>
      </c>
      <c r="G47" s="25" t="str">
        <f aca="false">IF($A47="","",IF(SUMPRODUCT(('Daily Checklist'!$D$2:$D$2000=$A47)*(TEXT('Daily Checklist'!$B$2:$B$2000,"yyyy-mm-dd")=TEXT(($B$4+5),"yyyy-mm-dd")))=0,"-",IF(SUMPRODUCT(('Daily Checklist'!$D$2:$D$2000=$A47)*(TEXT('Daily Checklist'!$B$2:$B$2000,"yyyy-mm-dd")=TEXT(($B$4+5),"yyyy-mm-dd"))*('Daily Checklist'!$L$2:$L$2000="Y"))&gt;0,SUMPRODUCT(('Daily Checklist'!$D$2:$D$2000=$A47)*(TEXT('Daily Checklist'!$B$2:$B$2000,"yyyy-mm-dd")=TEXT(($B$4+5),"yyyy-mm-dd"))*('Daily Checklist'!$F$2:$F$2000="Done"))&amp;"/"&amp;SUMPRODUCT(('Daily Checklist'!$D$2:$D$2000=$A47)*(TEXT('Daily Checklist'!$B$2:$B$2000,"yyyy-mm-dd")=TEXT(($B$4+5),"yyyy-mm-dd")))&amp;" ESC",SUMPRODUCT(('Daily Checklist'!$D$2:$D$2000=$A47)*(TEXT('Daily Checklist'!$B$2:$B$2000,"yyyy-mm-dd")=TEXT(($B$4+5),"yyyy-mm-dd"))*('Daily Checklist'!$F$2:$F$2000="Done"))&amp;"/"&amp;SUMPRODUCT(('Daily Checklist'!$D$2:$D$2000=$A47)*(TEXT('Daily Checklist'!$B$2:$B$2000,"yyyy-mm-dd")=TEXT(($B$4+5),"yyyy-mm-dd"))))))</f>
        <v/>
      </c>
      <c r="H47" s="25" t="str">
        <f aca="false">IF($A47="","",IF(SUMPRODUCT(('Daily Checklist'!$D$2:$D$2000=$A47)*(TEXT('Daily Checklist'!$B$2:$B$2000,"yyyy-mm-dd")=TEXT(($B$4+6),"yyyy-mm-dd")))=0,"-",IF(SUMPRODUCT(('Daily Checklist'!$D$2:$D$2000=$A47)*(TEXT('Daily Checklist'!$B$2:$B$2000,"yyyy-mm-dd")=TEXT(($B$4+6),"yyyy-mm-dd"))*('Daily Checklist'!$L$2:$L$2000="Y"))&gt;0,SUMPRODUCT(('Daily Checklist'!$D$2:$D$2000=$A47)*(TEXT('Daily Checklist'!$B$2:$B$2000,"yyyy-mm-dd")=TEXT(($B$4+6),"yyyy-mm-dd"))*('Daily Checklist'!$F$2:$F$2000="Done"))&amp;"/"&amp;SUMPRODUCT(('Daily Checklist'!$D$2:$D$2000=$A47)*(TEXT('Daily Checklist'!$B$2:$B$2000,"yyyy-mm-dd")=TEXT(($B$4+6),"yyyy-mm-dd")))&amp;" ESC",SUMPRODUCT(('Daily Checklist'!$D$2:$D$2000=$A47)*(TEXT('Daily Checklist'!$B$2:$B$2000,"yyyy-mm-dd")=TEXT(($B$4+6),"yyyy-mm-dd"))*('Daily Checklist'!$F$2:$F$2000="Done"))&amp;"/"&amp;SUMPRODUCT(('Daily Checklist'!$D$2:$D$2000=$A47)*(TEXT('Daily Checklist'!$B$2:$B$2000,"yyyy-mm-dd")=TEXT(($B$4+6),"yyyy-mm-dd"))))))</f>
        <v/>
      </c>
      <c r="I47" s="25" t="str">
        <f aca="false">IF($A47="","",IF(SUMPRODUCT(('Daily Checklist'!$D$2:$D$2000=$A47)*(TEXT('Daily Checklist'!$B$2:$B$2000,"yyyy-mm-dd")=TEXT(($B$4+7),"yyyy-mm-dd")))=0,"-",IF(SUMPRODUCT(('Daily Checklist'!$D$2:$D$2000=$A47)*(TEXT('Daily Checklist'!$B$2:$B$2000,"yyyy-mm-dd")=TEXT(($B$4+7),"yyyy-mm-dd"))*('Daily Checklist'!$L$2:$L$2000="Y"))&gt;0,SUMPRODUCT(('Daily Checklist'!$D$2:$D$2000=$A47)*(TEXT('Daily Checklist'!$B$2:$B$2000,"yyyy-mm-dd")=TEXT(($B$4+7),"yyyy-mm-dd"))*('Daily Checklist'!$F$2:$F$2000="Done"))&amp;"/"&amp;SUMPRODUCT(('Daily Checklist'!$D$2:$D$2000=$A47)*(TEXT('Daily Checklist'!$B$2:$B$2000,"yyyy-mm-dd")=TEXT(($B$4+7),"yyyy-mm-dd")))&amp;" ESC",SUMPRODUCT(('Daily Checklist'!$D$2:$D$2000=$A47)*(TEXT('Daily Checklist'!$B$2:$B$2000,"yyyy-mm-dd")=TEXT(($B$4+7),"yyyy-mm-dd"))*('Daily Checklist'!$F$2:$F$2000="Done"))&amp;"/"&amp;SUMPRODUCT(('Daily Checklist'!$D$2:$D$2000=$A47)*(TEXT('Daily Checklist'!$B$2:$B$2000,"yyyy-mm-dd")=TEXT(($B$4+7),"yyyy-mm-dd"))))))</f>
        <v/>
      </c>
      <c r="J47" s="25" t="str">
        <f aca="false">IF($A47="","",IF(SUMPRODUCT(('Daily Checklist'!$D$2:$D$2000=$A47)*(TEXT('Daily Checklist'!$B$2:$B$2000,"yyyy-mm-dd")=TEXT(($B$4+8),"yyyy-mm-dd")))=0,"-",IF(SUMPRODUCT(('Daily Checklist'!$D$2:$D$2000=$A47)*(TEXT('Daily Checklist'!$B$2:$B$2000,"yyyy-mm-dd")=TEXT(($B$4+8),"yyyy-mm-dd"))*('Daily Checklist'!$L$2:$L$2000="Y"))&gt;0,SUMPRODUCT(('Daily Checklist'!$D$2:$D$2000=$A47)*(TEXT('Daily Checklist'!$B$2:$B$2000,"yyyy-mm-dd")=TEXT(($B$4+8),"yyyy-mm-dd"))*('Daily Checklist'!$F$2:$F$2000="Done"))&amp;"/"&amp;SUMPRODUCT(('Daily Checklist'!$D$2:$D$2000=$A47)*(TEXT('Daily Checklist'!$B$2:$B$2000,"yyyy-mm-dd")=TEXT(($B$4+8),"yyyy-mm-dd")))&amp;" ESC",SUMPRODUCT(('Daily Checklist'!$D$2:$D$2000=$A47)*(TEXT('Daily Checklist'!$B$2:$B$2000,"yyyy-mm-dd")=TEXT(($B$4+8),"yyyy-mm-dd"))*('Daily Checklist'!$F$2:$F$2000="Done"))&amp;"/"&amp;SUMPRODUCT(('Daily Checklist'!$D$2:$D$2000=$A47)*(TEXT('Daily Checklist'!$B$2:$B$2000,"yyyy-mm-dd")=TEXT(($B$4+8),"yyyy-mm-dd"))))))</f>
        <v/>
      </c>
      <c r="K47" s="25" t="str">
        <f aca="false">IF($A47="","",IF(SUMPRODUCT(('Daily Checklist'!$D$2:$D$2000=$A47)*(TEXT('Daily Checklist'!$B$2:$B$2000,"yyyy-mm-dd")=TEXT(($B$4+9),"yyyy-mm-dd")))=0,"-",IF(SUMPRODUCT(('Daily Checklist'!$D$2:$D$2000=$A47)*(TEXT('Daily Checklist'!$B$2:$B$2000,"yyyy-mm-dd")=TEXT(($B$4+9),"yyyy-mm-dd"))*('Daily Checklist'!$L$2:$L$2000="Y"))&gt;0,SUMPRODUCT(('Daily Checklist'!$D$2:$D$2000=$A47)*(TEXT('Daily Checklist'!$B$2:$B$2000,"yyyy-mm-dd")=TEXT(($B$4+9),"yyyy-mm-dd"))*('Daily Checklist'!$F$2:$F$2000="Done"))&amp;"/"&amp;SUMPRODUCT(('Daily Checklist'!$D$2:$D$2000=$A47)*(TEXT('Daily Checklist'!$B$2:$B$2000,"yyyy-mm-dd")=TEXT(($B$4+9),"yyyy-mm-dd")))&amp;" ESC",SUMPRODUCT(('Daily Checklist'!$D$2:$D$2000=$A47)*(TEXT('Daily Checklist'!$B$2:$B$2000,"yyyy-mm-dd")=TEXT(($B$4+9),"yyyy-mm-dd"))*('Daily Checklist'!$F$2:$F$2000="Done"))&amp;"/"&amp;SUMPRODUCT(('Daily Checklist'!$D$2:$D$2000=$A47)*(TEXT('Daily Checklist'!$B$2:$B$2000,"yyyy-mm-dd")=TEXT(($B$4+9),"yyyy-mm-dd"))))))</f>
        <v/>
      </c>
      <c r="L47" s="25" t="str">
        <f aca="false">IF($A47="","",IF(SUMPRODUCT(('Daily Checklist'!$D$2:$D$2000=$A47)*(TEXT('Daily Checklist'!$B$2:$B$2000,"yyyy-mm-dd")=TEXT(($B$4+10),"yyyy-mm-dd")))=0,"-",IF(SUMPRODUCT(('Daily Checklist'!$D$2:$D$2000=$A47)*(TEXT('Daily Checklist'!$B$2:$B$2000,"yyyy-mm-dd")=TEXT(($B$4+10),"yyyy-mm-dd"))*('Daily Checklist'!$L$2:$L$2000="Y"))&gt;0,SUMPRODUCT(('Daily Checklist'!$D$2:$D$2000=$A47)*(TEXT('Daily Checklist'!$B$2:$B$2000,"yyyy-mm-dd")=TEXT(($B$4+10),"yyyy-mm-dd"))*('Daily Checklist'!$F$2:$F$2000="Done"))&amp;"/"&amp;SUMPRODUCT(('Daily Checklist'!$D$2:$D$2000=$A47)*(TEXT('Daily Checklist'!$B$2:$B$2000,"yyyy-mm-dd")=TEXT(($B$4+10),"yyyy-mm-dd")))&amp;" ESC",SUMPRODUCT(('Daily Checklist'!$D$2:$D$2000=$A47)*(TEXT('Daily Checklist'!$B$2:$B$2000,"yyyy-mm-dd")=TEXT(($B$4+10),"yyyy-mm-dd"))*('Daily Checklist'!$F$2:$F$2000="Done"))&amp;"/"&amp;SUMPRODUCT(('Daily Checklist'!$D$2:$D$2000=$A47)*(TEXT('Daily Checklist'!$B$2:$B$2000,"yyyy-mm-dd")=TEXT(($B$4+10),"yyyy-mm-dd"))))))</f>
        <v/>
      </c>
      <c r="M47" s="25" t="str">
        <f aca="false">IF($A47="","",IF(SUMPRODUCT(('Daily Checklist'!$D$2:$D$2000=$A47)*(TEXT('Daily Checklist'!$B$2:$B$2000,"yyyy-mm-dd")=TEXT(($B$4+11),"yyyy-mm-dd")))=0,"-",IF(SUMPRODUCT(('Daily Checklist'!$D$2:$D$2000=$A47)*(TEXT('Daily Checklist'!$B$2:$B$2000,"yyyy-mm-dd")=TEXT(($B$4+11),"yyyy-mm-dd"))*('Daily Checklist'!$L$2:$L$2000="Y"))&gt;0,SUMPRODUCT(('Daily Checklist'!$D$2:$D$2000=$A47)*(TEXT('Daily Checklist'!$B$2:$B$2000,"yyyy-mm-dd")=TEXT(($B$4+11),"yyyy-mm-dd"))*('Daily Checklist'!$F$2:$F$2000="Done"))&amp;"/"&amp;SUMPRODUCT(('Daily Checklist'!$D$2:$D$2000=$A47)*(TEXT('Daily Checklist'!$B$2:$B$2000,"yyyy-mm-dd")=TEXT(($B$4+11),"yyyy-mm-dd")))&amp;" ESC",SUMPRODUCT(('Daily Checklist'!$D$2:$D$2000=$A47)*(TEXT('Daily Checklist'!$B$2:$B$2000,"yyyy-mm-dd")=TEXT(($B$4+11),"yyyy-mm-dd"))*('Daily Checklist'!$F$2:$F$2000="Done"))&amp;"/"&amp;SUMPRODUCT(('Daily Checklist'!$D$2:$D$2000=$A47)*(TEXT('Daily Checklist'!$B$2:$B$2000,"yyyy-mm-dd")=TEXT(($B$4+11),"yyyy-mm-dd"))))))</f>
        <v/>
      </c>
      <c r="N47" s="25" t="str">
        <f aca="false">IF($A47="","",IF(SUMPRODUCT(('Daily Checklist'!$D$2:$D$2000=$A47)*(TEXT('Daily Checklist'!$B$2:$B$2000,"yyyy-mm-dd")=TEXT(($B$4+12),"yyyy-mm-dd")))=0,"-",IF(SUMPRODUCT(('Daily Checklist'!$D$2:$D$2000=$A47)*(TEXT('Daily Checklist'!$B$2:$B$2000,"yyyy-mm-dd")=TEXT(($B$4+12),"yyyy-mm-dd"))*('Daily Checklist'!$L$2:$L$2000="Y"))&gt;0,SUMPRODUCT(('Daily Checklist'!$D$2:$D$2000=$A47)*(TEXT('Daily Checklist'!$B$2:$B$2000,"yyyy-mm-dd")=TEXT(($B$4+12),"yyyy-mm-dd"))*('Daily Checklist'!$F$2:$F$2000="Done"))&amp;"/"&amp;SUMPRODUCT(('Daily Checklist'!$D$2:$D$2000=$A47)*(TEXT('Daily Checklist'!$B$2:$B$2000,"yyyy-mm-dd")=TEXT(($B$4+12),"yyyy-mm-dd")))&amp;" ESC",SUMPRODUCT(('Daily Checklist'!$D$2:$D$2000=$A47)*(TEXT('Daily Checklist'!$B$2:$B$2000,"yyyy-mm-dd")=TEXT(($B$4+12),"yyyy-mm-dd"))*('Daily Checklist'!$F$2:$F$2000="Done"))&amp;"/"&amp;SUMPRODUCT(('Daily Checklist'!$D$2:$D$2000=$A47)*(TEXT('Daily Checklist'!$B$2:$B$2000,"yyyy-mm-dd")=TEXT(($B$4+12),"yyyy-mm-dd"))))))</f>
        <v/>
      </c>
      <c r="O47" s="25" t="str">
        <f aca="false">IF($A47="","",IF(SUMPRODUCT(('Daily Checklist'!$D$2:$D$2000=$A47)*(TEXT('Daily Checklist'!$B$2:$B$2000,"yyyy-mm-dd")=TEXT(($B$4+13),"yyyy-mm-dd")))=0,"-",IF(SUMPRODUCT(('Daily Checklist'!$D$2:$D$2000=$A47)*(TEXT('Daily Checklist'!$B$2:$B$2000,"yyyy-mm-dd")=TEXT(($B$4+13),"yyyy-mm-dd"))*('Daily Checklist'!$L$2:$L$2000="Y"))&gt;0,SUMPRODUCT(('Daily Checklist'!$D$2:$D$2000=$A47)*(TEXT('Daily Checklist'!$B$2:$B$2000,"yyyy-mm-dd")=TEXT(($B$4+13),"yyyy-mm-dd"))*('Daily Checklist'!$F$2:$F$2000="Done"))&amp;"/"&amp;SUMPRODUCT(('Daily Checklist'!$D$2:$D$2000=$A47)*(TEXT('Daily Checklist'!$B$2:$B$2000,"yyyy-mm-dd")=TEXT(($B$4+13),"yyyy-mm-dd")))&amp;" ESC",SUMPRODUCT(('Daily Checklist'!$D$2:$D$2000=$A47)*(TEXT('Daily Checklist'!$B$2:$B$2000,"yyyy-mm-dd")=TEXT(($B$4+13),"yyyy-mm-dd"))*('Daily Checklist'!$F$2:$F$2000="Done"))&amp;"/"&amp;SUMPRODUCT(('Daily Checklist'!$D$2:$D$2000=$A47)*(TEXT('Daily Checklist'!$B$2:$B$2000,"yyyy-mm-dd")=TEXT(($B$4+13),"yyyy-mm-dd"))))))</f>
        <v/>
      </c>
      <c r="P47" s="25" t="str">
        <f aca="false">IF($A47="","",IF(SUMPRODUCT(('Daily Checklist'!$D$2:$D$2000=$A47)*(TEXT('Daily Checklist'!$B$2:$B$2000,"yyyy-mm-dd")=TEXT(($B$4+14),"yyyy-mm-dd")))=0,"-",IF(SUMPRODUCT(('Daily Checklist'!$D$2:$D$2000=$A47)*(TEXT('Daily Checklist'!$B$2:$B$2000,"yyyy-mm-dd")=TEXT(($B$4+14),"yyyy-mm-dd"))*('Daily Checklist'!$L$2:$L$2000="Y"))&gt;0,SUMPRODUCT(('Daily Checklist'!$D$2:$D$2000=$A47)*(TEXT('Daily Checklist'!$B$2:$B$2000,"yyyy-mm-dd")=TEXT(($B$4+14),"yyyy-mm-dd"))*('Daily Checklist'!$F$2:$F$2000="Done"))&amp;"/"&amp;SUMPRODUCT(('Daily Checklist'!$D$2:$D$2000=$A47)*(TEXT('Daily Checklist'!$B$2:$B$2000,"yyyy-mm-dd")=TEXT(($B$4+14),"yyyy-mm-dd")))&amp;" ESC",SUMPRODUCT(('Daily Checklist'!$D$2:$D$2000=$A47)*(TEXT('Daily Checklist'!$B$2:$B$2000,"yyyy-mm-dd")=TEXT(($B$4+14),"yyyy-mm-dd"))*('Daily Checklist'!$F$2:$F$2000="Done"))&amp;"/"&amp;SUMPRODUCT(('Daily Checklist'!$D$2:$D$2000=$A47)*(TEXT('Daily Checklist'!$B$2:$B$2000,"yyyy-mm-dd")=TEXT(($B$4+14),"yyyy-mm-dd"))))))</f>
        <v/>
      </c>
      <c r="Q47" s="25" t="str">
        <f aca="false">IF($A47="","",IF(SUMPRODUCT(('Daily Checklist'!$D$2:$D$2000=$A47)*(TEXT('Daily Checklist'!$B$2:$B$2000,"yyyy-mm-dd")=TEXT(($B$4+15),"yyyy-mm-dd")))=0,"-",IF(SUMPRODUCT(('Daily Checklist'!$D$2:$D$2000=$A47)*(TEXT('Daily Checklist'!$B$2:$B$2000,"yyyy-mm-dd")=TEXT(($B$4+15),"yyyy-mm-dd"))*('Daily Checklist'!$L$2:$L$2000="Y"))&gt;0,SUMPRODUCT(('Daily Checklist'!$D$2:$D$2000=$A47)*(TEXT('Daily Checklist'!$B$2:$B$2000,"yyyy-mm-dd")=TEXT(($B$4+15),"yyyy-mm-dd"))*('Daily Checklist'!$F$2:$F$2000="Done"))&amp;"/"&amp;SUMPRODUCT(('Daily Checklist'!$D$2:$D$2000=$A47)*(TEXT('Daily Checklist'!$B$2:$B$2000,"yyyy-mm-dd")=TEXT(($B$4+15),"yyyy-mm-dd")))&amp;" ESC",SUMPRODUCT(('Daily Checklist'!$D$2:$D$2000=$A47)*(TEXT('Daily Checklist'!$B$2:$B$2000,"yyyy-mm-dd")=TEXT(($B$4+15),"yyyy-mm-dd"))*('Daily Checklist'!$F$2:$F$2000="Done"))&amp;"/"&amp;SUMPRODUCT(('Daily Checklist'!$D$2:$D$2000=$A47)*(TEXT('Daily Checklist'!$B$2:$B$2000,"yyyy-mm-dd")=TEXT(($B$4+15),"yyyy-mm-dd"))))))</f>
        <v/>
      </c>
      <c r="R47" s="25" t="str">
        <f aca="false">IF($A47="","",IF(SUMPRODUCT(('Daily Checklist'!$D$2:$D$2000=$A47)*(TEXT('Daily Checklist'!$B$2:$B$2000,"yyyy-mm-dd")=TEXT(($B$4+16),"yyyy-mm-dd")))=0,"-",IF(SUMPRODUCT(('Daily Checklist'!$D$2:$D$2000=$A47)*(TEXT('Daily Checklist'!$B$2:$B$2000,"yyyy-mm-dd")=TEXT(($B$4+16),"yyyy-mm-dd"))*('Daily Checklist'!$L$2:$L$2000="Y"))&gt;0,SUMPRODUCT(('Daily Checklist'!$D$2:$D$2000=$A47)*(TEXT('Daily Checklist'!$B$2:$B$2000,"yyyy-mm-dd")=TEXT(($B$4+16),"yyyy-mm-dd"))*('Daily Checklist'!$F$2:$F$2000="Done"))&amp;"/"&amp;SUMPRODUCT(('Daily Checklist'!$D$2:$D$2000=$A47)*(TEXT('Daily Checklist'!$B$2:$B$2000,"yyyy-mm-dd")=TEXT(($B$4+16),"yyyy-mm-dd")))&amp;" ESC",SUMPRODUCT(('Daily Checklist'!$D$2:$D$2000=$A47)*(TEXT('Daily Checklist'!$B$2:$B$2000,"yyyy-mm-dd")=TEXT(($B$4+16),"yyyy-mm-dd"))*('Daily Checklist'!$F$2:$F$2000="Done"))&amp;"/"&amp;SUMPRODUCT(('Daily Checklist'!$D$2:$D$2000=$A47)*(TEXT('Daily Checklist'!$B$2:$B$2000,"yyyy-mm-dd")=TEXT(($B$4+16),"yyyy-mm-dd"))))))</f>
        <v/>
      </c>
      <c r="S47" s="25" t="str">
        <f aca="false">IF($A47="","",IF(SUMPRODUCT(('Daily Checklist'!$D$2:$D$2000=$A47)*(TEXT('Daily Checklist'!$B$2:$B$2000,"yyyy-mm-dd")=TEXT(($B$4+17),"yyyy-mm-dd")))=0,"-",IF(SUMPRODUCT(('Daily Checklist'!$D$2:$D$2000=$A47)*(TEXT('Daily Checklist'!$B$2:$B$2000,"yyyy-mm-dd")=TEXT(($B$4+17),"yyyy-mm-dd"))*('Daily Checklist'!$L$2:$L$2000="Y"))&gt;0,SUMPRODUCT(('Daily Checklist'!$D$2:$D$2000=$A47)*(TEXT('Daily Checklist'!$B$2:$B$2000,"yyyy-mm-dd")=TEXT(($B$4+17),"yyyy-mm-dd"))*('Daily Checklist'!$F$2:$F$2000="Done"))&amp;"/"&amp;SUMPRODUCT(('Daily Checklist'!$D$2:$D$2000=$A47)*(TEXT('Daily Checklist'!$B$2:$B$2000,"yyyy-mm-dd")=TEXT(($B$4+17),"yyyy-mm-dd")))&amp;" ESC",SUMPRODUCT(('Daily Checklist'!$D$2:$D$2000=$A47)*(TEXT('Daily Checklist'!$B$2:$B$2000,"yyyy-mm-dd")=TEXT(($B$4+17),"yyyy-mm-dd"))*('Daily Checklist'!$F$2:$F$2000="Done"))&amp;"/"&amp;SUMPRODUCT(('Daily Checklist'!$D$2:$D$2000=$A47)*(TEXT('Daily Checklist'!$B$2:$B$2000,"yyyy-mm-dd")=TEXT(($B$4+17),"yyyy-mm-dd"))))))</f>
        <v/>
      </c>
      <c r="T47" s="25" t="str">
        <f aca="false">IF($A47="","",IF(SUMPRODUCT(('Daily Checklist'!$D$2:$D$2000=$A47)*(TEXT('Daily Checklist'!$B$2:$B$2000,"yyyy-mm-dd")=TEXT(($B$4+18),"yyyy-mm-dd")))=0,"-",IF(SUMPRODUCT(('Daily Checklist'!$D$2:$D$2000=$A47)*(TEXT('Daily Checklist'!$B$2:$B$2000,"yyyy-mm-dd")=TEXT(($B$4+18),"yyyy-mm-dd"))*('Daily Checklist'!$L$2:$L$2000="Y"))&gt;0,SUMPRODUCT(('Daily Checklist'!$D$2:$D$2000=$A47)*(TEXT('Daily Checklist'!$B$2:$B$2000,"yyyy-mm-dd")=TEXT(($B$4+18),"yyyy-mm-dd"))*('Daily Checklist'!$F$2:$F$2000="Done"))&amp;"/"&amp;SUMPRODUCT(('Daily Checklist'!$D$2:$D$2000=$A47)*(TEXT('Daily Checklist'!$B$2:$B$2000,"yyyy-mm-dd")=TEXT(($B$4+18),"yyyy-mm-dd")))&amp;" ESC",SUMPRODUCT(('Daily Checklist'!$D$2:$D$2000=$A47)*(TEXT('Daily Checklist'!$B$2:$B$2000,"yyyy-mm-dd")=TEXT(($B$4+18),"yyyy-mm-dd"))*('Daily Checklist'!$F$2:$F$2000="Done"))&amp;"/"&amp;SUMPRODUCT(('Daily Checklist'!$D$2:$D$2000=$A47)*(TEXT('Daily Checklist'!$B$2:$B$2000,"yyyy-mm-dd")=TEXT(($B$4+18),"yyyy-mm-dd"))))))</f>
        <v/>
      </c>
      <c r="U47" s="25" t="str">
        <f aca="false">IF($A47="","",IF(SUMPRODUCT(('Daily Checklist'!$D$2:$D$2000=$A47)*(TEXT('Daily Checklist'!$B$2:$B$2000,"yyyy-mm-dd")=TEXT(($B$4+19),"yyyy-mm-dd")))=0,"-",IF(SUMPRODUCT(('Daily Checklist'!$D$2:$D$2000=$A47)*(TEXT('Daily Checklist'!$B$2:$B$2000,"yyyy-mm-dd")=TEXT(($B$4+19),"yyyy-mm-dd"))*('Daily Checklist'!$L$2:$L$2000="Y"))&gt;0,SUMPRODUCT(('Daily Checklist'!$D$2:$D$2000=$A47)*(TEXT('Daily Checklist'!$B$2:$B$2000,"yyyy-mm-dd")=TEXT(($B$4+19),"yyyy-mm-dd"))*('Daily Checklist'!$F$2:$F$2000="Done"))&amp;"/"&amp;SUMPRODUCT(('Daily Checklist'!$D$2:$D$2000=$A47)*(TEXT('Daily Checklist'!$B$2:$B$2000,"yyyy-mm-dd")=TEXT(($B$4+19),"yyyy-mm-dd")))&amp;" ESC",SUMPRODUCT(('Daily Checklist'!$D$2:$D$2000=$A47)*(TEXT('Daily Checklist'!$B$2:$B$2000,"yyyy-mm-dd")=TEXT(($B$4+19),"yyyy-mm-dd"))*('Daily Checklist'!$F$2:$F$2000="Done"))&amp;"/"&amp;SUMPRODUCT(('Daily Checklist'!$D$2:$D$2000=$A47)*(TEXT('Daily Checklist'!$B$2:$B$2000,"yyyy-mm-dd")=TEXT(($B$4+19),"yyyy-mm-dd"))))))</f>
        <v/>
      </c>
      <c r="V47" s="25" t="str">
        <f aca="false">IF($A47="","",IF(SUMPRODUCT(('Daily Checklist'!$D$2:$D$2000=$A47)*(TEXT('Daily Checklist'!$B$2:$B$2000,"yyyy-mm-dd")=TEXT(($B$4+20),"yyyy-mm-dd")))=0,"-",IF(SUMPRODUCT(('Daily Checklist'!$D$2:$D$2000=$A47)*(TEXT('Daily Checklist'!$B$2:$B$2000,"yyyy-mm-dd")=TEXT(($B$4+20),"yyyy-mm-dd"))*('Daily Checklist'!$L$2:$L$2000="Y"))&gt;0,SUMPRODUCT(('Daily Checklist'!$D$2:$D$2000=$A47)*(TEXT('Daily Checklist'!$B$2:$B$2000,"yyyy-mm-dd")=TEXT(($B$4+20),"yyyy-mm-dd"))*('Daily Checklist'!$F$2:$F$2000="Done"))&amp;"/"&amp;SUMPRODUCT(('Daily Checklist'!$D$2:$D$2000=$A47)*(TEXT('Daily Checklist'!$B$2:$B$2000,"yyyy-mm-dd")=TEXT(($B$4+20),"yyyy-mm-dd")))&amp;" ESC",SUMPRODUCT(('Daily Checklist'!$D$2:$D$2000=$A47)*(TEXT('Daily Checklist'!$B$2:$B$2000,"yyyy-mm-dd")=TEXT(($B$4+20),"yyyy-mm-dd"))*('Daily Checklist'!$F$2:$F$2000="Done"))&amp;"/"&amp;SUMPRODUCT(('Daily Checklist'!$D$2:$D$2000=$A47)*(TEXT('Daily Checklist'!$B$2:$B$2000,"yyyy-mm-dd")=TEXT(($B$4+20),"yyyy-mm-dd"))))))</f>
        <v/>
      </c>
      <c r="W47" s="25" t="str">
        <f aca="false">IF($A47="","",IF(SUMPRODUCT(('Daily Checklist'!$D$2:$D$2000=$A47)*(TEXT('Daily Checklist'!$B$2:$B$2000,"yyyy-mm-dd")=TEXT(($B$4+21),"yyyy-mm-dd")))=0,"-",IF(SUMPRODUCT(('Daily Checklist'!$D$2:$D$2000=$A47)*(TEXT('Daily Checklist'!$B$2:$B$2000,"yyyy-mm-dd")=TEXT(($B$4+21),"yyyy-mm-dd"))*('Daily Checklist'!$L$2:$L$2000="Y"))&gt;0,SUMPRODUCT(('Daily Checklist'!$D$2:$D$2000=$A47)*(TEXT('Daily Checklist'!$B$2:$B$2000,"yyyy-mm-dd")=TEXT(($B$4+21),"yyyy-mm-dd"))*('Daily Checklist'!$F$2:$F$2000="Done"))&amp;"/"&amp;SUMPRODUCT(('Daily Checklist'!$D$2:$D$2000=$A47)*(TEXT('Daily Checklist'!$B$2:$B$2000,"yyyy-mm-dd")=TEXT(($B$4+21),"yyyy-mm-dd")))&amp;" ESC",SUMPRODUCT(('Daily Checklist'!$D$2:$D$2000=$A47)*(TEXT('Daily Checklist'!$B$2:$B$2000,"yyyy-mm-dd")=TEXT(($B$4+21),"yyyy-mm-dd"))*('Daily Checklist'!$F$2:$F$2000="Done"))&amp;"/"&amp;SUMPRODUCT(('Daily Checklist'!$D$2:$D$2000=$A47)*(TEXT('Daily Checklist'!$B$2:$B$2000,"yyyy-mm-dd")=TEXT(($B$4+21),"yyyy-mm-dd"))))))</f>
        <v/>
      </c>
      <c r="X47" s="25" t="str">
        <f aca="false">IF($A47="","",IF(SUMPRODUCT(('Daily Checklist'!$D$2:$D$2000=$A47)*(TEXT('Daily Checklist'!$B$2:$B$2000,"yyyy-mm-dd")=TEXT(($B$4+22),"yyyy-mm-dd")))=0,"-",IF(SUMPRODUCT(('Daily Checklist'!$D$2:$D$2000=$A47)*(TEXT('Daily Checklist'!$B$2:$B$2000,"yyyy-mm-dd")=TEXT(($B$4+22),"yyyy-mm-dd"))*('Daily Checklist'!$L$2:$L$2000="Y"))&gt;0,SUMPRODUCT(('Daily Checklist'!$D$2:$D$2000=$A47)*(TEXT('Daily Checklist'!$B$2:$B$2000,"yyyy-mm-dd")=TEXT(($B$4+22),"yyyy-mm-dd"))*('Daily Checklist'!$F$2:$F$2000="Done"))&amp;"/"&amp;SUMPRODUCT(('Daily Checklist'!$D$2:$D$2000=$A47)*(TEXT('Daily Checklist'!$B$2:$B$2000,"yyyy-mm-dd")=TEXT(($B$4+22),"yyyy-mm-dd")))&amp;" ESC",SUMPRODUCT(('Daily Checklist'!$D$2:$D$2000=$A47)*(TEXT('Daily Checklist'!$B$2:$B$2000,"yyyy-mm-dd")=TEXT(($B$4+22),"yyyy-mm-dd"))*('Daily Checklist'!$F$2:$F$2000="Done"))&amp;"/"&amp;SUMPRODUCT(('Daily Checklist'!$D$2:$D$2000=$A47)*(TEXT('Daily Checklist'!$B$2:$B$2000,"yyyy-mm-dd")=TEXT(($B$4+22),"yyyy-mm-dd"))))))</f>
        <v/>
      </c>
      <c r="Y47" s="25" t="str">
        <f aca="false">IF($A47="","",IF(SUMPRODUCT(('Daily Checklist'!$D$2:$D$2000=$A47)*(TEXT('Daily Checklist'!$B$2:$B$2000,"yyyy-mm-dd")=TEXT(($B$4+23),"yyyy-mm-dd")))=0,"-",IF(SUMPRODUCT(('Daily Checklist'!$D$2:$D$2000=$A47)*(TEXT('Daily Checklist'!$B$2:$B$2000,"yyyy-mm-dd")=TEXT(($B$4+23),"yyyy-mm-dd"))*('Daily Checklist'!$L$2:$L$2000="Y"))&gt;0,SUMPRODUCT(('Daily Checklist'!$D$2:$D$2000=$A47)*(TEXT('Daily Checklist'!$B$2:$B$2000,"yyyy-mm-dd")=TEXT(($B$4+23),"yyyy-mm-dd"))*('Daily Checklist'!$F$2:$F$2000="Done"))&amp;"/"&amp;SUMPRODUCT(('Daily Checklist'!$D$2:$D$2000=$A47)*(TEXT('Daily Checklist'!$B$2:$B$2000,"yyyy-mm-dd")=TEXT(($B$4+23),"yyyy-mm-dd")))&amp;" ESC",SUMPRODUCT(('Daily Checklist'!$D$2:$D$2000=$A47)*(TEXT('Daily Checklist'!$B$2:$B$2000,"yyyy-mm-dd")=TEXT(($B$4+23),"yyyy-mm-dd"))*('Daily Checklist'!$F$2:$F$2000="Done"))&amp;"/"&amp;SUMPRODUCT(('Daily Checklist'!$D$2:$D$2000=$A47)*(TEXT('Daily Checklist'!$B$2:$B$2000,"yyyy-mm-dd")=TEXT(($B$4+23),"yyyy-mm-dd"))))))</f>
        <v/>
      </c>
      <c r="Z47" s="25" t="str">
        <f aca="false">IF($A47="","",IF(SUMPRODUCT(('Daily Checklist'!$D$2:$D$2000=$A47)*(TEXT('Daily Checklist'!$B$2:$B$2000,"yyyy-mm-dd")=TEXT(($B$4+24),"yyyy-mm-dd")))=0,"-",IF(SUMPRODUCT(('Daily Checklist'!$D$2:$D$2000=$A47)*(TEXT('Daily Checklist'!$B$2:$B$2000,"yyyy-mm-dd")=TEXT(($B$4+24),"yyyy-mm-dd"))*('Daily Checklist'!$L$2:$L$2000="Y"))&gt;0,SUMPRODUCT(('Daily Checklist'!$D$2:$D$2000=$A47)*(TEXT('Daily Checklist'!$B$2:$B$2000,"yyyy-mm-dd")=TEXT(($B$4+24),"yyyy-mm-dd"))*('Daily Checklist'!$F$2:$F$2000="Done"))&amp;"/"&amp;SUMPRODUCT(('Daily Checklist'!$D$2:$D$2000=$A47)*(TEXT('Daily Checklist'!$B$2:$B$2000,"yyyy-mm-dd")=TEXT(($B$4+24),"yyyy-mm-dd")))&amp;" ESC",SUMPRODUCT(('Daily Checklist'!$D$2:$D$2000=$A47)*(TEXT('Daily Checklist'!$B$2:$B$2000,"yyyy-mm-dd")=TEXT(($B$4+24),"yyyy-mm-dd"))*('Daily Checklist'!$F$2:$F$2000="Done"))&amp;"/"&amp;SUMPRODUCT(('Daily Checklist'!$D$2:$D$2000=$A47)*(TEXT('Daily Checklist'!$B$2:$B$2000,"yyyy-mm-dd")=TEXT(($B$4+24),"yyyy-mm-dd"))))))</f>
        <v/>
      </c>
      <c r="AA47" s="25" t="str">
        <f aca="false">IF($A47="","",IF(SUMPRODUCT(('Daily Checklist'!$D$2:$D$2000=$A47)*(TEXT('Daily Checklist'!$B$2:$B$2000,"yyyy-mm-dd")=TEXT(($B$4+25),"yyyy-mm-dd")))=0,"-",IF(SUMPRODUCT(('Daily Checklist'!$D$2:$D$2000=$A47)*(TEXT('Daily Checklist'!$B$2:$B$2000,"yyyy-mm-dd")=TEXT(($B$4+25),"yyyy-mm-dd"))*('Daily Checklist'!$L$2:$L$2000="Y"))&gt;0,SUMPRODUCT(('Daily Checklist'!$D$2:$D$2000=$A47)*(TEXT('Daily Checklist'!$B$2:$B$2000,"yyyy-mm-dd")=TEXT(($B$4+25),"yyyy-mm-dd"))*('Daily Checklist'!$F$2:$F$2000="Done"))&amp;"/"&amp;SUMPRODUCT(('Daily Checklist'!$D$2:$D$2000=$A47)*(TEXT('Daily Checklist'!$B$2:$B$2000,"yyyy-mm-dd")=TEXT(($B$4+25),"yyyy-mm-dd")))&amp;" ESC",SUMPRODUCT(('Daily Checklist'!$D$2:$D$2000=$A47)*(TEXT('Daily Checklist'!$B$2:$B$2000,"yyyy-mm-dd")=TEXT(($B$4+25),"yyyy-mm-dd"))*('Daily Checklist'!$F$2:$F$2000="Done"))&amp;"/"&amp;SUMPRODUCT(('Daily Checklist'!$D$2:$D$2000=$A47)*(TEXT('Daily Checklist'!$B$2:$B$2000,"yyyy-mm-dd")=TEXT(($B$4+25),"yyyy-mm-dd"))))))</f>
        <v/>
      </c>
      <c r="AB47" s="25" t="str">
        <f aca="false">IF($A47="","",IF(SUMPRODUCT(('Daily Checklist'!$D$2:$D$2000=$A47)*(TEXT('Daily Checklist'!$B$2:$B$2000,"yyyy-mm-dd")=TEXT(($B$4+26),"yyyy-mm-dd")))=0,"-",IF(SUMPRODUCT(('Daily Checklist'!$D$2:$D$2000=$A47)*(TEXT('Daily Checklist'!$B$2:$B$2000,"yyyy-mm-dd")=TEXT(($B$4+26),"yyyy-mm-dd"))*('Daily Checklist'!$L$2:$L$2000="Y"))&gt;0,SUMPRODUCT(('Daily Checklist'!$D$2:$D$2000=$A47)*(TEXT('Daily Checklist'!$B$2:$B$2000,"yyyy-mm-dd")=TEXT(($B$4+26),"yyyy-mm-dd"))*('Daily Checklist'!$F$2:$F$2000="Done"))&amp;"/"&amp;SUMPRODUCT(('Daily Checklist'!$D$2:$D$2000=$A47)*(TEXT('Daily Checklist'!$B$2:$B$2000,"yyyy-mm-dd")=TEXT(($B$4+26),"yyyy-mm-dd")))&amp;" ESC",SUMPRODUCT(('Daily Checklist'!$D$2:$D$2000=$A47)*(TEXT('Daily Checklist'!$B$2:$B$2000,"yyyy-mm-dd")=TEXT(($B$4+26),"yyyy-mm-dd"))*('Daily Checklist'!$F$2:$F$2000="Done"))&amp;"/"&amp;SUMPRODUCT(('Daily Checklist'!$D$2:$D$2000=$A47)*(TEXT('Daily Checklist'!$B$2:$B$2000,"yyyy-mm-dd")=TEXT(($B$4+26),"yyyy-mm-dd"))))))</f>
        <v/>
      </c>
      <c r="AC47" s="25" t="str">
        <f aca="false">IF($A47="","",IF(SUMPRODUCT(('Daily Checklist'!$D$2:$D$2000=$A47)*(TEXT('Daily Checklist'!$B$2:$B$2000,"yyyy-mm-dd")=TEXT(($B$4+27),"yyyy-mm-dd")))=0,"-",IF(SUMPRODUCT(('Daily Checklist'!$D$2:$D$2000=$A47)*(TEXT('Daily Checklist'!$B$2:$B$2000,"yyyy-mm-dd")=TEXT(($B$4+27),"yyyy-mm-dd"))*('Daily Checklist'!$L$2:$L$2000="Y"))&gt;0,SUMPRODUCT(('Daily Checklist'!$D$2:$D$2000=$A47)*(TEXT('Daily Checklist'!$B$2:$B$2000,"yyyy-mm-dd")=TEXT(($B$4+27),"yyyy-mm-dd"))*('Daily Checklist'!$F$2:$F$2000="Done"))&amp;"/"&amp;SUMPRODUCT(('Daily Checklist'!$D$2:$D$2000=$A47)*(TEXT('Daily Checklist'!$B$2:$B$2000,"yyyy-mm-dd")=TEXT(($B$4+27),"yyyy-mm-dd")))&amp;" ESC",SUMPRODUCT(('Daily Checklist'!$D$2:$D$2000=$A47)*(TEXT('Daily Checklist'!$B$2:$B$2000,"yyyy-mm-dd")=TEXT(($B$4+27),"yyyy-mm-dd"))*('Daily Checklist'!$F$2:$F$2000="Done"))&amp;"/"&amp;SUMPRODUCT(('Daily Checklist'!$D$2:$D$2000=$A47)*(TEXT('Daily Checklist'!$B$2:$B$2000,"yyyy-mm-dd")=TEXT(($B$4+27),"yyyy-mm-dd"))))))</f>
        <v/>
      </c>
      <c r="AD47" s="25" t="str">
        <f aca="false">IF($A47="","",IF(SUMPRODUCT(('Daily Checklist'!$D$2:$D$2000=$A47)*(TEXT('Daily Checklist'!$B$2:$B$2000,"yyyy-mm-dd")=TEXT(($B$4+28),"yyyy-mm-dd")))=0,"-",IF(SUMPRODUCT(('Daily Checklist'!$D$2:$D$2000=$A47)*(TEXT('Daily Checklist'!$B$2:$B$2000,"yyyy-mm-dd")=TEXT(($B$4+28),"yyyy-mm-dd"))*('Daily Checklist'!$L$2:$L$2000="Y"))&gt;0,SUMPRODUCT(('Daily Checklist'!$D$2:$D$2000=$A47)*(TEXT('Daily Checklist'!$B$2:$B$2000,"yyyy-mm-dd")=TEXT(($B$4+28),"yyyy-mm-dd"))*('Daily Checklist'!$F$2:$F$2000="Done"))&amp;"/"&amp;SUMPRODUCT(('Daily Checklist'!$D$2:$D$2000=$A47)*(TEXT('Daily Checklist'!$B$2:$B$2000,"yyyy-mm-dd")=TEXT(($B$4+28),"yyyy-mm-dd")))&amp;" ESC",SUMPRODUCT(('Daily Checklist'!$D$2:$D$2000=$A47)*(TEXT('Daily Checklist'!$B$2:$B$2000,"yyyy-mm-dd")=TEXT(($B$4+28),"yyyy-mm-dd"))*('Daily Checklist'!$F$2:$F$2000="Done"))&amp;"/"&amp;SUMPRODUCT(('Daily Checklist'!$D$2:$D$2000=$A47)*(TEXT('Daily Checklist'!$B$2:$B$2000,"yyyy-mm-dd")=TEXT(($B$4+28),"yyyy-mm-dd"))))))</f>
        <v/>
      </c>
      <c r="AE47" s="25" t="str">
        <f aca="false">IF($A47="","",IF(SUMPRODUCT(('Daily Checklist'!$D$2:$D$2000=$A47)*(TEXT('Daily Checklist'!$B$2:$B$2000,"yyyy-mm-dd")=TEXT(($B$4+29),"yyyy-mm-dd")))=0,"-",IF(SUMPRODUCT(('Daily Checklist'!$D$2:$D$2000=$A47)*(TEXT('Daily Checklist'!$B$2:$B$2000,"yyyy-mm-dd")=TEXT(($B$4+29),"yyyy-mm-dd"))*('Daily Checklist'!$L$2:$L$2000="Y"))&gt;0,SUMPRODUCT(('Daily Checklist'!$D$2:$D$2000=$A47)*(TEXT('Daily Checklist'!$B$2:$B$2000,"yyyy-mm-dd")=TEXT(($B$4+29),"yyyy-mm-dd"))*('Daily Checklist'!$F$2:$F$2000="Done"))&amp;"/"&amp;SUMPRODUCT(('Daily Checklist'!$D$2:$D$2000=$A47)*(TEXT('Daily Checklist'!$B$2:$B$2000,"yyyy-mm-dd")=TEXT(($B$4+29),"yyyy-mm-dd")))&amp;" ESC",SUMPRODUCT(('Daily Checklist'!$D$2:$D$2000=$A47)*(TEXT('Daily Checklist'!$B$2:$B$2000,"yyyy-mm-dd")=TEXT(($B$4+29),"yyyy-mm-dd"))*('Daily Checklist'!$F$2:$F$2000="Done"))&amp;"/"&amp;SUMPRODUCT(('Daily Checklist'!$D$2:$D$2000=$A47)*(TEXT('Daily Checklist'!$B$2:$B$2000,"yyyy-mm-dd")=TEXT(($B$4+29),"yyyy-mm-dd"))))))</f>
        <v/>
      </c>
      <c r="AF47" s="25" t="str">
        <f aca="false">IF($A47="","",IF(SUMPRODUCT(('Daily Checklist'!$D$2:$D$2000=$A47)*(TEXT('Daily Checklist'!$B$2:$B$2000,"yyyy-mm-dd")=TEXT(($B$4+30),"yyyy-mm-dd")))=0,"-",IF(SUMPRODUCT(('Daily Checklist'!$D$2:$D$2000=$A47)*(TEXT('Daily Checklist'!$B$2:$B$2000,"yyyy-mm-dd")=TEXT(($B$4+30),"yyyy-mm-dd"))*('Daily Checklist'!$L$2:$L$2000="Y"))&gt;0,SUMPRODUCT(('Daily Checklist'!$D$2:$D$2000=$A47)*(TEXT('Daily Checklist'!$B$2:$B$2000,"yyyy-mm-dd")=TEXT(($B$4+30),"yyyy-mm-dd"))*('Daily Checklist'!$F$2:$F$2000="Done"))&amp;"/"&amp;SUMPRODUCT(('Daily Checklist'!$D$2:$D$2000=$A47)*(TEXT('Daily Checklist'!$B$2:$B$2000,"yyyy-mm-dd")=TEXT(($B$4+30),"yyyy-mm-dd")))&amp;" ESC",SUMPRODUCT(('Daily Checklist'!$D$2:$D$2000=$A47)*(TEXT('Daily Checklist'!$B$2:$B$2000,"yyyy-mm-dd")=TEXT(($B$4+30),"yyyy-mm-dd"))*('Daily Checklist'!$F$2:$F$2000="Done"))&amp;"/"&amp;SUMPRODUCT(('Daily Checklist'!$D$2:$D$2000=$A47)*(TEXT('Daily Checklist'!$B$2:$B$2000,"yyyy-mm-dd")=TEXT(($B$4+30),"yyyy-mm-dd"))))))</f>
        <v/>
      </c>
    </row>
    <row r="48" customFormat="false" ht="15" hidden="false" customHeight="true" outlineLevel="0" collapsed="false">
      <c r="A48" s="24" t="str">
        <f aca="false">IFERROR(IF(Employees!A43="","",Employees!A43),"")</f>
        <v/>
      </c>
      <c r="B48" s="25" t="str">
        <f aca="false">IF($A48="","",IF(SUMPRODUCT(('Daily Checklist'!$D$2:$D$2000=$A48)*(TEXT('Daily Checklist'!$B$2:$B$2000,"yyyy-mm-dd")=TEXT(($B$4+0),"yyyy-mm-dd")))=0,"-",IF(SUMPRODUCT(('Daily Checklist'!$D$2:$D$2000=$A48)*(TEXT('Daily Checklist'!$B$2:$B$2000,"yyyy-mm-dd")=TEXT(($B$4+0),"yyyy-mm-dd"))*('Daily Checklist'!$L$2:$L$2000="Y"))&gt;0,SUMPRODUCT(('Daily Checklist'!$D$2:$D$2000=$A48)*(TEXT('Daily Checklist'!$B$2:$B$2000,"yyyy-mm-dd")=TEXT(($B$4+0),"yyyy-mm-dd"))*('Daily Checklist'!$F$2:$F$2000="Done"))&amp;"/"&amp;SUMPRODUCT(('Daily Checklist'!$D$2:$D$2000=$A48)*(TEXT('Daily Checklist'!$B$2:$B$2000,"yyyy-mm-dd")=TEXT(($B$4+0),"yyyy-mm-dd")))&amp;" ESC",SUMPRODUCT(('Daily Checklist'!$D$2:$D$2000=$A48)*(TEXT('Daily Checklist'!$B$2:$B$2000,"yyyy-mm-dd")=TEXT(($B$4+0),"yyyy-mm-dd"))*('Daily Checklist'!$F$2:$F$2000="Done"))&amp;"/"&amp;SUMPRODUCT(('Daily Checklist'!$D$2:$D$2000=$A48)*(TEXT('Daily Checklist'!$B$2:$B$2000,"yyyy-mm-dd")=TEXT(($B$4+0),"yyyy-mm-dd"))))))</f>
        <v/>
      </c>
      <c r="C48" s="25" t="str">
        <f aca="false">IF($A48="","",IF(SUMPRODUCT(('Daily Checklist'!$D$2:$D$2000=$A48)*(TEXT('Daily Checklist'!$B$2:$B$2000,"yyyy-mm-dd")=TEXT(($B$4+1),"yyyy-mm-dd")))=0,"-",IF(SUMPRODUCT(('Daily Checklist'!$D$2:$D$2000=$A48)*(TEXT('Daily Checklist'!$B$2:$B$2000,"yyyy-mm-dd")=TEXT(($B$4+1),"yyyy-mm-dd"))*('Daily Checklist'!$L$2:$L$2000="Y"))&gt;0,SUMPRODUCT(('Daily Checklist'!$D$2:$D$2000=$A48)*(TEXT('Daily Checklist'!$B$2:$B$2000,"yyyy-mm-dd")=TEXT(($B$4+1),"yyyy-mm-dd"))*('Daily Checklist'!$F$2:$F$2000="Done"))&amp;"/"&amp;SUMPRODUCT(('Daily Checklist'!$D$2:$D$2000=$A48)*(TEXT('Daily Checklist'!$B$2:$B$2000,"yyyy-mm-dd")=TEXT(($B$4+1),"yyyy-mm-dd")))&amp;" ESC",SUMPRODUCT(('Daily Checklist'!$D$2:$D$2000=$A48)*(TEXT('Daily Checklist'!$B$2:$B$2000,"yyyy-mm-dd")=TEXT(($B$4+1),"yyyy-mm-dd"))*('Daily Checklist'!$F$2:$F$2000="Done"))&amp;"/"&amp;SUMPRODUCT(('Daily Checklist'!$D$2:$D$2000=$A48)*(TEXT('Daily Checklist'!$B$2:$B$2000,"yyyy-mm-dd")=TEXT(($B$4+1),"yyyy-mm-dd"))))))</f>
        <v/>
      </c>
      <c r="D48" s="25" t="str">
        <f aca="false">IF($A48="","",IF(SUMPRODUCT(('Daily Checklist'!$D$2:$D$2000=$A48)*(TEXT('Daily Checklist'!$B$2:$B$2000,"yyyy-mm-dd")=TEXT(($B$4+2),"yyyy-mm-dd")))=0,"-",IF(SUMPRODUCT(('Daily Checklist'!$D$2:$D$2000=$A48)*(TEXT('Daily Checklist'!$B$2:$B$2000,"yyyy-mm-dd")=TEXT(($B$4+2),"yyyy-mm-dd"))*('Daily Checklist'!$L$2:$L$2000="Y"))&gt;0,SUMPRODUCT(('Daily Checklist'!$D$2:$D$2000=$A48)*(TEXT('Daily Checklist'!$B$2:$B$2000,"yyyy-mm-dd")=TEXT(($B$4+2),"yyyy-mm-dd"))*('Daily Checklist'!$F$2:$F$2000="Done"))&amp;"/"&amp;SUMPRODUCT(('Daily Checklist'!$D$2:$D$2000=$A48)*(TEXT('Daily Checklist'!$B$2:$B$2000,"yyyy-mm-dd")=TEXT(($B$4+2),"yyyy-mm-dd")))&amp;" ESC",SUMPRODUCT(('Daily Checklist'!$D$2:$D$2000=$A48)*(TEXT('Daily Checklist'!$B$2:$B$2000,"yyyy-mm-dd")=TEXT(($B$4+2),"yyyy-mm-dd"))*('Daily Checklist'!$F$2:$F$2000="Done"))&amp;"/"&amp;SUMPRODUCT(('Daily Checklist'!$D$2:$D$2000=$A48)*(TEXT('Daily Checklist'!$B$2:$B$2000,"yyyy-mm-dd")=TEXT(($B$4+2),"yyyy-mm-dd"))))))</f>
        <v/>
      </c>
      <c r="E48" s="25" t="str">
        <f aca="false">IF($A48="","",IF(SUMPRODUCT(('Daily Checklist'!$D$2:$D$2000=$A48)*(TEXT('Daily Checklist'!$B$2:$B$2000,"yyyy-mm-dd")=TEXT(($B$4+3),"yyyy-mm-dd")))=0,"-",IF(SUMPRODUCT(('Daily Checklist'!$D$2:$D$2000=$A48)*(TEXT('Daily Checklist'!$B$2:$B$2000,"yyyy-mm-dd")=TEXT(($B$4+3),"yyyy-mm-dd"))*('Daily Checklist'!$L$2:$L$2000="Y"))&gt;0,SUMPRODUCT(('Daily Checklist'!$D$2:$D$2000=$A48)*(TEXT('Daily Checklist'!$B$2:$B$2000,"yyyy-mm-dd")=TEXT(($B$4+3),"yyyy-mm-dd"))*('Daily Checklist'!$F$2:$F$2000="Done"))&amp;"/"&amp;SUMPRODUCT(('Daily Checklist'!$D$2:$D$2000=$A48)*(TEXT('Daily Checklist'!$B$2:$B$2000,"yyyy-mm-dd")=TEXT(($B$4+3),"yyyy-mm-dd")))&amp;" ESC",SUMPRODUCT(('Daily Checklist'!$D$2:$D$2000=$A48)*(TEXT('Daily Checklist'!$B$2:$B$2000,"yyyy-mm-dd")=TEXT(($B$4+3),"yyyy-mm-dd"))*('Daily Checklist'!$F$2:$F$2000="Done"))&amp;"/"&amp;SUMPRODUCT(('Daily Checklist'!$D$2:$D$2000=$A48)*(TEXT('Daily Checklist'!$B$2:$B$2000,"yyyy-mm-dd")=TEXT(($B$4+3),"yyyy-mm-dd"))))))</f>
        <v/>
      </c>
      <c r="F48" s="25" t="str">
        <f aca="false">IF($A48="","",IF(SUMPRODUCT(('Daily Checklist'!$D$2:$D$2000=$A48)*(TEXT('Daily Checklist'!$B$2:$B$2000,"yyyy-mm-dd")=TEXT(($B$4+4),"yyyy-mm-dd")))=0,"-",IF(SUMPRODUCT(('Daily Checklist'!$D$2:$D$2000=$A48)*(TEXT('Daily Checklist'!$B$2:$B$2000,"yyyy-mm-dd")=TEXT(($B$4+4),"yyyy-mm-dd"))*('Daily Checklist'!$L$2:$L$2000="Y"))&gt;0,SUMPRODUCT(('Daily Checklist'!$D$2:$D$2000=$A48)*(TEXT('Daily Checklist'!$B$2:$B$2000,"yyyy-mm-dd")=TEXT(($B$4+4),"yyyy-mm-dd"))*('Daily Checklist'!$F$2:$F$2000="Done"))&amp;"/"&amp;SUMPRODUCT(('Daily Checklist'!$D$2:$D$2000=$A48)*(TEXT('Daily Checklist'!$B$2:$B$2000,"yyyy-mm-dd")=TEXT(($B$4+4),"yyyy-mm-dd")))&amp;" ESC",SUMPRODUCT(('Daily Checklist'!$D$2:$D$2000=$A48)*(TEXT('Daily Checklist'!$B$2:$B$2000,"yyyy-mm-dd")=TEXT(($B$4+4),"yyyy-mm-dd"))*('Daily Checklist'!$F$2:$F$2000="Done"))&amp;"/"&amp;SUMPRODUCT(('Daily Checklist'!$D$2:$D$2000=$A48)*(TEXT('Daily Checklist'!$B$2:$B$2000,"yyyy-mm-dd")=TEXT(($B$4+4),"yyyy-mm-dd"))))))</f>
        <v/>
      </c>
      <c r="G48" s="25" t="str">
        <f aca="false">IF($A48="","",IF(SUMPRODUCT(('Daily Checklist'!$D$2:$D$2000=$A48)*(TEXT('Daily Checklist'!$B$2:$B$2000,"yyyy-mm-dd")=TEXT(($B$4+5),"yyyy-mm-dd")))=0,"-",IF(SUMPRODUCT(('Daily Checklist'!$D$2:$D$2000=$A48)*(TEXT('Daily Checklist'!$B$2:$B$2000,"yyyy-mm-dd")=TEXT(($B$4+5),"yyyy-mm-dd"))*('Daily Checklist'!$L$2:$L$2000="Y"))&gt;0,SUMPRODUCT(('Daily Checklist'!$D$2:$D$2000=$A48)*(TEXT('Daily Checklist'!$B$2:$B$2000,"yyyy-mm-dd")=TEXT(($B$4+5),"yyyy-mm-dd"))*('Daily Checklist'!$F$2:$F$2000="Done"))&amp;"/"&amp;SUMPRODUCT(('Daily Checklist'!$D$2:$D$2000=$A48)*(TEXT('Daily Checklist'!$B$2:$B$2000,"yyyy-mm-dd")=TEXT(($B$4+5),"yyyy-mm-dd")))&amp;" ESC",SUMPRODUCT(('Daily Checklist'!$D$2:$D$2000=$A48)*(TEXT('Daily Checklist'!$B$2:$B$2000,"yyyy-mm-dd")=TEXT(($B$4+5),"yyyy-mm-dd"))*('Daily Checklist'!$F$2:$F$2000="Done"))&amp;"/"&amp;SUMPRODUCT(('Daily Checklist'!$D$2:$D$2000=$A48)*(TEXT('Daily Checklist'!$B$2:$B$2000,"yyyy-mm-dd")=TEXT(($B$4+5),"yyyy-mm-dd"))))))</f>
        <v/>
      </c>
      <c r="H48" s="25" t="str">
        <f aca="false">IF($A48="","",IF(SUMPRODUCT(('Daily Checklist'!$D$2:$D$2000=$A48)*(TEXT('Daily Checklist'!$B$2:$B$2000,"yyyy-mm-dd")=TEXT(($B$4+6),"yyyy-mm-dd")))=0,"-",IF(SUMPRODUCT(('Daily Checklist'!$D$2:$D$2000=$A48)*(TEXT('Daily Checklist'!$B$2:$B$2000,"yyyy-mm-dd")=TEXT(($B$4+6),"yyyy-mm-dd"))*('Daily Checklist'!$L$2:$L$2000="Y"))&gt;0,SUMPRODUCT(('Daily Checklist'!$D$2:$D$2000=$A48)*(TEXT('Daily Checklist'!$B$2:$B$2000,"yyyy-mm-dd")=TEXT(($B$4+6),"yyyy-mm-dd"))*('Daily Checklist'!$F$2:$F$2000="Done"))&amp;"/"&amp;SUMPRODUCT(('Daily Checklist'!$D$2:$D$2000=$A48)*(TEXT('Daily Checklist'!$B$2:$B$2000,"yyyy-mm-dd")=TEXT(($B$4+6),"yyyy-mm-dd")))&amp;" ESC",SUMPRODUCT(('Daily Checklist'!$D$2:$D$2000=$A48)*(TEXT('Daily Checklist'!$B$2:$B$2000,"yyyy-mm-dd")=TEXT(($B$4+6),"yyyy-mm-dd"))*('Daily Checklist'!$F$2:$F$2000="Done"))&amp;"/"&amp;SUMPRODUCT(('Daily Checklist'!$D$2:$D$2000=$A48)*(TEXT('Daily Checklist'!$B$2:$B$2000,"yyyy-mm-dd")=TEXT(($B$4+6),"yyyy-mm-dd"))))))</f>
        <v/>
      </c>
      <c r="I48" s="25" t="str">
        <f aca="false">IF($A48="","",IF(SUMPRODUCT(('Daily Checklist'!$D$2:$D$2000=$A48)*(TEXT('Daily Checklist'!$B$2:$B$2000,"yyyy-mm-dd")=TEXT(($B$4+7),"yyyy-mm-dd")))=0,"-",IF(SUMPRODUCT(('Daily Checklist'!$D$2:$D$2000=$A48)*(TEXT('Daily Checklist'!$B$2:$B$2000,"yyyy-mm-dd")=TEXT(($B$4+7),"yyyy-mm-dd"))*('Daily Checklist'!$L$2:$L$2000="Y"))&gt;0,SUMPRODUCT(('Daily Checklist'!$D$2:$D$2000=$A48)*(TEXT('Daily Checklist'!$B$2:$B$2000,"yyyy-mm-dd")=TEXT(($B$4+7),"yyyy-mm-dd"))*('Daily Checklist'!$F$2:$F$2000="Done"))&amp;"/"&amp;SUMPRODUCT(('Daily Checklist'!$D$2:$D$2000=$A48)*(TEXT('Daily Checklist'!$B$2:$B$2000,"yyyy-mm-dd")=TEXT(($B$4+7),"yyyy-mm-dd")))&amp;" ESC",SUMPRODUCT(('Daily Checklist'!$D$2:$D$2000=$A48)*(TEXT('Daily Checklist'!$B$2:$B$2000,"yyyy-mm-dd")=TEXT(($B$4+7),"yyyy-mm-dd"))*('Daily Checklist'!$F$2:$F$2000="Done"))&amp;"/"&amp;SUMPRODUCT(('Daily Checklist'!$D$2:$D$2000=$A48)*(TEXT('Daily Checklist'!$B$2:$B$2000,"yyyy-mm-dd")=TEXT(($B$4+7),"yyyy-mm-dd"))))))</f>
        <v/>
      </c>
      <c r="J48" s="25" t="str">
        <f aca="false">IF($A48="","",IF(SUMPRODUCT(('Daily Checklist'!$D$2:$D$2000=$A48)*(TEXT('Daily Checklist'!$B$2:$B$2000,"yyyy-mm-dd")=TEXT(($B$4+8),"yyyy-mm-dd")))=0,"-",IF(SUMPRODUCT(('Daily Checklist'!$D$2:$D$2000=$A48)*(TEXT('Daily Checklist'!$B$2:$B$2000,"yyyy-mm-dd")=TEXT(($B$4+8),"yyyy-mm-dd"))*('Daily Checklist'!$L$2:$L$2000="Y"))&gt;0,SUMPRODUCT(('Daily Checklist'!$D$2:$D$2000=$A48)*(TEXT('Daily Checklist'!$B$2:$B$2000,"yyyy-mm-dd")=TEXT(($B$4+8),"yyyy-mm-dd"))*('Daily Checklist'!$F$2:$F$2000="Done"))&amp;"/"&amp;SUMPRODUCT(('Daily Checklist'!$D$2:$D$2000=$A48)*(TEXT('Daily Checklist'!$B$2:$B$2000,"yyyy-mm-dd")=TEXT(($B$4+8),"yyyy-mm-dd")))&amp;" ESC",SUMPRODUCT(('Daily Checklist'!$D$2:$D$2000=$A48)*(TEXT('Daily Checklist'!$B$2:$B$2000,"yyyy-mm-dd")=TEXT(($B$4+8),"yyyy-mm-dd"))*('Daily Checklist'!$F$2:$F$2000="Done"))&amp;"/"&amp;SUMPRODUCT(('Daily Checklist'!$D$2:$D$2000=$A48)*(TEXT('Daily Checklist'!$B$2:$B$2000,"yyyy-mm-dd")=TEXT(($B$4+8),"yyyy-mm-dd"))))))</f>
        <v/>
      </c>
      <c r="K48" s="25" t="str">
        <f aca="false">IF($A48="","",IF(SUMPRODUCT(('Daily Checklist'!$D$2:$D$2000=$A48)*(TEXT('Daily Checklist'!$B$2:$B$2000,"yyyy-mm-dd")=TEXT(($B$4+9),"yyyy-mm-dd")))=0,"-",IF(SUMPRODUCT(('Daily Checklist'!$D$2:$D$2000=$A48)*(TEXT('Daily Checklist'!$B$2:$B$2000,"yyyy-mm-dd")=TEXT(($B$4+9),"yyyy-mm-dd"))*('Daily Checklist'!$L$2:$L$2000="Y"))&gt;0,SUMPRODUCT(('Daily Checklist'!$D$2:$D$2000=$A48)*(TEXT('Daily Checklist'!$B$2:$B$2000,"yyyy-mm-dd")=TEXT(($B$4+9),"yyyy-mm-dd"))*('Daily Checklist'!$F$2:$F$2000="Done"))&amp;"/"&amp;SUMPRODUCT(('Daily Checklist'!$D$2:$D$2000=$A48)*(TEXT('Daily Checklist'!$B$2:$B$2000,"yyyy-mm-dd")=TEXT(($B$4+9),"yyyy-mm-dd")))&amp;" ESC",SUMPRODUCT(('Daily Checklist'!$D$2:$D$2000=$A48)*(TEXT('Daily Checklist'!$B$2:$B$2000,"yyyy-mm-dd")=TEXT(($B$4+9),"yyyy-mm-dd"))*('Daily Checklist'!$F$2:$F$2000="Done"))&amp;"/"&amp;SUMPRODUCT(('Daily Checklist'!$D$2:$D$2000=$A48)*(TEXT('Daily Checklist'!$B$2:$B$2000,"yyyy-mm-dd")=TEXT(($B$4+9),"yyyy-mm-dd"))))))</f>
        <v/>
      </c>
      <c r="L48" s="25" t="str">
        <f aca="false">IF($A48="","",IF(SUMPRODUCT(('Daily Checklist'!$D$2:$D$2000=$A48)*(TEXT('Daily Checklist'!$B$2:$B$2000,"yyyy-mm-dd")=TEXT(($B$4+10),"yyyy-mm-dd")))=0,"-",IF(SUMPRODUCT(('Daily Checklist'!$D$2:$D$2000=$A48)*(TEXT('Daily Checklist'!$B$2:$B$2000,"yyyy-mm-dd")=TEXT(($B$4+10),"yyyy-mm-dd"))*('Daily Checklist'!$L$2:$L$2000="Y"))&gt;0,SUMPRODUCT(('Daily Checklist'!$D$2:$D$2000=$A48)*(TEXT('Daily Checklist'!$B$2:$B$2000,"yyyy-mm-dd")=TEXT(($B$4+10),"yyyy-mm-dd"))*('Daily Checklist'!$F$2:$F$2000="Done"))&amp;"/"&amp;SUMPRODUCT(('Daily Checklist'!$D$2:$D$2000=$A48)*(TEXT('Daily Checklist'!$B$2:$B$2000,"yyyy-mm-dd")=TEXT(($B$4+10),"yyyy-mm-dd")))&amp;" ESC",SUMPRODUCT(('Daily Checklist'!$D$2:$D$2000=$A48)*(TEXT('Daily Checklist'!$B$2:$B$2000,"yyyy-mm-dd")=TEXT(($B$4+10),"yyyy-mm-dd"))*('Daily Checklist'!$F$2:$F$2000="Done"))&amp;"/"&amp;SUMPRODUCT(('Daily Checklist'!$D$2:$D$2000=$A48)*(TEXT('Daily Checklist'!$B$2:$B$2000,"yyyy-mm-dd")=TEXT(($B$4+10),"yyyy-mm-dd"))))))</f>
        <v/>
      </c>
      <c r="M48" s="25" t="str">
        <f aca="false">IF($A48="","",IF(SUMPRODUCT(('Daily Checklist'!$D$2:$D$2000=$A48)*(TEXT('Daily Checklist'!$B$2:$B$2000,"yyyy-mm-dd")=TEXT(($B$4+11),"yyyy-mm-dd")))=0,"-",IF(SUMPRODUCT(('Daily Checklist'!$D$2:$D$2000=$A48)*(TEXT('Daily Checklist'!$B$2:$B$2000,"yyyy-mm-dd")=TEXT(($B$4+11),"yyyy-mm-dd"))*('Daily Checklist'!$L$2:$L$2000="Y"))&gt;0,SUMPRODUCT(('Daily Checklist'!$D$2:$D$2000=$A48)*(TEXT('Daily Checklist'!$B$2:$B$2000,"yyyy-mm-dd")=TEXT(($B$4+11),"yyyy-mm-dd"))*('Daily Checklist'!$F$2:$F$2000="Done"))&amp;"/"&amp;SUMPRODUCT(('Daily Checklist'!$D$2:$D$2000=$A48)*(TEXT('Daily Checklist'!$B$2:$B$2000,"yyyy-mm-dd")=TEXT(($B$4+11),"yyyy-mm-dd")))&amp;" ESC",SUMPRODUCT(('Daily Checklist'!$D$2:$D$2000=$A48)*(TEXT('Daily Checklist'!$B$2:$B$2000,"yyyy-mm-dd")=TEXT(($B$4+11),"yyyy-mm-dd"))*('Daily Checklist'!$F$2:$F$2000="Done"))&amp;"/"&amp;SUMPRODUCT(('Daily Checklist'!$D$2:$D$2000=$A48)*(TEXT('Daily Checklist'!$B$2:$B$2000,"yyyy-mm-dd")=TEXT(($B$4+11),"yyyy-mm-dd"))))))</f>
        <v/>
      </c>
      <c r="N48" s="25" t="str">
        <f aca="false">IF($A48="","",IF(SUMPRODUCT(('Daily Checklist'!$D$2:$D$2000=$A48)*(TEXT('Daily Checklist'!$B$2:$B$2000,"yyyy-mm-dd")=TEXT(($B$4+12),"yyyy-mm-dd")))=0,"-",IF(SUMPRODUCT(('Daily Checklist'!$D$2:$D$2000=$A48)*(TEXT('Daily Checklist'!$B$2:$B$2000,"yyyy-mm-dd")=TEXT(($B$4+12),"yyyy-mm-dd"))*('Daily Checklist'!$L$2:$L$2000="Y"))&gt;0,SUMPRODUCT(('Daily Checklist'!$D$2:$D$2000=$A48)*(TEXT('Daily Checklist'!$B$2:$B$2000,"yyyy-mm-dd")=TEXT(($B$4+12),"yyyy-mm-dd"))*('Daily Checklist'!$F$2:$F$2000="Done"))&amp;"/"&amp;SUMPRODUCT(('Daily Checklist'!$D$2:$D$2000=$A48)*(TEXT('Daily Checklist'!$B$2:$B$2000,"yyyy-mm-dd")=TEXT(($B$4+12),"yyyy-mm-dd")))&amp;" ESC",SUMPRODUCT(('Daily Checklist'!$D$2:$D$2000=$A48)*(TEXT('Daily Checklist'!$B$2:$B$2000,"yyyy-mm-dd")=TEXT(($B$4+12),"yyyy-mm-dd"))*('Daily Checklist'!$F$2:$F$2000="Done"))&amp;"/"&amp;SUMPRODUCT(('Daily Checklist'!$D$2:$D$2000=$A48)*(TEXT('Daily Checklist'!$B$2:$B$2000,"yyyy-mm-dd")=TEXT(($B$4+12),"yyyy-mm-dd"))))))</f>
        <v/>
      </c>
      <c r="O48" s="25" t="str">
        <f aca="false">IF($A48="","",IF(SUMPRODUCT(('Daily Checklist'!$D$2:$D$2000=$A48)*(TEXT('Daily Checklist'!$B$2:$B$2000,"yyyy-mm-dd")=TEXT(($B$4+13),"yyyy-mm-dd")))=0,"-",IF(SUMPRODUCT(('Daily Checklist'!$D$2:$D$2000=$A48)*(TEXT('Daily Checklist'!$B$2:$B$2000,"yyyy-mm-dd")=TEXT(($B$4+13),"yyyy-mm-dd"))*('Daily Checklist'!$L$2:$L$2000="Y"))&gt;0,SUMPRODUCT(('Daily Checklist'!$D$2:$D$2000=$A48)*(TEXT('Daily Checklist'!$B$2:$B$2000,"yyyy-mm-dd")=TEXT(($B$4+13),"yyyy-mm-dd"))*('Daily Checklist'!$F$2:$F$2000="Done"))&amp;"/"&amp;SUMPRODUCT(('Daily Checklist'!$D$2:$D$2000=$A48)*(TEXT('Daily Checklist'!$B$2:$B$2000,"yyyy-mm-dd")=TEXT(($B$4+13),"yyyy-mm-dd")))&amp;" ESC",SUMPRODUCT(('Daily Checklist'!$D$2:$D$2000=$A48)*(TEXT('Daily Checklist'!$B$2:$B$2000,"yyyy-mm-dd")=TEXT(($B$4+13),"yyyy-mm-dd"))*('Daily Checklist'!$F$2:$F$2000="Done"))&amp;"/"&amp;SUMPRODUCT(('Daily Checklist'!$D$2:$D$2000=$A48)*(TEXT('Daily Checklist'!$B$2:$B$2000,"yyyy-mm-dd")=TEXT(($B$4+13),"yyyy-mm-dd"))))))</f>
        <v/>
      </c>
      <c r="P48" s="25" t="str">
        <f aca="false">IF($A48="","",IF(SUMPRODUCT(('Daily Checklist'!$D$2:$D$2000=$A48)*(TEXT('Daily Checklist'!$B$2:$B$2000,"yyyy-mm-dd")=TEXT(($B$4+14),"yyyy-mm-dd")))=0,"-",IF(SUMPRODUCT(('Daily Checklist'!$D$2:$D$2000=$A48)*(TEXT('Daily Checklist'!$B$2:$B$2000,"yyyy-mm-dd")=TEXT(($B$4+14),"yyyy-mm-dd"))*('Daily Checklist'!$L$2:$L$2000="Y"))&gt;0,SUMPRODUCT(('Daily Checklist'!$D$2:$D$2000=$A48)*(TEXT('Daily Checklist'!$B$2:$B$2000,"yyyy-mm-dd")=TEXT(($B$4+14),"yyyy-mm-dd"))*('Daily Checklist'!$F$2:$F$2000="Done"))&amp;"/"&amp;SUMPRODUCT(('Daily Checklist'!$D$2:$D$2000=$A48)*(TEXT('Daily Checklist'!$B$2:$B$2000,"yyyy-mm-dd")=TEXT(($B$4+14),"yyyy-mm-dd")))&amp;" ESC",SUMPRODUCT(('Daily Checklist'!$D$2:$D$2000=$A48)*(TEXT('Daily Checklist'!$B$2:$B$2000,"yyyy-mm-dd")=TEXT(($B$4+14),"yyyy-mm-dd"))*('Daily Checklist'!$F$2:$F$2000="Done"))&amp;"/"&amp;SUMPRODUCT(('Daily Checklist'!$D$2:$D$2000=$A48)*(TEXT('Daily Checklist'!$B$2:$B$2000,"yyyy-mm-dd")=TEXT(($B$4+14),"yyyy-mm-dd"))))))</f>
        <v/>
      </c>
      <c r="Q48" s="25" t="str">
        <f aca="false">IF($A48="","",IF(SUMPRODUCT(('Daily Checklist'!$D$2:$D$2000=$A48)*(TEXT('Daily Checklist'!$B$2:$B$2000,"yyyy-mm-dd")=TEXT(($B$4+15),"yyyy-mm-dd")))=0,"-",IF(SUMPRODUCT(('Daily Checklist'!$D$2:$D$2000=$A48)*(TEXT('Daily Checklist'!$B$2:$B$2000,"yyyy-mm-dd")=TEXT(($B$4+15),"yyyy-mm-dd"))*('Daily Checklist'!$L$2:$L$2000="Y"))&gt;0,SUMPRODUCT(('Daily Checklist'!$D$2:$D$2000=$A48)*(TEXT('Daily Checklist'!$B$2:$B$2000,"yyyy-mm-dd")=TEXT(($B$4+15),"yyyy-mm-dd"))*('Daily Checklist'!$F$2:$F$2000="Done"))&amp;"/"&amp;SUMPRODUCT(('Daily Checklist'!$D$2:$D$2000=$A48)*(TEXT('Daily Checklist'!$B$2:$B$2000,"yyyy-mm-dd")=TEXT(($B$4+15),"yyyy-mm-dd")))&amp;" ESC",SUMPRODUCT(('Daily Checklist'!$D$2:$D$2000=$A48)*(TEXT('Daily Checklist'!$B$2:$B$2000,"yyyy-mm-dd")=TEXT(($B$4+15),"yyyy-mm-dd"))*('Daily Checklist'!$F$2:$F$2000="Done"))&amp;"/"&amp;SUMPRODUCT(('Daily Checklist'!$D$2:$D$2000=$A48)*(TEXT('Daily Checklist'!$B$2:$B$2000,"yyyy-mm-dd")=TEXT(($B$4+15),"yyyy-mm-dd"))))))</f>
        <v/>
      </c>
      <c r="R48" s="25" t="str">
        <f aca="false">IF($A48="","",IF(SUMPRODUCT(('Daily Checklist'!$D$2:$D$2000=$A48)*(TEXT('Daily Checklist'!$B$2:$B$2000,"yyyy-mm-dd")=TEXT(($B$4+16),"yyyy-mm-dd")))=0,"-",IF(SUMPRODUCT(('Daily Checklist'!$D$2:$D$2000=$A48)*(TEXT('Daily Checklist'!$B$2:$B$2000,"yyyy-mm-dd")=TEXT(($B$4+16),"yyyy-mm-dd"))*('Daily Checklist'!$L$2:$L$2000="Y"))&gt;0,SUMPRODUCT(('Daily Checklist'!$D$2:$D$2000=$A48)*(TEXT('Daily Checklist'!$B$2:$B$2000,"yyyy-mm-dd")=TEXT(($B$4+16),"yyyy-mm-dd"))*('Daily Checklist'!$F$2:$F$2000="Done"))&amp;"/"&amp;SUMPRODUCT(('Daily Checklist'!$D$2:$D$2000=$A48)*(TEXT('Daily Checklist'!$B$2:$B$2000,"yyyy-mm-dd")=TEXT(($B$4+16),"yyyy-mm-dd")))&amp;" ESC",SUMPRODUCT(('Daily Checklist'!$D$2:$D$2000=$A48)*(TEXT('Daily Checklist'!$B$2:$B$2000,"yyyy-mm-dd")=TEXT(($B$4+16),"yyyy-mm-dd"))*('Daily Checklist'!$F$2:$F$2000="Done"))&amp;"/"&amp;SUMPRODUCT(('Daily Checklist'!$D$2:$D$2000=$A48)*(TEXT('Daily Checklist'!$B$2:$B$2000,"yyyy-mm-dd")=TEXT(($B$4+16),"yyyy-mm-dd"))))))</f>
        <v/>
      </c>
      <c r="S48" s="25" t="str">
        <f aca="false">IF($A48="","",IF(SUMPRODUCT(('Daily Checklist'!$D$2:$D$2000=$A48)*(TEXT('Daily Checklist'!$B$2:$B$2000,"yyyy-mm-dd")=TEXT(($B$4+17),"yyyy-mm-dd")))=0,"-",IF(SUMPRODUCT(('Daily Checklist'!$D$2:$D$2000=$A48)*(TEXT('Daily Checklist'!$B$2:$B$2000,"yyyy-mm-dd")=TEXT(($B$4+17),"yyyy-mm-dd"))*('Daily Checklist'!$L$2:$L$2000="Y"))&gt;0,SUMPRODUCT(('Daily Checklist'!$D$2:$D$2000=$A48)*(TEXT('Daily Checklist'!$B$2:$B$2000,"yyyy-mm-dd")=TEXT(($B$4+17),"yyyy-mm-dd"))*('Daily Checklist'!$F$2:$F$2000="Done"))&amp;"/"&amp;SUMPRODUCT(('Daily Checklist'!$D$2:$D$2000=$A48)*(TEXT('Daily Checklist'!$B$2:$B$2000,"yyyy-mm-dd")=TEXT(($B$4+17),"yyyy-mm-dd")))&amp;" ESC",SUMPRODUCT(('Daily Checklist'!$D$2:$D$2000=$A48)*(TEXT('Daily Checklist'!$B$2:$B$2000,"yyyy-mm-dd")=TEXT(($B$4+17),"yyyy-mm-dd"))*('Daily Checklist'!$F$2:$F$2000="Done"))&amp;"/"&amp;SUMPRODUCT(('Daily Checklist'!$D$2:$D$2000=$A48)*(TEXT('Daily Checklist'!$B$2:$B$2000,"yyyy-mm-dd")=TEXT(($B$4+17),"yyyy-mm-dd"))))))</f>
        <v/>
      </c>
      <c r="T48" s="25" t="str">
        <f aca="false">IF($A48="","",IF(SUMPRODUCT(('Daily Checklist'!$D$2:$D$2000=$A48)*(TEXT('Daily Checklist'!$B$2:$B$2000,"yyyy-mm-dd")=TEXT(($B$4+18),"yyyy-mm-dd")))=0,"-",IF(SUMPRODUCT(('Daily Checklist'!$D$2:$D$2000=$A48)*(TEXT('Daily Checklist'!$B$2:$B$2000,"yyyy-mm-dd")=TEXT(($B$4+18),"yyyy-mm-dd"))*('Daily Checklist'!$L$2:$L$2000="Y"))&gt;0,SUMPRODUCT(('Daily Checklist'!$D$2:$D$2000=$A48)*(TEXT('Daily Checklist'!$B$2:$B$2000,"yyyy-mm-dd")=TEXT(($B$4+18),"yyyy-mm-dd"))*('Daily Checklist'!$F$2:$F$2000="Done"))&amp;"/"&amp;SUMPRODUCT(('Daily Checklist'!$D$2:$D$2000=$A48)*(TEXT('Daily Checklist'!$B$2:$B$2000,"yyyy-mm-dd")=TEXT(($B$4+18),"yyyy-mm-dd")))&amp;" ESC",SUMPRODUCT(('Daily Checklist'!$D$2:$D$2000=$A48)*(TEXT('Daily Checklist'!$B$2:$B$2000,"yyyy-mm-dd")=TEXT(($B$4+18),"yyyy-mm-dd"))*('Daily Checklist'!$F$2:$F$2000="Done"))&amp;"/"&amp;SUMPRODUCT(('Daily Checklist'!$D$2:$D$2000=$A48)*(TEXT('Daily Checklist'!$B$2:$B$2000,"yyyy-mm-dd")=TEXT(($B$4+18),"yyyy-mm-dd"))))))</f>
        <v/>
      </c>
      <c r="U48" s="25" t="str">
        <f aca="false">IF($A48="","",IF(SUMPRODUCT(('Daily Checklist'!$D$2:$D$2000=$A48)*(TEXT('Daily Checklist'!$B$2:$B$2000,"yyyy-mm-dd")=TEXT(($B$4+19),"yyyy-mm-dd")))=0,"-",IF(SUMPRODUCT(('Daily Checklist'!$D$2:$D$2000=$A48)*(TEXT('Daily Checklist'!$B$2:$B$2000,"yyyy-mm-dd")=TEXT(($B$4+19),"yyyy-mm-dd"))*('Daily Checklist'!$L$2:$L$2000="Y"))&gt;0,SUMPRODUCT(('Daily Checklist'!$D$2:$D$2000=$A48)*(TEXT('Daily Checklist'!$B$2:$B$2000,"yyyy-mm-dd")=TEXT(($B$4+19),"yyyy-mm-dd"))*('Daily Checklist'!$F$2:$F$2000="Done"))&amp;"/"&amp;SUMPRODUCT(('Daily Checklist'!$D$2:$D$2000=$A48)*(TEXT('Daily Checklist'!$B$2:$B$2000,"yyyy-mm-dd")=TEXT(($B$4+19),"yyyy-mm-dd")))&amp;" ESC",SUMPRODUCT(('Daily Checklist'!$D$2:$D$2000=$A48)*(TEXT('Daily Checklist'!$B$2:$B$2000,"yyyy-mm-dd")=TEXT(($B$4+19),"yyyy-mm-dd"))*('Daily Checklist'!$F$2:$F$2000="Done"))&amp;"/"&amp;SUMPRODUCT(('Daily Checklist'!$D$2:$D$2000=$A48)*(TEXT('Daily Checklist'!$B$2:$B$2000,"yyyy-mm-dd")=TEXT(($B$4+19),"yyyy-mm-dd"))))))</f>
        <v/>
      </c>
      <c r="V48" s="25" t="str">
        <f aca="false">IF($A48="","",IF(SUMPRODUCT(('Daily Checklist'!$D$2:$D$2000=$A48)*(TEXT('Daily Checklist'!$B$2:$B$2000,"yyyy-mm-dd")=TEXT(($B$4+20),"yyyy-mm-dd")))=0,"-",IF(SUMPRODUCT(('Daily Checklist'!$D$2:$D$2000=$A48)*(TEXT('Daily Checklist'!$B$2:$B$2000,"yyyy-mm-dd")=TEXT(($B$4+20),"yyyy-mm-dd"))*('Daily Checklist'!$L$2:$L$2000="Y"))&gt;0,SUMPRODUCT(('Daily Checklist'!$D$2:$D$2000=$A48)*(TEXT('Daily Checklist'!$B$2:$B$2000,"yyyy-mm-dd")=TEXT(($B$4+20),"yyyy-mm-dd"))*('Daily Checklist'!$F$2:$F$2000="Done"))&amp;"/"&amp;SUMPRODUCT(('Daily Checklist'!$D$2:$D$2000=$A48)*(TEXT('Daily Checklist'!$B$2:$B$2000,"yyyy-mm-dd")=TEXT(($B$4+20),"yyyy-mm-dd")))&amp;" ESC",SUMPRODUCT(('Daily Checklist'!$D$2:$D$2000=$A48)*(TEXT('Daily Checklist'!$B$2:$B$2000,"yyyy-mm-dd")=TEXT(($B$4+20),"yyyy-mm-dd"))*('Daily Checklist'!$F$2:$F$2000="Done"))&amp;"/"&amp;SUMPRODUCT(('Daily Checklist'!$D$2:$D$2000=$A48)*(TEXT('Daily Checklist'!$B$2:$B$2000,"yyyy-mm-dd")=TEXT(($B$4+20),"yyyy-mm-dd"))))))</f>
        <v/>
      </c>
      <c r="W48" s="25" t="str">
        <f aca="false">IF($A48="","",IF(SUMPRODUCT(('Daily Checklist'!$D$2:$D$2000=$A48)*(TEXT('Daily Checklist'!$B$2:$B$2000,"yyyy-mm-dd")=TEXT(($B$4+21),"yyyy-mm-dd")))=0,"-",IF(SUMPRODUCT(('Daily Checklist'!$D$2:$D$2000=$A48)*(TEXT('Daily Checklist'!$B$2:$B$2000,"yyyy-mm-dd")=TEXT(($B$4+21),"yyyy-mm-dd"))*('Daily Checklist'!$L$2:$L$2000="Y"))&gt;0,SUMPRODUCT(('Daily Checklist'!$D$2:$D$2000=$A48)*(TEXT('Daily Checklist'!$B$2:$B$2000,"yyyy-mm-dd")=TEXT(($B$4+21),"yyyy-mm-dd"))*('Daily Checklist'!$F$2:$F$2000="Done"))&amp;"/"&amp;SUMPRODUCT(('Daily Checklist'!$D$2:$D$2000=$A48)*(TEXT('Daily Checklist'!$B$2:$B$2000,"yyyy-mm-dd")=TEXT(($B$4+21),"yyyy-mm-dd")))&amp;" ESC",SUMPRODUCT(('Daily Checklist'!$D$2:$D$2000=$A48)*(TEXT('Daily Checklist'!$B$2:$B$2000,"yyyy-mm-dd")=TEXT(($B$4+21),"yyyy-mm-dd"))*('Daily Checklist'!$F$2:$F$2000="Done"))&amp;"/"&amp;SUMPRODUCT(('Daily Checklist'!$D$2:$D$2000=$A48)*(TEXT('Daily Checklist'!$B$2:$B$2000,"yyyy-mm-dd")=TEXT(($B$4+21),"yyyy-mm-dd"))))))</f>
        <v/>
      </c>
      <c r="X48" s="25" t="str">
        <f aca="false">IF($A48="","",IF(SUMPRODUCT(('Daily Checklist'!$D$2:$D$2000=$A48)*(TEXT('Daily Checklist'!$B$2:$B$2000,"yyyy-mm-dd")=TEXT(($B$4+22),"yyyy-mm-dd")))=0,"-",IF(SUMPRODUCT(('Daily Checklist'!$D$2:$D$2000=$A48)*(TEXT('Daily Checklist'!$B$2:$B$2000,"yyyy-mm-dd")=TEXT(($B$4+22),"yyyy-mm-dd"))*('Daily Checklist'!$L$2:$L$2000="Y"))&gt;0,SUMPRODUCT(('Daily Checklist'!$D$2:$D$2000=$A48)*(TEXT('Daily Checklist'!$B$2:$B$2000,"yyyy-mm-dd")=TEXT(($B$4+22),"yyyy-mm-dd"))*('Daily Checklist'!$F$2:$F$2000="Done"))&amp;"/"&amp;SUMPRODUCT(('Daily Checklist'!$D$2:$D$2000=$A48)*(TEXT('Daily Checklist'!$B$2:$B$2000,"yyyy-mm-dd")=TEXT(($B$4+22),"yyyy-mm-dd")))&amp;" ESC",SUMPRODUCT(('Daily Checklist'!$D$2:$D$2000=$A48)*(TEXT('Daily Checklist'!$B$2:$B$2000,"yyyy-mm-dd")=TEXT(($B$4+22),"yyyy-mm-dd"))*('Daily Checklist'!$F$2:$F$2000="Done"))&amp;"/"&amp;SUMPRODUCT(('Daily Checklist'!$D$2:$D$2000=$A48)*(TEXT('Daily Checklist'!$B$2:$B$2000,"yyyy-mm-dd")=TEXT(($B$4+22),"yyyy-mm-dd"))))))</f>
        <v/>
      </c>
      <c r="Y48" s="25" t="str">
        <f aca="false">IF($A48="","",IF(SUMPRODUCT(('Daily Checklist'!$D$2:$D$2000=$A48)*(TEXT('Daily Checklist'!$B$2:$B$2000,"yyyy-mm-dd")=TEXT(($B$4+23),"yyyy-mm-dd")))=0,"-",IF(SUMPRODUCT(('Daily Checklist'!$D$2:$D$2000=$A48)*(TEXT('Daily Checklist'!$B$2:$B$2000,"yyyy-mm-dd")=TEXT(($B$4+23),"yyyy-mm-dd"))*('Daily Checklist'!$L$2:$L$2000="Y"))&gt;0,SUMPRODUCT(('Daily Checklist'!$D$2:$D$2000=$A48)*(TEXT('Daily Checklist'!$B$2:$B$2000,"yyyy-mm-dd")=TEXT(($B$4+23),"yyyy-mm-dd"))*('Daily Checklist'!$F$2:$F$2000="Done"))&amp;"/"&amp;SUMPRODUCT(('Daily Checklist'!$D$2:$D$2000=$A48)*(TEXT('Daily Checklist'!$B$2:$B$2000,"yyyy-mm-dd")=TEXT(($B$4+23),"yyyy-mm-dd")))&amp;" ESC",SUMPRODUCT(('Daily Checklist'!$D$2:$D$2000=$A48)*(TEXT('Daily Checklist'!$B$2:$B$2000,"yyyy-mm-dd")=TEXT(($B$4+23),"yyyy-mm-dd"))*('Daily Checklist'!$F$2:$F$2000="Done"))&amp;"/"&amp;SUMPRODUCT(('Daily Checklist'!$D$2:$D$2000=$A48)*(TEXT('Daily Checklist'!$B$2:$B$2000,"yyyy-mm-dd")=TEXT(($B$4+23),"yyyy-mm-dd"))))))</f>
        <v/>
      </c>
      <c r="Z48" s="25" t="str">
        <f aca="false">IF($A48="","",IF(SUMPRODUCT(('Daily Checklist'!$D$2:$D$2000=$A48)*(TEXT('Daily Checklist'!$B$2:$B$2000,"yyyy-mm-dd")=TEXT(($B$4+24),"yyyy-mm-dd")))=0,"-",IF(SUMPRODUCT(('Daily Checklist'!$D$2:$D$2000=$A48)*(TEXT('Daily Checklist'!$B$2:$B$2000,"yyyy-mm-dd")=TEXT(($B$4+24),"yyyy-mm-dd"))*('Daily Checklist'!$L$2:$L$2000="Y"))&gt;0,SUMPRODUCT(('Daily Checklist'!$D$2:$D$2000=$A48)*(TEXT('Daily Checklist'!$B$2:$B$2000,"yyyy-mm-dd")=TEXT(($B$4+24),"yyyy-mm-dd"))*('Daily Checklist'!$F$2:$F$2000="Done"))&amp;"/"&amp;SUMPRODUCT(('Daily Checklist'!$D$2:$D$2000=$A48)*(TEXT('Daily Checklist'!$B$2:$B$2000,"yyyy-mm-dd")=TEXT(($B$4+24),"yyyy-mm-dd")))&amp;" ESC",SUMPRODUCT(('Daily Checklist'!$D$2:$D$2000=$A48)*(TEXT('Daily Checklist'!$B$2:$B$2000,"yyyy-mm-dd")=TEXT(($B$4+24),"yyyy-mm-dd"))*('Daily Checklist'!$F$2:$F$2000="Done"))&amp;"/"&amp;SUMPRODUCT(('Daily Checklist'!$D$2:$D$2000=$A48)*(TEXT('Daily Checklist'!$B$2:$B$2000,"yyyy-mm-dd")=TEXT(($B$4+24),"yyyy-mm-dd"))))))</f>
        <v/>
      </c>
      <c r="AA48" s="25" t="str">
        <f aca="false">IF($A48="","",IF(SUMPRODUCT(('Daily Checklist'!$D$2:$D$2000=$A48)*(TEXT('Daily Checklist'!$B$2:$B$2000,"yyyy-mm-dd")=TEXT(($B$4+25),"yyyy-mm-dd")))=0,"-",IF(SUMPRODUCT(('Daily Checklist'!$D$2:$D$2000=$A48)*(TEXT('Daily Checklist'!$B$2:$B$2000,"yyyy-mm-dd")=TEXT(($B$4+25),"yyyy-mm-dd"))*('Daily Checklist'!$L$2:$L$2000="Y"))&gt;0,SUMPRODUCT(('Daily Checklist'!$D$2:$D$2000=$A48)*(TEXT('Daily Checklist'!$B$2:$B$2000,"yyyy-mm-dd")=TEXT(($B$4+25),"yyyy-mm-dd"))*('Daily Checklist'!$F$2:$F$2000="Done"))&amp;"/"&amp;SUMPRODUCT(('Daily Checklist'!$D$2:$D$2000=$A48)*(TEXT('Daily Checklist'!$B$2:$B$2000,"yyyy-mm-dd")=TEXT(($B$4+25),"yyyy-mm-dd")))&amp;" ESC",SUMPRODUCT(('Daily Checklist'!$D$2:$D$2000=$A48)*(TEXT('Daily Checklist'!$B$2:$B$2000,"yyyy-mm-dd")=TEXT(($B$4+25),"yyyy-mm-dd"))*('Daily Checklist'!$F$2:$F$2000="Done"))&amp;"/"&amp;SUMPRODUCT(('Daily Checklist'!$D$2:$D$2000=$A48)*(TEXT('Daily Checklist'!$B$2:$B$2000,"yyyy-mm-dd")=TEXT(($B$4+25),"yyyy-mm-dd"))))))</f>
        <v/>
      </c>
      <c r="AB48" s="25" t="str">
        <f aca="false">IF($A48="","",IF(SUMPRODUCT(('Daily Checklist'!$D$2:$D$2000=$A48)*(TEXT('Daily Checklist'!$B$2:$B$2000,"yyyy-mm-dd")=TEXT(($B$4+26),"yyyy-mm-dd")))=0,"-",IF(SUMPRODUCT(('Daily Checklist'!$D$2:$D$2000=$A48)*(TEXT('Daily Checklist'!$B$2:$B$2000,"yyyy-mm-dd")=TEXT(($B$4+26),"yyyy-mm-dd"))*('Daily Checklist'!$L$2:$L$2000="Y"))&gt;0,SUMPRODUCT(('Daily Checklist'!$D$2:$D$2000=$A48)*(TEXT('Daily Checklist'!$B$2:$B$2000,"yyyy-mm-dd")=TEXT(($B$4+26),"yyyy-mm-dd"))*('Daily Checklist'!$F$2:$F$2000="Done"))&amp;"/"&amp;SUMPRODUCT(('Daily Checklist'!$D$2:$D$2000=$A48)*(TEXT('Daily Checklist'!$B$2:$B$2000,"yyyy-mm-dd")=TEXT(($B$4+26),"yyyy-mm-dd")))&amp;" ESC",SUMPRODUCT(('Daily Checklist'!$D$2:$D$2000=$A48)*(TEXT('Daily Checklist'!$B$2:$B$2000,"yyyy-mm-dd")=TEXT(($B$4+26),"yyyy-mm-dd"))*('Daily Checklist'!$F$2:$F$2000="Done"))&amp;"/"&amp;SUMPRODUCT(('Daily Checklist'!$D$2:$D$2000=$A48)*(TEXT('Daily Checklist'!$B$2:$B$2000,"yyyy-mm-dd")=TEXT(($B$4+26),"yyyy-mm-dd"))))))</f>
        <v/>
      </c>
      <c r="AC48" s="25" t="str">
        <f aca="false">IF($A48="","",IF(SUMPRODUCT(('Daily Checklist'!$D$2:$D$2000=$A48)*(TEXT('Daily Checklist'!$B$2:$B$2000,"yyyy-mm-dd")=TEXT(($B$4+27),"yyyy-mm-dd")))=0,"-",IF(SUMPRODUCT(('Daily Checklist'!$D$2:$D$2000=$A48)*(TEXT('Daily Checklist'!$B$2:$B$2000,"yyyy-mm-dd")=TEXT(($B$4+27),"yyyy-mm-dd"))*('Daily Checklist'!$L$2:$L$2000="Y"))&gt;0,SUMPRODUCT(('Daily Checklist'!$D$2:$D$2000=$A48)*(TEXT('Daily Checklist'!$B$2:$B$2000,"yyyy-mm-dd")=TEXT(($B$4+27),"yyyy-mm-dd"))*('Daily Checklist'!$F$2:$F$2000="Done"))&amp;"/"&amp;SUMPRODUCT(('Daily Checklist'!$D$2:$D$2000=$A48)*(TEXT('Daily Checklist'!$B$2:$B$2000,"yyyy-mm-dd")=TEXT(($B$4+27),"yyyy-mm-dd")))&amp;" ESC",SUMPRODUCT(('Daily Checklist'!$D$2:$D$2000=$A48)*(TEXT('Daily Checklist'!$B$2:$B$2000,"yyyy-mm-dd")=TEXT(($B$4+27),"yyyy-mm-dd"))*('Daily Checklist'!$F$2:$F$2000="Done"))&amp;"/"&amp;SUMPRODUCT(('Daily Checklist'!$D$2:$D$2000=$A48)*(TEXT('Daily Checklist'!$B$2:$B$2000,"yyyy-mm-dd")=TEXT(($B$4+27),"yyyy-mm-dd"))))))</f>
        <v/>
      </c>
      <c r="AD48" s="25" t="str">
        <f aca="false">IF($A48="","",IF(SUMPRODUCT(('Daily Checklist'!$D$2:$D$2000=$A48)*(TEXT('Daily Checklist'!$B$2:$B$2000,"yyyy-mm-dd")=TEXT(($B$4+28),"yyyy-mm-dd")))=0,"-",IF(SUMPRODUCT(('Daily Checklist'!$D$2:$D$2000=$A48)*(TEXT('Daily Checklist'!$B$2:$B$2000,"yyyy-mm-dd")=TEXT(($B$4+28),"yyyy-mm-dd"))*('Daily Checklist'!$L$2:$L$2000="Y"))&gt;0,SUMPRODUCT(('Daily Checklist'!$D$2:$D$2000=$A48)*(TEXT('Daily Checklist'!$B$2:$B$2000,"yyyy-mm-dd")=TEXT(($B$4+28),"yyyy-mm-dd"))*('Daily Checklist'!$F$2:$F$2000="Done"))&amp;"/"&amp;SUMPRODUCT(('Daily Checklist'!$D$2:$D$2000=$A48)*(TEXT('Daily Checklist'!$B$2:$B$2000,"yyyy-mm-dd")=TEXT(($B$4+28),"yyyy-mm-dd")))&amp;" ESC",SUMPRODUCT(('Daily Checklist'!$D$2:$D$2000=$A48)*(TEXT('Daily Checklist'!$B$2:$B$2000,"yyyy-mm-dd")=TEXT(($B$4+28),"yyyy-mm-dd"))*('Daily Checklist'!$F$2:$F$2000="Done"))&amp;"/"&amp;SUMPRODUCT(('Daily Checklist'!$D$2:$D$2000=$A48)*(TEXT('Daily Checklist'!$B$2:$B$2000,"yyyy-mm-dd")=TEXT(($B$4+28),"yyyy-mm-dd"))))))</f>
        <v/>
      </c>
      <c r="AE48" s="25" t="str">
        <f aca="false">IF($A48="","",IF(SUMPRODUCT(('Daily Checklist'!$D$2:$D$2000=$A48)*(TEXT('Daily Checklist'!$B$2:$B$2000,"yyyy-mm-dd")=TEXT(($B$4+29),"yyyy-mm-dd")))=0,"-",IF(SUMPRODUCT(('Daily Checklist'!$D$2:$D$2000=$A48)*(TEXT('Daily Checklist'!$B$2:$B$2000,"yyyy-mm-dd")=TEXT(($B$4+29),"yyyy-mm-dd"))*('Daily Checklist'!$L$2:$L$2000="Y"))&gt;0,SUMPRODUCT(('Daily Checklist'!$D$2:$D$2000=$A48)*(TEXT('Daily Checklist'!$B$2:$B$2000,"yyyy-mm-dd")=TEXT(($B$4+29),"yyyy-mm-dd"))*('Daily Checklist'!$F$2:$F$2000="Done"))&amp;"/"&amp;SUMPRODUCT(('Daily Checklist'!$D$2:$D$2000=$A48)*(TEXT('Daily Checklist'!$B$2:$B$2000,"yyyy-mm-dd")=TEXT(($B$4+29),"yyyy-mm-dd")))&amp;" ESC",SUMPRODUCT(('Daily Checklist'!$D$2:$D$2000=$A48)*(TEXT('Daily Checklist'!$B$2:$B$2000,"yyyy-mm-dd")=TEXT(($B$4+29),"yyyy-mm-dd"))*('Daily Checklist'!$F$2:$F$2000="Done"))&amp;"/"&amp;SUMPRODUCT(('Daily Checklist'!$D$2:$D$2000=$A48)*(TEXT('Daily Checklist'!$B$2:$B$2000,"yyyy-mm-dd")=TEXT(($B$4+29),"yyyy-mm-dd"))))))</f>
        <v/>
      </c>
      <c r="AF48" s="25" t="str">
        <f aca="false">IF($A48="","",IF(SUMPRODUCT(('Daily Checklist'!$D$2:$D$2000=$A48)*(TEXT('Daily Checklist'!$B$2:$B$2000,"yyyy-mm-dd")=TEXT(($B$4+30),"yyyy-mm-dd")))=0,"-",IF(SUMPRODUCT(('Daily Checklist'!$D$2:$D$2000=$A48)*(TEXT('Daily Checklist'!$B$2:$B$2000,"yyyy-mm-dd")=TEXT(($B$4+30),"yyyy-mm-dd"))*('Daily Checklist'!$L$2:$L$2000="Y"))&gt;0,SUMPRODUCT(('Daily Checklist'!$D$2:$D$2000=$A48)*(TEXT('Daily Checklist'!$B$2:$B$2000,"yyyy-mm-dd")=TEXT(($B$4+30),"yyyy-mm-dd"))*('Daily Checklist'!$F$2:$F$2000="Done"))&amp;"/"&amp;SUMPRODUCT(('Daily Checklist'!$D$2:$D$2000=$A48)*(TEXT('Daily Checklist'!$B$2:$B$2000,"yyyy-mm-dd")=TEXT(($B$4+30),"yyyy-mm-dd")))&amp;" ESC",SUMPRODUCT(('Daily Checklist'!$D$2:$D$2000=$A48)*(TEXT('Daily Checklist'!$B$2:$B$2000,"yyyy-mm-dd")=TEXT(($B$4+30),"yyyy-mm-dd"))*('Daily Checklist'!$F$2:$F$2000="Done"))&amp;"/"&amp;SUMPRODUCT(('Daily Checklist'!$D$2:$D$2000=$A48)*(TEXT('Daily Checklist'!$B$2:$B$2000,"yyyy-mm-dd")=TEXT(($B$4+30),"yyyy-mm-dd"))))))</f>
        <v/>
      </c>
    </row>
    <row r="49" customFormat="false" ht="15" hidden="false" customHeight="true" outlineLevel="0" collapsed="false">
      <c r="A49" s="24" t="str">
        <f aca="false">IFERROR(IF(Employees!A44="","",Employees!A44),"")</f>
        <v/>
      </c>
      <c r="B49" s="25" t="str">
        <f aca="false">IF($A49="","",IF(SUMPRODUCT(('Daily Checklist'!$D$2:$D$2000=$A49)*(TEXT('Daily Checklist'!$B$2:$B$2000,"yyyy-mm-dd")=TEXT(($B$4+0),"yyyy-mm-dd")))=0,"-",IF(SUMPRODUCT(('Daily Checklist'!$D$2:$D$2000=$A49)*(TEXT('Daily Checklist'!$B$2:$B$2000,"yyyy-mm-dd")=TEXT(($B$4+0),"yyyy-mm-dd"))*('Daily Checklist'!$L$2:$L$2000="Y"))&gt;0,SUMPRODUCT(('Daily Checklist'!$D$2:$D$2000=$A49)*(TEXT('Daily Checklist'!$B$2:$B$2000,"yyyy-mm-dd")=TEXT(($B$4+0),"yyyy-mm-dd"))*('Daily Checklist'!$F$2:$F$2000="Done"))&amp;"/"&amp;SUMPRODUCT(('Daily Checklist'!$D$2:$D$2000=$A49)*(TEXT('Daily Checklist'!$B$2:$B$2000,"yyyy-mm-dd")=TEXT(($B$4+0),"yyyy-mm-dd")))&amp;" ESC",SUMPRODUCT(('Daily Checklist'!$D$2:$D$2000=$A49)*(TEXT('Daily Checklist'!$B$2:$B$2000,"yyyy-mm-dd")=TEXT(($B$4+0),"yyyy-mm-dd"))*('Daily Checklist'!$F$2:$F$2000="Done"))&amp;"/"&amp;SUMPRODUCT(('Daily Checklist'!$D$2:$D$2000=$A49)*(TEXT('Daily Checklist'!$B$2:$B$2000,"yyyy-mm-dd")=TEXT(($B$4+0),"yyyy-mm-dd"))))))</f>
        <v/>
      </c>
      <c r="C49" s="25" t="str">
        <f aca="false">IF($A49="","",IF(SUMPRODUCT(('Daily Checklist'!$D$2:$D$2000=$A49)*(TEXT('Daily Checklist'!$B$2:$B$2000,"yyyy-mm-dd")=TEXT(($B$4+1),"yyyy-mm-dd")))=0,"-",IF(SUMPRODUCT(('Daily Checklist'!$D$2:$D$2000=$A49)*(TEXT('Daily Checklist'!$B$2:$B$2000,"yyyy-mm-dd")=TEXT(($B$4+1),"yyyy-mm-dd"))*('Daily Checklist'!$L$2:$L$2000="Y"))&gt;0,SUMPRODUCT(('Daily Checklist'!$D$2:$D$2000=$A49)*(TEXT('Daily Checklist'!$B$2:$B$2000,"yyyy-mm-dd")=TEXT(($B$4+1),"yyyy-mm-dd"))*('Daily Checklist'!$F$2:$F$2000="Done"))&amp;"/"&amp;SUMPRODUCT(('Daily Checklist'!$D$2:$D$2000=$A49)*(TEXT('Daily Checklist'!$B$2:$B$2000,"yyyy-mm-dd")=TEXT(($B$4+1),"yyyy-mm-dd")))&amp;" ESC",SUMPRODUCT(('Daily Checklist'!$D$2:$D$2000=$A49)*(TEXT('Daily Checklist'!$B$2:$B$2000,"yyyy-mm-dd")=TEXT(($B$4+1),"yyyy-mm-dd"))*('Daily Checklist'!$F$2:$F$2000="Done"))&amp;"/"&amp;SUMPRODUCT(('Daily Checklist'!$D$2:$D$2000=$A49)*(TEXT('Daily Checklist'!$B$2:$B$2000,"yyyy-mm-dd")=TEXT(($B$4+1),"yyyy-mm-dd"))))))</f>
        <v/>
      </c>
      <c r="D49" s="25" t="str">
        <f aca="false">IF($A49="","",IF(SUMPRODUCT(('Daily Checklist'!$D$2:$D$2000=$A49)*(TEXT('Daily Checklist'!$B$2:$B$2000,"yyyy-mm-dd")=TEXT(($B$4+2),"yyyy-mm-dd")))=0,"-",IF(SUMPRODUCT(('Daily Checklist'!$D$2:$D$2000=$A49)*(TEXT('Daily Checklist'!$B$2:$B$2000,"yyyy-mm-dd")=TEXT(($B$4+2),"yyyy-mm-dd"))*('Daily Checklist'!$L$2:$L$2000="Y"))&gt;0,SUMPRODUCT(('Daily Checklist'!$D$2:$D$2000=$A49)*(TEXT('Daily Checklist'!$B$2:$B$2000,"yyyy-mm-dd")=TEXT(($B$4+2),"yyyy-mm-dd"))*('Daily Checklist'!$F$2:$F$2000="Done"))&amp;"/"&amp;SUMPRODUCT(('Daily Checklist'!$D$2:$D$2000=$A49)*(TEXT('Daily Checklist'!$B$2:$B$2000,"yyyy-mm-dd")=TEXT(($B$4+2),"yyyy-mm-dd")))&amp;" ESC",SUMPRODUCT(('Daily Checklist'!$D$2:$D$2000=$A49)*(TEXT('Daily Checklist'!$B$2:$B$2000,"yyyy-mm-dd")=TEXT(($B$4+2),"yyyy-mm-dd"))*('Daily Checklist'!$F$2:$F$2000="Done"))&amp;"/"&amp;SUMPRODUCT(('Daily Checklist'!$D$2:$D$2000=$A49)*(TEXT('Daily Checklist'!$B$2:$B$2000,"yyyy-mm-dd")=TEXT(($B$4+2),"yyyy-mm-dd"))))))</f>
        <v/>
      </c>
      <c r="E49" s="25" t="str">
        <f aca="false">IF($A49="","",IF(SUMPRODUCT(('Daily Checklist'!$D$2:$D$2000=$A49)*(TEXT('Daily Checklist'!$B$2:$B$2000,"yyyy-mm-dd")=TEXT(($B$4+3),"yyyy-mm-dd")))=0,"-",IF(SUMPRODUCT(('Daily Checklist'!$D$2:$D$2000=$A49)*(TEXT('Daily Checklist'!$B$2:$B$2000,"yyyy-mm-dd")=TEXT(($B$4+3),"yyyy-mm-dd"))*('Daily Checklist'!$L$2:$L$2000="Y"))&gt;0,SUMPRODUCT(('Daily Checklist'!$D$2:$D$2000=$A49)*(TEXT('Daily Checklist'!$B$2:$B$2000,"yyyy-mm-dd")=TEXT(($B$4+3),"yyyy-mm-dd"))*('Daily Checklist'!$F$2:$F$2000="Done"))&amp;"/"&amp;SUMPRODUCT(('Daily Checklist'!$D$2:$D$2000=$A49)*(TEXT('Daily Checklist'!$B$2:$B$2000,"yyyy-mm-dd")=TEXT(($B$4+3),"yyyy-mm-dd")))&amp;" ESC",SUMPRODUCT(('Daily Checklist'!$D$2:$D$2000=$A49)*(TEXT('Daily Checklist'!$B$2:$B$2000,"yyyy-mm-dd")=TEXT(($B$4+3),"yyyy-mm-dd"))*('Daily Checklist'!$F$2:$F$2000="Done"))&amp;"/"&amp;SUMPRODUCT(('Daily Checklist'!$D$2:$D$2000=$A49)*(TEXT('Daily Checklist'!$B$2:$B$2000,"yyyy-mm-dd")=TEXT(($B$4+3),"yyyy-mm-dd"))))))</f>
        <v/>
      </c>
      <c r="F49" s="25" t="str">
        <f aca="false">IF($A49="","",IF(SUMPRODUCT(('Daily Checklist'!$D$2:$D$2000=$A49)*(TEXT('Daily Checklist'!$B$2:$B$2000,"yyyy-mm-dd")=TEXT(($B$4+4),"yyyy-mm-dd")))=0,"-",IF(SUMPRODUCT(('Daily Checklist'!$D$2:$D$2000=$A49)*(TEXT('Daily Checklist'!$B$2:$B$2000,"yyyy-mm-dd")=TEXT(($B$4+4),"yyyy-mm-dd"))*('Daily Checklist'!$L$2:$L$2000="Y"))&gt;0,SUMPRODUCT(('Daily Checklist'!$D$2:$D$2000=$A49)*(TEXT('Daily Checklist'!$B$2:$B$2000,"yyyy-mm-dd")=TEXT(($B$4+4),"yyyy-mm-dd"))*('Daily Checklist'!$F$2:$F$2000="Done"))&amp;"/"&amp;SUMPRODUCT(('Daily Checklist'!$D$2:$D$2000=$A49)*(TEXT('Daily Checklist'!$B$2:$B$2000,"yyyy-mm-dd")=TEXT(($B$4+4),"yyyy-mm-dd")))&amp;" ESC",SUMPRODUCT(('Daily Checklist'!$D$2:$D$2000=$A49)*(TEXT('Daily Checklist'!$B$2:$B$2000,"yyyy-mm-dd")=TEXT(($B$4+4),"yyyy-mm-dd"))*('Daily Checklist'!$F$2:$F$2000="Done"))&amp;"/"&amp;SUMPRODUCT(('Daily Checklist'!$D$2:$D$2000=$A49)*(TEXT('Daily Checklist'!$B$2:$B$2000,"yyyy-mm-dd")=TEXT(($B$4+4),"yyyy-mm-dd"))))))</f>
        <v/>
      </c>
      <c r="G49" s="25" t="str">
        <f aca="false">IF($A49="","",IF(SUMPRODUCT(('Daily Checklist'!$D$2:$D$2000=$A49)*(TEXT('Daily Checklist'!$B$2:$B$2000,"yyyy-mm-dd")=TEXT(($B$4+5),"yyyy-mm-dd")))=0,"-",IF(SUMPRODUCT(('Daily Checklist'!$D$2:$D$2000=$A49)*(TEXT('Daily Checklist'!$B$2:$B$2000,"yyyy-mm-dd")=TEXT(($B$4+5),"yyyy-mm-dd"))*('Daily Checklist'!$L$2:$L$2000="Y"))&gt;0,SUMPRODUCT(('Daily Checklist'!$D$2:$D$2000=$A49)*(TEXT('Daily Checklist'!$B$2:$B$2000,"yyyy-mm-dd")=TEXT(($B$4+5),"yyyy-mm-dd"))*('Daily Checklist'!$F$2:$F$2000="Done"))&amp;"/"&amp;SUMPRODUCT(('Daily Checklist'!$D$2:$D$2000=$A49)*(TEXT('Daily Checklist'!$B$2:$B$2000,"yyyy-mm-dd")=TEXT(($B$4+5),"yyyy-mm-dd")))&amp;" ESC",SUMPRODUCT(('Daily Checklist'!$D$2:$D$2000=$A49)*(TEXT('Daily Checklist'!$B$2:$B$2000,"yyyy-mm-dd")=TEXT(($B$4+5),"yyyy-mm-dd"))*('Daily Checklist'!$F$2:$F$2000="Done"))&amp;"/"&amp;SUMPRODUCT(('Daily Checklist'!$D$2:$D$2000=$A49)*(TEXT('Daily Checklist'!$B$2:$B$2000,"yyyy-mm-dd")=TEXT(($B$4+5),"yyyy-mm-dd"))))))</f>
        <v/>
      </c>
      <c r="H49" s="25" t="str">
        <f aca="false">IF($A49="","",IF(SUMPRODUCT(('Daily Checklist'!$D$2:$D$2000=$A49)*(TEXT('Daily Checklist'!$B$2:$B$2000,"yyyy-mm-dd")=TEXT(($B$4+6),"yyyy-mm-dd")))=0,"-",IF(SUMPRODUCT(('Daily Checklist'!$D$2:$D$2000=$A49)*(TEXT('Daily Checklist'!$B$2:$B$2000,"yyyy-mm-dd")=TEXT(($B$4+6),"yyyy-mm-dd"))*('Daily Checklist'!$L$2:$L$2000="Y"))&gt;0,SUMPRODUCT(('Daily Checklist'!$D$2:$D$2000=$A49)*(TEXT('Daily Checklist'!$B$2:$B$2000,"yyyy-mm-dd")=TEXT(($B$4+6),"yyyy-mm-dd"))*('Daily Checklist'!$F$2:$F$2000="Done"))&amp;"/"&amp;SUMPRODUCT(('Daily Checklist'!$D$2:$D$2000=$A49)*(TEXT('Daily Checklist'!$B$2:$B$2000,"yyyy-mm-dd")=TEXT(($B$4+6),"yyyy-mm-dd")))&amp;" ESC",SUMPRODUCT(('Daily Checklist'!$D$2:$D$2000=$A49)*(TEXT('Daily Checklist'!$B$2:$B$2000,"yyyy-mm-dd")=TEXT(($B$4+6),"yyyy-mm-dd"))*('Daily Checklist'!$F$2:$F$2000="Done"))&amp;"/"&amp;SUMPRODUCT(('Daily Checklist'!$D$2:$D$2000=$A49)*(TEXT('Daily Checklist'!$B$2:$B$2000,"yyyy-mm-dd")=TEXT(($B$4+6),"yyyy-mm-dd"))))))</f>
        <v/>
      </c>
      <c r="I49" s="25" t="str">
        <f aca="false">IF($A49="","",IF(SUMPRODUCT(('Daily Checklist'!$D$2:$D$2000=$A49)*(TEXT('Daily Checklist'!$B$2:$B$2000,"yyyy-mm-dd")=TEXT(($B$4+7),"yyyy-mm-dd")))=0,"-",IF(SUMPRODUCT(('Daily Checklist'!$D$2:$D$2000=$A49)*(TEXT('Daily Checklist'!$B$2:$B$2000,"yyyy-mm-dd")=TEXT(($B$4+7),"yyyy-mm-dd"))*('Daily Checklist'!$L$2:$L$2000="Y"))&gt;0,SUMPRODUCT(('Daily Checklist'!$D$2:$D$2000=$A49)*(TEXT('Daily Checklist'!$B$2:$B$2000,"yyyy-mm-dd")=TEXT(($B$4+7),"yyyy-mm-dd"))*('Daily Checklist'!$F$2:$F$2000="Done"))&amp;"/"&amp;SUMPRODUCT(('Daily Checklist'!$D$2:$D$2000=$A49)*(TEXT('Daily Checklist'!$B$2:$B$2000,"yyyy-mm-dd")=TEXT(($B$4+7),"yyyy-mm-dd")))&amp;" ESC",SUMPRODUCT(('Daily Checklist'!$D$2:$D$2000=$A49)*(TEXT('Daily Checklist'!$B$2:$B$2000,"yyyy-mm-dd")=TEXT(($B$4+7),"yyyy-mm-dd"))*('Daily Checklist'!$F$2:$F$2000="Done"))&amp;"/"&amp;SUMPRODUCT(('Daily Checklist'!$D$2:$D$2000=$A49)*(TEXT('Daily Checklist'!$B$2:$B$2000,"yyyy-mm-dd")=TEXT(($B$4+7),"yyyy-mm-dd"))))))</f>
        <v/>
      </c>
      <c r="J49" s="25" t="str">
        <f aca="false">IF($A49="","",IF(SUMPRODUCT(('Daily Checklist'!$D$2:$D$2000=$A49)*(TEXT('Daily Checklist'!$B$2:$B$2000,"yyyy-mm-dd")=TEXT(($B$4+8),"yyyy-mm-dd")))=0,"-",IF(SUMPRODUCT(('Daily Checklist'!$D$2:$D$2000=$A49)*(TEXT('Daily Checklist'!$B$2:$B$2000,"yyyy-mm-dd")=TEXT(($B$4+8),"yyyy-mm-dd"))*('Daily Checklist'!$L$2:$L$2000="Y"))&gt;0,SUMPRODUCT(('Daily Checklist'!$D$2:$D$2000=$A49)*(TEXT('Daily Checklist'!$B$2:$B$2000,"yyyy-mm-dd")=TEXT(($B$4+8),"yyyy-mm-dd"))*('Daily Checklist'!$F$2:$F$2000="Done"))&amp;"/"&amp;SUMPRODUCT(('Daily Checklist'!$D$2:$D$2000=$A49)*(TEXT('Daily Checklist'!$B$2:$B$2000,"yyyy-mm-dd")=TEXT(($B$4+8),"yyyy-mm-dd")))&amp;" ESC",SUMPRODUCT(('Daily Checklist'!$D$2:$D$2000=$A49)*(TEXT('Daily Checklist'!$B$2:$B$2000,"yyyy-mm-dd")=TEXT(($B$4+8),"yyyy-mm-dd"))*('Daily Checklist'!$F$2:$F$2000="Done"))&amp;"/"&amp;SUMPRODUCT(('Daily Checklist'!$D$2:$D$2000=$A49)*(TEXT('Daily Checklist'!$B$2:$B$2000,"yyyy-mm-dd")=TEXT(($B$4+8),"yyyy-mm-dd"))))))</f>
        <v/>
      </c>
      <c r="K49" s="25" t="str">
        <f aca="false">IF($A49="","",IF(SUMPRODUCT(('Daily Checklist'!$D$2:$D$2000=$A49)*(TEXT('Daily Checklist'!$B$2:$B$2000,"yyyy-mm-dd")=TEXT(($B$4+9),"yyyy-mm-dd")))=0,"-",IF(SUMPRODUCT(('Daily Checklist'!$D$2:$D$2000=$A49)*(TEXT('Daily Checklist'!$B$2:$B$2000,"yyyy-mm-dd")=TEXT(($B$4+9),"yyyy-mm-dd"))*('Daily Checklist'!$L$2:$L$2000="Y"))&gt;0,SUMPRODUCT(('Daily Checklist'!$D$2:$D$2000=$A49)*(TEXT('Daily Checklist'!$B$2:$B$2000,"yyyy-mm-dd")=TEXT(($B$4+9),"yyyy-mm-dd"))*('Daily Checklist'!$F$2:$F$2000="Done"))&amp;"/"&amp;SUMPRODUCT(('Daily Checklist'!$D$2:$D$2000=$A49)*(TEXT('Daily Checklist'!$B$2:$B$2000,"yyyy-mm-dd")=TEXT(($B$4+9),"yyyy-mm-dd")))&amp;" ESC",SUMPRODUCT(('Daily Checklist'!$D$2:$D$2000=$A49)*(TEXT('Daily Checklist'!$B$2:$B$2000,"yyyy-mm-dd")=TEXT(($B$4+9),"yyyy-mm-dd"))*('Daily Checklist'!$F$2:$F$2000="Done"))&amp;"/"&amp;SUMPRODUCT(('Daily Checklist'!$D$2:$D$2000=$A49)*(TEXT('Daily Checklist'!$B$2:$B$2000,"yyyy-mm-dd")=TEXT(($B$4+9),"yyyy-mm-dd"))))))</f>
        <v/>
      </c>
      <c r="L49" s="25" t="str">
        <f aca="false">IF($A49="","",IF(SUMPRODUCT(('Daily Checklist'!$D$2:$D$2000=$A49)*(TEXT('Daily Checklist'!$B$2:$B$2000,"yyyy-mm-dd")=TEXT(($B$4+10),"yyyy-mm-dd")))=0,"-",IF(SUMPRODUCT(('Daily Checklist'!$D$2:$D$2000=$A49)*(TEXT('Daily Checklist'!$B$2:$B$2000,"yyyy-mm-dd")=TEXT(($B$4+10),"yyyy-mm-dd"))*('Daily Checklist'!$L$2:$L$2000="Y"))&gt;0,SUMPRODUCT(('Daily Checklist'!$D$2:$D$2000=$A49)*(TEXT('Daily Checklist'!$B$2:$B$2000,"yyyy-mm-dd")=TEXT(($B$4+10),"yyyy-mm-dd"))*('Daily Checklist'!$F$2:$F$2000="Done"))&amp;"/"&amp;SUMPRODUCT(('Daily Checklist'!$D$2:$D$2000=$A49)*(TEXT('Daily Checklist'!$B$2:$B$2000,"yyyy-mm-dd")=TEXT(($B$4+10),"yyyy-mm-dd")))&amp;" ESC",SUMPRODUCT(('Daily Checklist'!$D$2:$D$2000=$A49)*(TEXT('Daily Checklist'!$B$2:$B$2000,"yyyy-mm-dd")=TEXT(($B$4+10),"yyyy-mm-dd"))*('Daily Checklist'!$F$2:$F$2000="Done"))&amp;"/"&amp;SUMPRODUCT(('Daily Checklist'!$D$2:$D$2000=$A49)*(TEXT('Daily Checklist'!$B$2:$B$2000,"yyyy-mm-dd")=TEXT(($B$4+10),"yyyy-mm-dd"))))))</f>
        <v/>
      </c>
      <c r="M49" s="25" t="str">
        <f aca="false">IF($A49="","",IF(SUMPRODUCT(('Daily Checklist'!$D$2:$D$2000=$A49)*(TEXT('Daily Checklist'!$B$2:$B$2000,"yyyy-mm-dd")=TEXT(($B$4+11),"yyyy-mm-dd")))=0,"-",IF(SUMPRODUCT(('Daily Checklist'!$D$2:$D$2000=$A49)*(TEXT('Daily Checklist'!$B$2:$B$2000,"yyyy-mm-dd")=TEXT(($B$4+11),"yyyy-mm-dd"))*('Daily Checklist'!$L$2:$L$2000="Y"))&gt;0,SUMPRODUCT(('Daily Checklist'!$D$2:$D$2000=$A49)*(TEXT('Daily Checklist'!$B$2:$B$2000,"yyyy-mm-dd")=TEXT(($B$4+11),"yyyy-mm-dd"))*('Daily Checklist'!$F$2:$F$2000="Done"))&amp;"/"&amp;SUMPRODUCT(('Daily Checklist'!$D$2:$D$2000=$A49)*(TEXT('Daily Checklist'!$B$2:$B$2000,"yyyy-mm-dd")=TEXT(($B$4+11),"yyyy-mm-dd")))&amp;" ESC",SUMPRODUCT(('Daily Checklist'!$D$2:$D$2000=$A49)*(TEXT('Daily Checklist'!$B$2:$B$2000,"yyyy-mm-dd")=TEXT(($B$4+11),"yyyy-mm-dd"))*('Daily Checklist'!$F$2:$F$2000="Done"))&amp;"/"&amp;SUMPRODUCT(('Daily Checklist'!$D$2:$D$2000=$A49)*(TEXT('Daily Checklist'!$B$2:$B$2000,"yyyy-mm-dd")=TEXT(($B$4+11),"yyyy-mm-dd"))))))</f>
        <v/>
      </c>
      <c r="N49" s="25" t="str">
        <f aca="false">IF($A49="","",IF(SUMPRODUCT(('Daily Checklist'!$D$2:$D$2000=$A49)*(TEXT('Daily Checklist'!$B$2:$B$2000,"yyyy-mm-dd")=TEXT(($B$4+12),"yyyy-mm-dd")))=0,"-",IF(SUMPRODUCT(('Daily Checklist'!$D$2:$D$2000=$A49)*(TEXT('Daily Checklist'!$B$2:$B$2000,"yyyy-mm-dd")=TEXT(($B$4+12),"yyyy-mm-dd"))*('Daily Checklist'!$L$2:$L$2000="Y"))&gt;0,SUMPRODUCT(('Daily Checklist'!$D$2:$D$2000=$A49)*(TEXT('Daily Checklist'!$B$2:$B$2000,"yyyy-mm-dd")=TEXT(($B$4+12),"yyyy-mm-dd"))*('Daily Checklist'!$F$2:$F$2000="Done"))&amp;"/"&amp;SUMPRODUCT(('Daily Checklist'!$D$2:$D$2000=$A49)*(TEXT('Daily Checklist'!$B$2:$B$2000,"yyyy-mm-dd")=TEXT(($B$4+12),"yyyy-mm-dd")))&amp;" ESC",SUMPRODUCT(('Daily Checklist'!$D$2:$D$2000=$A49)*(TEXT('Daily Checklist'!$B$2:$B$2000,"yyyy-mm-dd")=TEXT(($B$4+12),"yyyy-mm-dd"))*('Daily Checklist'!$F$2:$F$2000="Done"))&amp;"/"&amp;SUMPRODUCT(('Daily Checklist'!$D$2:$D$2000=$A49)*(TEXT('Daily Checklist'!$B$2:$B$2000,"yyyy-mm-dd")=TEXT(($B$4+12),"yyyy-mm-dd"))))))</f>
        <v/>
      </c>
      <c r="O49" s="25" t="str">
        <f aca="false">IF($A49="","",IF(SUMPRODUCT(('Daily Checklist'!$D$2:$D$2000=$A49)*(TEXT('Daily Checklist'!$B$2:$B$2000,"yyyy-mm-dd")=TEXT(($B$4+13),"yyyy-mm-dd")))=0,"-",IF(SUMPRODUCT(('Daily Checklist'!$D$2:$D$2000=$A49)*(TEXT('Daily Checklist'!$B$2:$B$2000,"yyyy-mm-dd")=TEXT(($B$4+13),"yyyy-mm-dd"))*('Daily Checklist'!$L$2:$L$2000="Y"))&gt;0,SUMPRODUCT(('Daily Checklist'!$D$2:$D$2000=$A49)*(TEXT('Daily Checklist'!$B$2:$B$2000,"yyyy-mm-dd")=TEXT(($B$4+13),"yyyy-mm-dd"))*('Daily Checklist'!$F$2:$F$2000="Done"))&amp;"/"&amp;SUMPRODUCT(('Daily Checklist'!$D$2:$D$2000=$A49)*(TEXT('Daily Checklist'!$B$2:$B$2000,"yyyy-mm-dd")=TEXT(($B$4+13),"yyyy-mm-dd")))&amp;" ESC",SUMPRODUCT(('Daily Checklist'!$D$2:$D$2000=$A49)*(TEXT('Daily Checklist'!$B$2:$B$2000,"yyyy-mm-dd")=TEXT(($B$4+13),"yyyy-mm-dd"))*('Daily Checklist'!$F$2:$F$2000="Done"))&amp;"/"&amp;SUMPRODUCT(('Daily Checklist'!$D$2:$D$2000=$A49)*(TEXT('Daily Checklist'!$B$2:$B$2000,"yyyy-mm-dd")=TEXT(($B$4+13),"yyyy-mm-dd"))))))</f>
        <v/>
      </c>
      <c r="P49" s="25" t="str">
        <f aca="false">IF($A49="","",IF(SUMPRODUCT(('Daily Checklist'!$D$2:$D$2000=$A49)*(TEXT('Daily Checklist'!$B$2:$B$2000,"yyyy-mm-dd")=TEXT(($B$4+14),"yyyy-mm-dd")))=0,"-",IF(SUMPRODUCT(('Daily Checklist'!$D$2:$D$2000=$A49)*(TEXT('Daily Checklist'!$B$2:$B$2000,"yyyy-mm-dd")=TEXT(($B$4+14),"yyyy-mm-dd"))*('Daily Checklist'!$L$2:$L$2000="Y"))&gt;0,SUMPRODUCT(('Daily Checklist'!$D$2:$D$2000=$A49)*(TEXT('Daily Checklist'!$B$2:$B$2000,"yyyy-mm-dd")=TEXT(($B$4+14),"yyyy-mm-dd"))*('Daily Checklist'!$F$2:$F$2000="Done"))&amp;"/"&amp;SUMPRODUCT(('Daily Checklist'!$D$2:$D$2000=$A49)*(TEXT('Daily Checklist'!$B$2:$B$2000,"yyyy-mm-dd")=TEXT(($B$4+14),"yyyy-mm-dd")))&amp;" ESC",SUMPRODUCT(('Daily Checklist'!$D$2:$D$2000=$A49)*(TEXT('Daily Checklist'!$B$2:$B$2000,"yyyy-mm-dd")=TEXT(($B$4+14),"yyyy-mm-dd"))*('Daily Checklist'!$F$2:$F$2000="Done"))&amp;"/"&amp;SUMPRODUCT(('Daily Checklist'!$D$2:$D$2000=$A49)*(TEXT('Daily Checklist'!$B$2:$B$2000,"yyyy-mm-dd")=TEXT(($B$4+14),"yyyy-mm-dd"))))))</f>
        <v/>
      </c>
      <c r="Q49" s="25" t="str">
        <f aca="false">IF($A49="","",IF(SUMPRODUCT(('Daily Checklist'!$D$2:$D$2000=$A49)*(TEXT('Daily Checklist'!$B$2:$B$2000,"yyyy-mm-dd")=TEXT(($B$4+15),"yyyy-mm-dd")))=0,"-",IF(SUMPRODUCT(('Daily Checklist'!$D$2:$D$2000=$A49)*(TEXT('Daily Checklist'!$B$2:$B$2000,"yyyy-mm-dd")=TEXT(($B$4+15),"yyyy-mm-dd"))*('Daily Checklist'!$L$2:$L$2000="Y"))&gt;0,SUMPRODUCT(('Daily Checklist'!$D$2:$D$2000=$A49)*(TEXT('Daily Checklist'!$B$2:$B$2000,"yyyy-mm-dd")=TEXT(($B$4+15),"yyyy-mm-dd"))*('Daily Checklist'!$F$2:$F$2000="Done"))&amp;"/"&amp;SUMPRODUCT(('Daily Checklist'!$D$2:$D$2000=$A49)*(TEXT('Daily Checklist'!$B$2:$B$2000,"yyyy-mm-dd")=TEXT(($B$4+15),"yyyy-mm-dd")))&amp;" ESC",SUMPRODUCT(('Daily Checklist'!$D$2:$D$2000=$A49)*(TEXT('Daily Checklist'!$B$2:$B$2000,"yyyy-mm-dd")=TEXT(($B$4+15),"yyyy-mm-dd"))*('Daily Checklist'!$F$2:$F$2000="Done"))&amp;"/"&amp;SUMPRODUCT(('Daily Checklist'!$D$2:$D$2000=$A49)*(TEXT('Daily Checklist'!$B$2:$B$2000,"yyyy-mm-dd")=TEXT(($B$4+15),"yyyy-mm-dd"))))))</f>
        <v/>
      </c>
      <c r="R49" s="25" t="str">
        <f aca="false">IF($A49="","",IF(SUMPRODUCT(('Daily Checklist'!$D$2:$D$2000=$A49)*(TEXT('Daily Checklist'!$B$2:$B$2000,"yyyy-mm-dd")=TEXT(($B$4+16),"yyyy-mm-dd")))=0,"-",IF(SUMPRODUCT(('Daily Checklist'!$D$2:$D$2000=$A49)*(TEXT('Daily Checklist'!$B$2:$B$2000,"yyyy-mm-dd")=TEXT(($B$4+16),"yyyy-mm-dd"))*('Daily Checklist'!$L$2:$L$2000="Y"))&gt;0,SUMPRODUCT(('Daily Checklist'!$D$2:$D$2000=$A49)*(TEXT('Daily Checklist'!$B$2:$B$2000,"yyyy-mm-dd")=TEXT(($B$4+16),"yyyy-mm-dd"))*('Daily Checklist'!$F$2:$F$2000="Done"))&amp;"/"&amp;SUMPRODUCT(('Daily Checklist'!$D$2:$D$2000=$A49)*(TEXT('Daily Checklist'!$B$2:$B$2000,"yyyy-mm-dd")=TEXT(($B$4+16),"yyyy-mm-dd")))&amp;" ESC",SUMPRODUCT(('Daily Checklist'!$D$2:$D$2000=$A49)*(TEXT('Daily Checklist'!$B$2:$B$2000,"yyyy-mm-dd")=TEXT(($B$4+16),"yyyy-mm-dd"))*('Daily Checklist'!$F$2:$F$2000="Done"))&amp;"/"&amp;SUMPRODUCT(('Daily Checklist'!$D$2:$D$2000=$A49)*(TEXT('Daily Checklist'!$B$2:$B$2000,"yyyy-mm-dd")=TEXT(($B$4+16),"yyyy-mm-dd"))))))</f>
        <v/>
      </c>
      <c r="S49" s="25" t="str">
        <f aca="false">IF($A49="","",IF(SUMPRODUCT(('Daily Checklist'!$D$2:$D$2000=$A49)*(TEXT('Daily Checklist'!$B$2:$B$2000,"yyyy-mm-dd")=TEXT(($B$4+17),"yyyy-mm-dd")))=0,"-",IF(SUMPRODUCT(('Daily Checklist'!$D$2:$D$2000=$A49)*(TEXT('Daily Checklist'!$B$2:$B$2000,"yyyy-mm-dd")=TEXT(($B$4+17),"yyyy-mm-dd"))*('Daily Checklist'!$L$2:$L$2000="Y"))&gt;0,SUMPRODUCT(('Daily Checklist'!$D$2:$D$2000=$A49)*(TEXT('Daily Checklist'!$B$2:$B$2000,"yyyy-mm-dd")=TEXT(($B$4+17),"yyyy-mm-dd"))*('Daily Checklist'!$F$2:$F$2000="Done"))&amp;"/"&amp;SUMPRODUCT(('Daily Checklist'!$D$2:$D$2000=$A49)*(TEXT('Daily Checklist'!$B$2:$B$2000,"yyyy-mm-dd")=TEXT(($B$4+17),"yyyy-mm-dd")))&amp;" ESC",SUMPRODUCT(('Daily Checklist'!$D$2:$D$2000=$A49)*(TEXT('Daily Checklist'!$B$2:$B$2000,"yyyy-mm-dd")=TEXT(($B$4+17),"yyyy-mm-dd"))*('Daily Checklist'!$F$2:$F$2000="Done"))&amp;"/"&amp;SUMPRODUCT(('Daily Checklist'!$D$2:$D$2000=$A49)*(TEXT('Daily Checklist'!$B$2:$B$2000,"yyyy-mm-dd")=TEXT(($B$4+17),"yyyy-mm-dd"))))))</f>
        <v/>
      </c>
      <c r="T49" s="25" t="str">
        <f aca="false">IF($A49="","",IF(SUMPRODUCT(('Daily Checklist'!$D$2:$D$2000=$A49)*(TEXT('Daily Checklist'!$B$2:$B$2000,"yyyy-mm-dd")=TEXT(($B$4+18),"yyyy-mm-dd")))=0,"-",IF(SUMPRODUCT(('Daily Checklist'!$D$2:$D$2000=$A49)*(TEXT('Daily Checklist'!$B$2:$B$2000,"yyyy-mm-dd")=TEXT(($B$4+18),"yyyy-mm-dd"))*('Daily Checklist'!$L$2:$L$2000="Y"))&gt;0,SUMPRODUCT(('Daily Checklist'!$D$2:$D$2000=$A49)*(TEXT('Daily Checklist'!$B$2:$B$2000,"yyyy-mm-dd")=TEXT(($B$4+18),"yyyy-mm-dd"))*('Daily Checklist'!$F$2:$F$2000="Done"))&amp;"/"&amp;SUMPRODUCT(('Daily Checklist'!$D$2:$D$2000=$A49)*(TEXT('Daily Checklist'!$B$2:$B$2000,"yyyy-mm-dd")=TEXT(($B$4+18),"yyyy-mm-dd")))&amp;" ESC",SUMPRODUCT(('Daily Checklist'!$D$2:$D$2000=$A49)*(TEXT('Daily Checklist'!$B$2:$B$2000,"yyyy-mm-dd")=TEXT(($B$4+18),"yyyy-mm-dd"))*('Daily Checklist'!$F$2:$F$2000="Done"))&amp;"/"&amp;SUMPRODUCT(('Daily Checklist'!$D$2:$D$2000=$A49)*(TEXT('Daily Checklist'!$B$2:$B$2000,"yyyy-mm-dd")=TEXT(($B$4+18),"yyyy-mm-dd"))))))</f>
        <v/>
      </c>
      <c r="U49" s="25" t="str">
        <f aca="false">IF($A49="","",IF(SUMPRODUCT(('Daily Checklist'!$D$2:$D$2000=$A49)*(TEXT('Daily Checklist'!$B$2:$B$2000,"yyyy-mm-dd")=TEXT(($B$4+19),"yyyy-mm-dd")))=0,"-",IF(SUMPRODUCT(('Daily Checklist'!$D$2:$D$2000=$A49)*(TEXT('Daily Checklist'!$B$2:$B$2000,"yyyy-mm-dd")=TEXT(($B$4+19),"yyyy-mm-dd"))*('Daily Checklist'!$L$2:$L$2000="Y"))&gt;0,SUMPRODUCT(('Daily Checklist'!$D$2:$D$2000=$A49)*(TEXT('Daily Checklist'!$B$2:$B$2000,"yyyy-mm-dd")=TEXT(($B$4+19),"yyyy-mm-dd"))*('Daily Checklist'!$F$2:$F$2000="Done"))&amp;"/"&amp;SUMPRODUCT(('Daily Checklist'!$D$2:$D$2000=$A49)*(TEXT('Daily Checklist'!$B$2:$B$2000,"yyyy-mm-dd")=TEXT(($B$4+19),"yyyy-mm-dd")))&amp;" ESC",SUMPRODUCT(('Daily Checklist'!$D$2:$D$2000=$A49)*(TEXT('Daily Checklist'!$B$2:$B$2000,"yyyy-mm-dd")=TEXT(($B$4+19),"yyyy-mm-dd"))*('Daily Checklist'!$F$2:$F$2000="Done"))&amp;"/"&amp;SUMPRODUCT(('Daily Checklist'!$D$2:$D$2000=$A49)*(TEXT('Daily Checklist'!$B$2:$B$2000,"yyyy-mm-dd")=TEXT(($B$4+19),"yyyy-mm-dd"))))))</f>
        <v/>
      </c>
      <c r="V49" s="25" t="str">
        <f aca="false">IF($A49="","",IF(SUMPRODUCT(('Daily Checklist'!$D$2:$D$2000=$A49)*(TEXT('Daily Checklist'!$B$2:$B$2000,"yyyy-mm-dd")=TEXT(($B$4+20),"yyyy-mm-dd")))=0,"-",IF(SUMPRODUCT(('Daily Checklist'!$D$2:$D$2000=$A49)*(TEXT('Daily Checklist'!$B$2:$B$2000,"yyyy-mm-dd")=TEXT(($B$4+20),"yyyy-mm-dd"))*('Daily Checklist'!$L$2:$L$2000="Y"))&gt;0,SUMPRODUCT(('Daily Checklist'!$D$2:$D$2000=$A49)*(TEXT('Daily Checklist'!$B$2:$B$2000,"yyyy-mm-dd")=TEXT(($B$4+20),"yyyy-mm-dd"))*('Daily Checklist'!$F$2:$F$2000="Done"))&amp;"/"&amp;SUMPRODUCT(('Daily Checklist'!$D$2:$D$2000=$A49)*(TEXT('Daily Checklist'!$B$2:$B$2000,"yyyy-mm-dd")=TEXT(($B$4+20),"yyyy-mm-dd")))&amp;" ESC",SUMPRODUCT(('Daily Checklist'!$D$2:$D$2000=$A49)*(TEXT('Daily Checklist'!$B$2:$B$2000,"yyyy-mm-dd")=TEXT(($B$4+20),"yyyy-mm-dd"))*('Daily Checklist'!$F$2:$F$2000="Done"))&amp;"/"&amp;SUMPRODUCT(('Daily Checklist'!$D$2:$D$2000=$A49)*(TEXT('Daily Checklist'!$B$2:$B$2000,"yyyy-mm-dd")=TEXT(($B$4+20),"yyyy-mm-dd"))))))</f>
        <v/>
      </c>
      <c r="W49" s="25" t="str">
        <f aca="false">IF($A49="","",IF(SUMPRODUCT(('Daily Checklist'!$D$2:$D$2000=$A49)*(TEXT('Daily Checklist'!$B$2:$B$2000,"yyyy-mm-dd")=TEXT(($B$4+21),"yyyy-mm-dd")))=0,"-",IF(SUMPRODUCT(('Daily Checklist'!$D$2:$D$2000=$A49)*(TEXT('Daily Checklist'!$B$2:$B$2000,"yyyy-mm-dd")=TEXT(($B$4+21),"yyyy-mm-dd"))*('Daily Checklist'!$L$2:$L$2000="Y"))&gt;0,SUMPRODUCT(('Daily Checklist'!$D$2:$D$2000=$A49)*(TEXT('Daily Checklist'!$B$2:$B$2000,"yyyy-mm-dd")=TEXT(($B$4+21),"yyyy-mm-dd"))*('Daily Checklist'!$F$2:$F$2000="Done"))&amp;"/"&amp;SUMPRODUCT(('Daily Checklist'!$D$2:$D$2000=$A49)*(TEXT('Daily Checklist'!$B$2:$B$2000,"yyyy-mm-dd")=TEXT(($B$4+21),"yyyy-mm-dd")))&amp;" ESC",SUMPRODUCT(('Daily Checklist'!$D$2:$D$2000=$A49)*(TEXT('Daily Checklist'!$B$2:$B$2000,"yyyy-mm-dd")=TEXT(($B$4+21),"yyyy-mm-dd"))*('Daily Checklist'!$F$2:$F$2000="Done"))&amp;"/"&amp;SUMPRODUCT(('Daily Checklist'!$D$2:$D$2000=$A49)*(TEXT('Daily Checklist'!$B$2:$B$2000,"yyyy-mm-dd")=TEXT(($B$4+21),"yyyy-mm-dd"))))))</f>
        <v/>
      </c>
      <c r="X49" s="25" t="str">
        <f aca="false">IF($A49="","",IF(SUMPRODUCT(('Daily Checklist'!$D$2:$D$2000=$A49)*(TEXT('Daily Checklist'!$B$2:$B$2000,"yyyy-mm-dd")=TEXT(($B$4+22),"yyyy-mm-dd")))=0,"-",IF(SUMPRODUCT(('Daily Checklist'!$D$2:$D$2000=$A49)*(TEXT('Daily Checklist'!$B$2:$B$2000,"yyyy-mm-dd")=TEXT(($B$4+22),"yyyy-mm-dd"))*('Daily Checklist'!$L$2:$L$2000="Y"))&gt;0,SUMPRODUCT(('Daily Checklist'!$D$2:$D$2000=$A49)*(TEXT('Daily Checklist'!$B$2:$B$2000,"yyyy-mm-dd")=TEXT(($B$4+22),"yyyy-mm-dd"))*('Daily Checklist'!$F$2:$F$2000="Done"))&amp;"/"&amp;SUMPRODUCT(('Daily Checklist'!$D$2:$D$2000=$A49)*(TEXT('Daily Checklist'!$B$2:$B$2000,"yyyy-mm-dd")=TEXT(($B$4+22),"yyyy-mm-dd")))&amp;" ESC",SUMPRODUCT(('Daily Checklist'!$D$2:$D$2000=$A49)*(TEXT('Daily Checklist'!$B$2:$B$2000,"yyyy-mm-dd")=TEXT(($B$4+22),"yyyy-mm-dd"))*('Daily Checklist'!$F$2:$F$2000="Done"))&amp;"/"&amp;SUMPRODUCT(('Daily Checklist'!$D$2:$D$2000=$A49)*(TEXT('Daily Checklist'!$B$2:$B$2000,"yyyy-mm-dd")=TEXT(($B$4+22),"yyyy-mm-dd"))))))</f>
        <v/>
      </c>
      <c r="Y49" s="25" t="str">
        <f aca="false">IF($A49="","",IF(SUMPRODUCT(('Daily Checklist'!$D$2:$D$2000=$A49)*(TEXT('Daily Checklist'!$B$2:$B$2000,"yyyy-mm-dd")=TEXT(($B$4+23),"yyyy-mm-dd")))=0,"-",IF(SUMPRODUCT(('Daily Checklist'!$D$2:$D$2000=$A49)*(TEXT('Daily Checklist'!$B$2:$B$2000,"yyyy-mm-dd")=TEXT(($B$4+23),"yyyy-mm-dd"))*('Daily Checklist'!$L$2:$L$2000="Y"))&gt;0,SUMPRODUCT(('Daily Checklist'!$D$2:$D$2000=$A49)*(TEXT('Daily Checklist'!$B$2:$B$2000,"yyyy-mm-dd")=TEXT(($B$4+23),"yyyy-mm-dd"))*('Daily Checklist'!$F$2:$F$2000="Done"))&amp;"/"&amp;SUMPRODUCT(('Daily Checklist'!$D$2:$D$2000=$A49)*(TEXT('Daily Checklist'!$B$2:$B$2000,"yyyy-mm-dd")=TEXT(($B$4+23),"yyyy-mm-dd")))&amp;" ESC",SUMPRODUCT(('Daily Checklist'!$D$2:$D$2000=$A49)*(TEXT('Daily Checklist'!$B$2:$B$2000,"yyyy-mm-dd")=TEXT(($B$4+23),"yyyy-mm-dd"))*('Daily Checklist'!$F$2:$F$2000="Done"))&amp;"/"&amp;SUMPRODUCT(('Daily Checklist'!$D$2:$D$2000=$A49)*(TEXT('Daily Checklist'!$B$2:$B$2000,"yyyy-mm-dd")=TEXT(($B$4+23),"yyyy-mm-dd"))))))</f>
        <v/>
      </c>
      <c r="Z49" s="25" t="str">
        <f aca="false">IF($A49="","",IF(SUMPRODUCT(('Daily Checklist'!$D$2:$D$2000=$A49)*(TEXT('Daily Checklist'!$B$2:$B$2000,"yyyy-mm-dd")=TEXT(($B$4+24),"yyyy-mm-dd")))=0,"-",IF(SUMPRODUCT(('Daily Checklist'!$D$2:$D$2000=$A49)*(TEXT('Daily Checklist'!$B$2:$B$2000,"yyyy-mm-dd")=TEXT(($B$4+24),"yyyy-mm-dd"))*('Daily Checklist'!$L$2:$L$2000="Y"))&gt;0,SUMPRODUCT(('Daily Checklist'!$D$2:$D$2000=$A49)*(TEXT('Daily Checklist'!$B$2:$B$2000,"yyyy-mm-dd")=TEXT(($B$4+24),"yyyy-mm-dd"))*('Daily Checklist'!$F$2:$F$2000="Done"))&amp;"/"&amp;SUMPRODUCT(('Daily Checklist'!$D$2:$D$2000=$A49)*(TEXT('Daily Checklist'!$B$2:$B$2000,"yyyy-mm-dd")=TEXT(($B$4+24),"yyyy-mm-dd")))&amp;" ESC",SUMPRODUCT(('Daily Checklist'!$D$2:$D$2000=$A49)*(TEXT('Daily Checklist'!$B$2:$B$2000,"yyyy-mm-dd")=TEXT(($B$4+24),"yyyy-mm-dd"))*('Daily Checklist'!$F$2:$F$2000="Done"))&amp;"/"&amp;SUMPRODUCT(('Daily Checklist'!$D$2:$D$2000=$A49)*(TEXT('Daily Checklist'!$B$2:$B$2000,"yyyy-mm-dd")=TEXT(($B$4+24),"yyyy-mm-dd"))))))</f>
        <v/>
      </c>
      <c r="AA49" s="25" t="str">
        <f aca="false">IF($A49="","",IF(SUMPRODUCT(('Daily Checklist'!$D$2:$D$2000=$A49)*(TEXT('Daily Checklist'!$B$2:$B$2000,"yyyy-mm-dd")=TEXT(($B$4+25),"yyyy-mm-dd")))=0,"-",IF(SUMPRODUCT(('Daily Checklist'!$D$2:$D$2000=$A49)*(TEXT('Daily Checklist'!$B$2:$B$2000,"yyyy-mm-dd")=TEXT(($B$4+25),"yyyy-mm-dd"))*('Daily Checklist'!$L$2:$L$2000="Y"))&gt;0,SUMPRODUCT(('Daily Checklist'!$D$2:$D$2000=$A49)*(TEXT('Daily Checklist'!$B$2:$B$2000,"yyyy-mm-dd")=TEXT(($B$4+25),"yyyy-mm-dd"))*('Daily Checklist'!$F$2:$F$2000="Done"))&amp;"/"&amp;SUMPRODUCT(('Daily Checklist'!$D$2:$D$2000=$A49)*(TEXT('Daily Checklist'!$B$2:$B$2000,"yyyy-mm-dd")=TEXT(($B$4+25),"yyyy-mm-dd")))&amp;" ESC",SUMPRODUCT(('Daily Checklist'!$D$2:$D$2000=$A49)*(TEXT('Daily Checklist'!$B$2:$B$2000,"yyyy-mm-dd")=TEXT(($B$4+25),"yyyy-mm-dd"))*('Daily Checklist'!$F$2:$F$2000="Done"))&amp;"/"&amp;SUMPRODUCT(('Daily Checklist'!$D$2:$D$2000=$A49)*(TEXT('Daily Checklist'!$B$2:$B$2000,"yyyy-mm-dd")=TEXT(($B$4+25),"yyyy-mm-dd"))))))</f>
        <v/>
      </c>
      <c r="AB49" s="25" t="str">
        <f aca="false">IF($A49="","",IF(SUMPRODUCT(('Daily Checklist'!$D$2:$D$2000=$A49)*(TEXT('Daily Checklist'!$B$2:$B$2000,"yyyy-mm-dd")=TEXT(($B$4+26),"yyyy-mm-dd")))=0,"-",IF(SUMPRODUCT(('Daily Checklist'!$D$2:$D$2000=$A49)*(TEXT('Daily Checklist'!$B$2:$B$2000,"yyyy-mm-dd")=TEXT(($B$4+26),"yyyy-mm-dd"))*('Daily Checklist'!$L$2:$L$2000="Y"))&gt;0,SUMPRODUCT(('Daily Checklist'!$D$2:$D$2000=$A49)*(TEXT('Daily Checklist'!$B$2:$B$2000,"yyyy-mm-dd")=TEXT(($B$4+26),"yyyy-mm-dd"))*('Daily Checklist'!$F$2:$F$2000="Done"))&amp;"/"&amp;SUMPRODUCT(('Daily Checklist'!$D$2:$D$2000=$A49)*(TEXT('Daily Checklist'!$B$2:$B$2000,"yyyy-mm-dd")=TEXT(($B$4+26),"yyyy-mm-dd")))&amp;" ESC",SUMPRODUCT(('Daily Checklist'!$D$2:$D$2000=$A49)*(TEXT('Daily Checklist'!$B$2:$B$2000,"yyyy-mm-dd")=TEXT(($B$4+26),"yyyy-mm-dd"))*('Daily Checklist'!$F$2:$F$2000="Done"))&amp;"/"&amp;SUMPRODUCT(('Daily Checklist'!$D$2:$D$2000=$A49)*(TEXT('Daily Checklist'!$B$2:$B$2000,"yyyy-mm-dd")=TEXT(($B$4+26),"yyyy-mm-dd"))))))</f>
        <v/>
      </c>
      <c r="AC49" s="25" t="str">
        <f aca="false">IF($A49="","",IF(SUMPRODUCT(('Daily Checklist'!$D$2:$D$2000=$A49)*(TEXT('Daily Checklist'!$B$2:$B$2000,"yyyy-mm-dd")=TEXT(($B$4+27),"yyyy-mm-dd")))=0,"-",IF(SUMPRODUCT(('Daily Checklist'!$D$2:$D$2000=$A49)*(TEXT('Daily Checklist'!$B$2:$B$2000,"yyyy-mm-dd")=TEXT(($B$4+27),"yyyy-mm-dd"))*('Daily Checklist'!$L$2:$L$2000="Y"))&gt;0,SUMPRODUCT(('Daily Checklist'!$D$2:$D$2000=$A49)*(TEXT('Daily Checklist'!$B$2:$B$2000,"yyyy-mm-dd")=TEXT(($B$4+27),"yyyy-mm-dd"))*('Daily Checklist'!$F$2:$F$2000="Done"))&amp;"/"&amp;SUMPRODUCT(('Daily Checklist'!$D$2:$D$2000=$A49)*(TEXT('Daily Checklist'!$B$2:$B$2000,"yyyy-mm-dd")=TEXT(($B$4+27),"yyyy-mm-dd")))&amp;" ESC",SUMPRODUCT(('Daily Checklist'!$D$2:$D$2000=$A49)*(TEXT('Daily Checklist'!$B$2:$B$2000,"yyyy-mm-dd")=TEXT(($B$4+27),"yyyy-mm-dd"))*('Daily Checklist'!$F$2:$F$2000="Done"))&amp;"/"&amp;SUMPRODUCT(('Daily Checklist'!$D$2:$D$2000=$A49)*(TEXT('Daily Checklist'!$B$2:$B$2000,"yyyy-mm-dd")=TEXT(($B$4+27),"yyyy-mm-dd"))))))</f>
        <v/>
      </c>
      <c r="AD49" s="25" t="str">
        <f aca="false">IF($A49="","",IF(SUMPRODUCT(('Daily Checklist'!$D$2:$D$2000=$A49)*(TEXT('Daily Checklist'!$B$2:$B$2000,"yyyy-mm-dd")=TEXT(($B$4+28),"yyyy-mm-dd")))=0,"-",IF(SUMPRODUCT(('Daily Checklist'!$D$2:$D$2000=$A49)*(TEXT('Daily Checklist'!$B$2:$B$2000,"yyyy-mm-dd")=TEXT(($B$4+28),"yyyy-mm-dd"))*('Daily Checklist'!$L$2:$L$2000="Y"))&gt;0,SUMPRODUCT(('Daily Checklist'!$D$2:$D$2000=$A49)*(TEXT('Daily Checklist'!$B$2:$B$2000,"yyyy-mm-dd")=TEXT(($B$4+28),"yyyy-mm-dd"))*('Daily Checklist'!$F$2:$F$2000="Done"))&amp;"/"&amp;SUMPRODUCT(('Daily Checklist'!$D$2:$D$2000=$A49)*(TEXT('Daily Checklist'!$B$2:$B$2000,"yyyy-mm-dd")=TEXT(($B$4+28),"yyyy-mm-dd")))&amp;" ESC",SUMPRODUCT(('Daily Checklist'!$D$2:$D$2000=$A49)*(TEXT('Daily Checklist'!$B$2:$B$2000,"yyyy-mm-dd")=TEXT(($B$4+28),"yyyy-mm-dd"))*('Daily Checklist'!$F$2:$F$2000="Done"))&amp;"/"&amp;SUMPRODUCT(('Daily Checklist'!$D$2:$D$2000=$A49)*(TEXT('Daily Checklist'!$B$2:$B$2000,"yyyy-mm-dd")=TEXT(($B$4+28),"yyyy-mm-dd"))))))</f>
        <v/>
      </c>
      <c r="AE49" s="25" t="str">
        <f aca="false">IF($A49="","",IF(SUMPRODUCT(('Daily Checklist'!$D$2:$D$2000=$A49)*(TEXT('Daily Checklist'!$B$2:$B$2000,"yyyy-mm-dd")=TEXT(($B$4+29),"yyyy-mm-dd")))=0,"-",IF(SUMPRODUCT(('Daily Checklist'!$D$2:$D$2000=$A49)*(TEXT('Daily Checklist'!$B$2:$B$2000,"yyyy-mm-dd")=TEXT(($B$4+29),"yyyy-mm-dd"))*('Daily Checklist'!$L$2:$L$2000="Y"))&gt;0,SUMPRODUCT(('Daily Checklist'!$D$2:$D$2000=$A49)*(TEXT('Daily Checklist'!$B$2:$B$2000,"yyyy-mm-dd")=TEXT(($B$4+29),"yyyy-mm-dd"))*('Daily Checklist'!$F$2:$F$2000="Done"))&amp;"/"&amp;SUMPRODUCT(('Daily Checklist'!$D$2:$D$2000=$A49)*(TEXT('Daily Checklist'!$B$2:$B$2000,"yyyy-mm-dd")=TEXT(($B$4+29),"yyyy-mm-dd")))&amp;" ESC",SUMPRODUCT(('Daily Checklist'!$D$2:$D$2000=$A49)*(TEXT('Daily Checklist'!$B$2:$B$2000,"yyyy-mm-dd")=TEXT(($B$4+29),"yyyy-mm-dd"))*('Daily Checklist'!$F$2:$F$2000="Done"))&amp;"/"&amp;SUMPRODUCT(('Daily Checklist'!$D$2:$D$2000=$A49)*(TEXT('Daily Checklist'!$B$2:$B$2000,"yyyy-mm-dd")=TEXT(($B$4+29),"yyyy-mm-dd"))))))</f>
        <v/>
      </c>
      <c r="AF49" s="25" t="str">
        <f aca="false">IF($A49="","",IF(SUMPRODUCT(('Daily Checklist'!$D$2:$D$2000=$A49)*(TEXT('Daily Checklist'!$B$2:$B$2000,"yyyy-mm-dd")=TEXT(($B$4+30),"yyyy-mm-dd")))=0,"-",IF(SUMPRODUCT(('Daily Checklist'!$D$2:$D$2000=$A49)*(TEXT('Daily Checklist'!$B$2:$B$2000,"yyyy-mm-dd")=TEXT(($B$4+30),"yyyy-mm-dd"))*('Daily Checklist'!$L$2:$L$2000="Y"))&gt;0,SUMPRODUCT(('Daily Checklist'!$D$2:$D$2000=$A49)*(TEXT('Daily Checklist'!$B$2:$B$2000,"yyyy-mm-dd")=TEXT(($B$4+30),"yyyy-mm-dd"))*('Daily Checklist'!$F$2:$F$2000="Done"))&amp;"/"&amp;SUMPRODUCT(('Daily Checklist'!$D$2:$D$2000=$A49)*(TEXT('Daily Checklist'!$B$2:$B$2000,"yyyy-mm-dd")=TEXT(($B$4+30),"yyyy-mm-dd")))&amp;" ESC",SUMPRODUCT(('Daily Checklist'!$D$2:$D$2000=$A49)*(TEXT('Daily Checklist'!$B$2:$B$2000,"yyyy-mm-dd")=TEXT(($B$4+30),"yyyy-mm-dd"))*('Daily Checklist'!$F$2:$F$2000="Done"))&amp;"/"&amp;SUMPRODUCT(('Daily Checklist'!$D$2:$D$2000=$A49)*(TEXT('Daily Checklist'!$B$2:$B$2000,"yyyy-mm-dd")=TEXT(($B$4+30),"yyyy-mm-dd"))))))</f>
        <v/>
      </c>
    </row>
    <row r="50" customFormat="false" ht="15" hidden="false" customHeight="true" outlineLevel="0" collapsed="false">
      <c r="A50" s="24" t="str">
        <f aca="false">IFERROR(IF(Employees!A45="","",Employees!A45),"")</f>
        <v/>
      </c>
      <c r="B50" s="25" t="str">
        <f aca="false">IF($A50="","",IF(SUMPRODUCT(('Daily Checklist'!$D$2:$D$2000=$A50)*(TEXT('Daily Checklist'!$B$2:$B$2000,"yyyy-mm-dd")=TEXT(($B$4+0),"yyyy-mm-dd")))=0,"-",IF(SUMPRODUCT(('Daily Checklist'!$D$2:$D$2000=$A50)*(TEXT('Daily Checklist'!$B$2:$B$2000,"yyyy-mm-dd")=TEXT(($B$4+0),"yyyy-mm-dd"))*('Daily Checklist'!$L$2:$L$2000="Y"))&gt;0,SUMPRODUCT(('Daily Checklist'!$D$2:$D$2000=$A50)*(TEXT('Daily Checklist'!$B$2:$B$2000,"yyyy-mm-dd")=TEXT(($B$4+0),"yyyy-mm-dd"))*('Daily Checklist'!$F$2:$F$2000="Done"))&amp;"/"&amp;SUMPRODUCT(('Daily Checklist'!$D$2:$D$2000=$A50)*(TEXT('Daily Checklist'!$B$2:$B$2000,"yyyy-mm-dd")=TEXT(($B$4+0),"yyyy-mm-dd")))&amp;" ESC",SUMPRODUCT(('Daily Checklist'!$D$2:$D$2000=$A50)*(TEXT('Daily Checklist'!$B$2:$B$2000,"yyyy-mm-dd")=TEXT(($B$4+0),"yyyy-mm-dd"))*('Daily Checklist'!$F$2:$F$2000="Done"))&amp;"/"&amp;SUMPRODUCT(('Daily Checklist'!$D$2:$D$2000=$A50)*(TEXT('Daily Checklist'!$B$2:$B$2000,"yyyy-mm-dd")=TEXT(($B$4+0),"yyyy-mm-dd"))))))</f>
        <v/>
      </c>
      <c r="C50" s="25" t="str">
        <f aca="false">IF($A50="","",IF(SUMPRODUCT(('Daily Checklist'!$D$2:$D$2000=$A50)*(TEXT('Daily Checklist'!$B$2:$B$2000,"yyyy-mm-dd")=TEXT(($B$4+1),"yyyy-mm-dd")))=0,"-",IF(SUMPRODUCT(('Daily Checklist'!$D$2:$D$2000=$A50)*(TEXT('Daily Checklist'!$B$2:$B$2000,"yyyy-mm-dd")=TEXT(($B$4+1),"yyyy-mm-dd"))*('Daily Checklist'!$L$2:$L$2000="Y"))&gt;0,SUMPRODUCT(('Daily Checklist'!$D$2:$D$2000=$A50)*(TEXT('Daily Checklist'!$B$2:$B$2000,"yyyy-mm-dd")=TEXT(($B$4+1),"yyyy-mm-dd"))*('Daily Checklist'!$F$2:$F$2000="Done"))&amp;"/"&amp;SUMPRODUCT(('Daily Checklist'!$D$2:$D$2000=$A50)*(TEXT('Daily Checklist'!$B$2:$B$2000,"yyyy-mm-dd")=TEXT(($B$4+1),"yyyy-mm-dd")))&amp;" ESC",SUMPRODUCT(('Daily Checklist'!$D$2:$D$2000=$A50)*(TEXT('Daily Checklist'!$B$2:$B$2000,"yyyy-mm-dd")=TEXT(($B$4+1),"yyyy-mm-dd"))*('Daily Checklist'!$F$2:$F$2000="Done"))&amp;"/"&amp;SUMPRODUCT(('Daily Checklist'!$D$2:$D$2000=$A50)*(TEXT('Daily Checklist'!$B$2:$B$2000,"yyyy-mm-dd")=TEXT(($B$4+1),"yyyy-mm-dd"))))))</f>
        <v/>
      </c>
      <c r="D50" s="25" t="str">
        <f aca="false">IF($A50="","",IF(SUMPRODUCT(('Daily Checklist'!$D$2:$D$2000=$A50)*(TEXT('Daily Checklist'!$B$2:$B$2000,"yyyy-mm-dd")=TEXT(($B$4+2),"yyyy-mm-dd")))=0,"-",IF(SUMPRODUCT(('Daily Checklist'!$D$2:$D$2000=$A50)*(TEXT('Daily Checklist'!$B$2:$B$2000,"yyyy-mm-dd")=TEXT(($B$4+2),"yyyy-mm-dd"))*('Daily Checklist'!$L$2:$L$2000="Y"))&gt;0,SUMPRODUCT(('Daily Checklist'!$D$2:$D$2000=$A50)*(TEXT('Daily Checklist'!$B$2:$B$2000,"yyyy-mm-dd")=TEXT(($B$4+2),"yyyy-mm-dd"))*('Daily Checklist'!$F$2:$F$2000="Done"))&amp;"/"&amp;SUMPRODUCT(('Daily Checklist'!$D$2:$D$2000=$A50)*(TEXT('Daily Checklist'!$B$2:$B$2000,"yyyy-mm-dd")=TEXT(($B$4+2),"yyyy-mm-dd")))&amp;" ESC",SUMPRODUCT(('Daily Checklist'!$D$2:$D$2000=$A50)*(TEXT('Daily Checklist'!$B$2:$B$2000,"yyyy-mm-dd")=TEXT(($B$4+2),"yyyy-mm-dd"))*('Daily Checklist'!$F$2:$F$2000="Done"))&amp;"/"&amp;SUMPRODUCT(('Daily Checklist'!$D$2:$D$2000=$A50)*(TEXT('Daily Checklist'!$B$2:$B$2000,"yyyy-mm-dd")=TEXT(($B$4+2),"yyyy-mm-dd"))))))</f>
        <v/>
      </c>
      <c r="E50" s="25" t="str">
        <f aca="false">IF($A50="","",IF(SUMPRODUCT(('Daily Checklist'!$D$2:$D$2000=$A50)*(TEXT('Daily Checklist'!$B$2:$B$2000,"yyyy-mm-dd")=TEXT(($B$4+3),"yyyy-mm-dd")))=0,"-",IF(SUMPRODUCT(('Daily Checklist'!$D$2:$D$2000=$A50)*(TEXT('Daily Checklist'!$B$2:$B$2000,"yyyy-mm-dd")=TEXT(($B$4+3),"yyyy-mm-dd"))*('Daily Checklist'!$L$2:$L$2000="Y"))&gt;0,SUMPRODUCT(('Daily Checklist'!$D$2:$D$2000=$A50)*(TEXT('Daily Checklist'!$B$2:$B$2000,"yyyy-mm-dd")=TEXT(($B$4+3),"yyyy-mm-dd"))*('Daily Checklist'!$F$2:$F$2000="Done"))&amp;"/"&amp;SUMPRODUCT(('Daily Checklist'!$D$2:$D$2000=$A50)*(TEXT('Daily Checklist'!$B$2:$B$2000,"yyyy-mm-dd")=TEXT(($B$4+3),"yyyy-mm-dd")))&amp;" ESC",SUMPRODUCT(('Daily Checklist'!$D$2:$D$2000=$A50)*(TEXT('Daily Checklist'!$B$2:$B$2000,"yyyy-mm-dd")=TEXT(($B$4+3),"yyyy-mm-dd"))*('Daily Checklist'!$F$2:$F$2000="Done"))&amp;"/"&amp;SUMPRODUCT(('Daily Checklist'!$D$2:$D$2000=$A50)*(TEXT('Daily Checklist'!$B$2:$B$2000,"yyyy-mm-dd")=TEXT(($B$4+3),"yyyy-mm-dd"))))))</f>
        <v/>
      </c>
      <c r="F50" s="25" t="str">
        <f aca="false">IF($A50="","",IF(SUMPRODUCT(('Daily Checklist'!$D$2:$D$2000=$A50)*(TEXT('Daily Checklist'!$B$2:$B$2000,"yyyy-mm-dd")=TEXT(($B$4+4),"yyyy-mm-dd")))=0,"-",IF(SUMPRODUCT(('Daily Checklist'!$D$2:$D$2000=$A50)*(TEXT('Daily Checklist'!$B$2:$B$2000,"yyyy-mm-dd")=TEXT(($B$4+4),"yyyy-mm-dd"))*('Daily Checklist'!$L$2:$L$2000="Y"))&gt;0,SUMPRODUCT(('Daily Checklist'!$D$2:$D$2000=$A50)*(TEXT('Daily Checklist'!$B$2:$B$2000,"yyyy-mm-dd")=TEXT(($B$4+4),"yyyy-mm-dd"))*('Daily Checklist'!$F$2:$F$2000="Done"))&amp;"/"&amp;SUMPRODUCT(('Daily Checklist'!$D$2:$D$2000=$A50)*(TEXT('Daily Checklist'!$B$2:$B$2000,"yyyy-mm-dd")=TEXT(($B$4+4),"yyyy-mm-dd")))&amp;" ESC",SUMPRODUCT(('Daily Checklist'!$D$2:$D$2000=$A50)*(TEXT('Daily Checklist'!$B$2:$B$2000,"yyyy-mm-dd")=TEXT(($B$4+4),"yyyy-mm-dd"))*('Daily Checklist'!$F$2:$F$2000="Done"))&amp;"/"&amp;SUMPRODUCT(('Daily Checklist'!$D$2:$D$2000=$A50)*(TEXT('Daily Checklist'!$B$2:$B$2000,"yyyy-mm-dd")=TEXT(($B$4+4),"yyyy-mm-dd"))))))</f>
        <v/>
      </c>
      <c r="G50" s="25" t="str">
        <f aca="false">IF($A50="","",IF(SUMPRODUCT(('Daily Checklist'!$D$2:$D$2000=$A50)*(TEXT('Daily Checklist'!$B$2:$B$2000,"yyyy-mm-dd")=TEXT(($B$4+5),"yyyy-mm-dd")))=0,"-",IF(SUMPRODUCT(('Daily Checklist'!$D$2:$D$2000=$A50)*(TEXT('Daily Checklist'!$B$2:$B$2000,"yyyy-mm-dd")=TEXT(($B$4+5),"yyyy-mm-dd"))*('Daily Checklist'!$L$2:$L$2000="Y"))&gt;0,SUMPRODUCT(('Daily Checklist'!$D$2:$D$2000=$A50)*(TEXT('Daily Checklist'!$B$2:$B$2000,"yyyy-mm-dd")=TEXT(($B$4+5),"yyyy-mm-dd"))*('Daily Checklist'!$F$2:$F$2000="Done"))&amp;"/"&amp;SUMPRODUCT(('Daily Checklist'!$D$2:$D$2000=$A50)*(TEXT('Daily Checklist'!$B$2:$B$2000,"yyyy-mm-dd")=TEXT(($B$4+5),"yyyy-mm-dd")))&amp;" ESC",SUMPRODUCT(('Daily Checklist'!$D$2:$D$2000=$A50)*(TEXT('Daily Checklist'!$B$2:$B$2000,"yyyy-mm-dd")=TEXT(($B$4+5),"yyyy-mm-dd"))*('Daily Checklist'!$F$2:$F$2000="Done"))&amp;"/"&amp;SUMPRODUCT(('Daily Checklist'!$D$2:$D$2000=$A50)*(TEXT('Daily Checklist'!$B$2:$B$2000,"yyyy-mm-dd")=TEXT(($B$4+5),"yyyy-mm-dd"))))))</f>
        <v/>
      </c>
      <c r="H50" s="25" t="str">
        <f aca="false">IF($A50="","",IF(SUMPRODUCT(('Daily Checklist'!$D$2:$D$2000=$A50)*(TEXT('Daily Checklist'!$B$2:$B$2000,"yyyy-mm-dd")=TEXT(($B$4+6),"yyyy-mm-dd")))=0,"-",IF(SUMPRODUCT(('Daily Checklist'!$D$2:$D$2000=$A50)*(TEXT('Daily Checklist'!$B$2:$B$2000,"yyyy-mm-dd")=TEXT(($B$4+6),"yyyy-mm-dd"))*('Daily Checklist'!$L$2:$L$2000="Y"))&gt;0,SUMPRODUCT(('Daily Checklist'!$D$2:$D$2000=$A50)*(TEXT('Daily Checklist'!$B$2:$B$2000,"yyyy-mm-dd")=TEXT(($B$4+6),"yyyy-mm-dd"))*('Daily Checklist'!$F$2:$F$2000="Done"))&amp;"/"&amp;SUMPRODUCT(('Daily Checklist'!$D$2:$D$2000=$A50)*(TEXT('Daily Checklist'!$B$2:$B$2000,"yyyy-mm-dd")=TEXT(($B$4+6),"yyyy-mm-dd")))&amp;" ESC",SUMPRODUCT(('Daily Checklist'!$D$2:$D$2000=$A50)*(TEXT('Daily Checklist'!$B$2:$B$2000,"yyyy-mm-dd")=TEXT(($B$4+6),"yyyy-mm-dd"))*('Daily Checklist'!$F$2:$F$2000="Done"))&amp;"/"&amp;SUMPRODUCT(('Daily Checklist'!$D$2:$D$2000=$A50)*(TEXT('Daily Checklist'!$B$2:$B$2000,"yyyy-mm-dd")=TEXT(($B$4+6),"yyyy-mm-dd"))))))</f>
        <v/>
      </c>
      <c r="I50" s="25" t="str">
        <f aca="false">IF($A50="","",IF(SUMPRODUCT(('Daily Checklist'!$D$2:$D$2000=$A50)*(TEXT('Daily Checklist'!$B$2:$B$2000,"yyyy-mm-dd")=TEXT(($B$4+7),"yyyy-mm-dd")))=0,"-",IF(SUMPRODUCT(('Daily Checklist'!$D$2:$D$2000=$A50)*(TEXT('Daily Checklist'!$B$2:$B$2000,"yyyy-mm-dd")=TEXT(($B$4+7),"yyyy-mm-dd"))*('Daily Checklist'!$L$2:$L$2000="Y"))&gt;0,SUMPRODUCT(('Daily Checklist'!$D$2:$D$2000=$A50)*(TEXT('Daily Checklist'!$B$2:$B$2000,"yyyy-mm-dd")=TEXT(($B$4+7),"yyyy-mm-dd"))*('Daily Checklist'!$F$2:$F$2000="Done"))&amp;"/"&amp;SUMPRODUCT(('Daily Checklist'!$D$2:$D$2000=$A50)*(TEXT('Daily Checklist'!$B$2:$B$2000,"yyyy-mm-dd")=TEXT(($B$4+7),"yyyy-mm-dd")))&amp;" ESC",SUMPRODUCT(('Daily Checklist'!$D$2:$D$2000=$A50)*(TEXT('Daily Checklist'!$B$2:$B$2000,"yyyy-mm-dd")=TEXT(($B$4+7),"yyyy-mm-dd"))*('Daily Checklist'!$F$2:$F$2000="Done"))&amp;"/"&amp;SUMPRODUCT(('Daily Checklist'!$D$2:$D$2000=$A50)*(TEXT('Daily Checklist'!$B$2:$B$2000,"yyyy-mm-dd")=TEXT(($B$4+7),"yyyy-mm-dd"))))))</f>
        <v/>
      </c>
      <c r="J50" s="25" t="str">
        <f aca="false">IF($A50="","",IF(SUMPRODUCT(('Daily Checklist'!$D$2:$D$2000=$A50)*(TEXT('Daily Checklist'!$B$2:$B$2000,"yyyy-mm-dd")=TEXT(($B$4+8),"yyyy-mm-dd")))=0,"-",IF(SUMPRODUCT(('Daily Checklist'!$D$2:$D$2000=$A50)*(TEXT('Daily Checklist'!$B$2:$B$2000,"yyyy-mm-dd")=TEXT(($B$4+8),"yyyy-mm-dd"))*('Daily Checklist'!$L$2:$L$2000="Y"))&gt;0,SUMPRODUCT(('Daily Checklist'!$D$2:$D$2000=$A50)*(TEXT('Daily Checklist'!$B$2:$B$2000,"yyyy-mm-dd")=TEXT(($B$4+8),"yyyy-mm-dd"))*('Daily Checklist'!$F$2:$F$2000="Done"))&amp;"/"&amp;SUMPRODUCT(('Daily Checklist'!$D$2:$D$2000=$A50)*(TEXT('Daily Checklist'!$B$2:$B$2000,"yyyy-mm-dd")=TEXT(($B$4+8),"yyyy-mm-dd")))&amp;" ESC",SUMPRODUCT(('Daily Checklist'!$D$2:$D$2000=$A50)*(TEXT('Daily Checklist'!$B$2:$B$2000,"yyyy-mm-dd")=TEXT(($B$4+8),"yyyy-mm-dd"))*('Daily Checklist'!$F$2:$F$2000="Done"))&amp;"/"&amp;SUMPRODUCT(('Daily Checklist'!$D$2:$D$2000=$A50)*(TEXT('Daily Checklist'!$B$2:$B$2000,"yyyy-mm-dd")=TEXT(($B$4+8),"yyyy-mm-dd"))))))</f>
        <v/>
      </c>
      <c r="K50" s="25" t="str">
        <f aca="false">IF($A50="","",IF(SUMPRODUCT(('Daily Checklist'!$D$2:$D$2000=$A50)*(TEXT('Daily Checklist'!$B$2:$B$2000,"yyyy-mm-dd")=TEXT(($B$4+9),"yyyy-mm-dd")))=0,"-",IF(SUMPRODUCT(('Daily Checklist'!$D$2:$D$2000=$A50)*(TEXT('Daily Checklist'!$B$2:$B$2000,"yyyy-mm-dd")=TEXT(($B$4+9),"yyyy-mm-dd"))*('Daily Checklist'!$L$2:$L$2000="Y"))&gt;0,SUMPRODUCT(('Daily Checklist'!$D$2:$D$2000=$A50)*(TEXT('Daily Checklist'!$B$2:$B$2000,"yyyy-mm-dd")=TEXT(($B$4+9),"yyyy-mm-dd"))*('Daily Checklist'!$F$2:$F$2000="Done"))&amp;"/"&amp;SUMPRODUCT(('Daily Checklist'!$D$2:$D$2000=$A50)*(TEXT('Daily Checklist'!$B$2:$B$2000,"yyyy-mm-dd")=TEXT(($B$4+9),"yyyy-mm-dd")))&amp;" ESC",SUMPRODUCT(('Daily Checklist'!$D$2:$D$2000=$A50)*(TEXT('Daily Checklist'!$B$2:$B$2000,"yyyy-mm-dd")=TEXT(($B$4+9),"yyyy-mm-dd"))*('Daily Checklist'!$F$2:$F$2000="Done"))&amp;"/"&amp;SUMPRODUCT(('Daily Checklist'!$D$2:$D$2000=$A50)*(TEXT('Daily Checklist'!$B$2:$B$2000,"yyyy-mm-dd")=TEXT(($B$4+9),"yyyy-mm-dd"))))))</f>
        <v/>
      </c>
      <c r="L50" s="25" t="str">
        <f aca="false">IF($A50="","",IF(SUMPRODUCT(('Daily Checklist'!$D$2:$D$2000=$A50)*(TEXT('Daily Checklist'!$B$2:$B$2000,"yyyy-mm-dd")=TEXT(($B$4+10),"yyyy-mm-dd")))=0,"-",IF(SUMPRODUCT(('Daily Checklist'!$D$2:$D$2000=$A50)*(TEXT('Daily Checklist'!$B$2:$B$2000,"yyyy-mm-dd")=TEXT(($B$4+10),"yyyy-mm-dd"))*('Daily Checklist'!$L$2:$L$2000="Y"))&gt;0,SUMPRODUCT(('Daily Checklist'!$D$2:$D$2000=$A50)*(TEXT('Daily Checklist'!$B$2:$B$2000,"yyyy-mm-dd")=TEXT(($B$4+10),"yyyy-mm-dd"))*('Daily Checklist'!$F$2:$F$2000="Done"))&amp;"/"&amp;SUMPRODUCT(('Daily Checklist'!$D$2:$D$2000=$A50)*(TEXT('Daily Checklist'!$B$2:$B$2000,"yyyy-mm-dd")=TEXT(($B$4+10),"yyyy-mm-dd")))&amp;" ESC",SUMPRODUCT(('Daily Checklist'!$D$2:$D$2000=$A50)*(TEXT('Daily Checklist'!$B$2:$B$2000,"yyyy-mm-dd")=TEXT(($B$4+10),"yyyy-mm-dd"))*('Daily Checklist'!$F$2:$F$2000="Done"))&amp;"/"&amp;SUMPRODUCT(('Daily Checklist'!$D$2:$D$2000=$A50)*(TEXT('Daily Checklist'!$B$2:$B$2000,"yyyy-mm-dd")=TEXT(($B$4+10),"yyyy-mm-dd"))))))</f>
        <v/>
      </c>
      <c r="M50" s="25" t="str">
        <f aca="false">IF($A50="","",IF(SUMPRODUCT(('Daily Checklist'!$D$2:$D$2000=$A50)*(TEXT('Daily Checklist'!$B$2:$B$2000,"yyyy-mm-dd")=TEXT(($B$4+11),"yyyy-mm-dd")))=0,"-",IF(SUMPRODUCT(('Daily Checklist'!$D$2:$D$2000=$A50)*(TEXT('Daily Checklist'!$B$2:$B$2000,"yyyy-mm-dd")=TEXT(($B$4+11),"yyyy-mm-dd"))*('Daily Checklist'!$L$2:$L$2000="Y"))&gt;0,SUMPRODUCT(('Daily Checklist'!$D$2:$D$2000=$A50)*(TEXT('Daily Checklist'!$B$2:$B$2000,"yyyy-mm-dd")=TEXT(($B$4+11),"yyyy-mm-dd"))*('Daily Checklist'!$F$2:$F$2000="Done"))&amp;"/"&amp;SUMPRODUCT(('Daily Checklist'!$D$2:$D$2000=$A50)*(TEXT('Daily Checklist'!$B$2:$B$2000,"yyyy-mm-dd")=TEXT(($B$4+11),"yyyy-mm-dd")))&amp;" ESC",SUMPRODUCT(('Daily Checklist'!$D$2:$D$2000=$A50)*(TEXT('Daily Checklist'!$B$2:$B$2000,"yyyy-mm-dd")=TEXT(($B$4+11),"yyyy-mm-dd"))*('Daily Checklist'!$F$2:$F$2000="Done"))&amp;"/"&amp;SUMPRODUCT(('Daily Checklist'!$D$2:$D$2000=$A50)*(TEXT('Daily Checklist'!$B$2:$B$2000,"yyyy-mm-dd")=TEXT(($B$4+11),"yyyy-mm-dd"))))))</f>
        <v/>
      </c>
      <c r="N50" s="25" t="str">
        <f aca="false">IF($A50="","",IF(SUMPRODUCT(('Daily Checklist'!$D$2:$D$2000=$A50)*(TEXT('Daily Checklist'!$B$2:$B$2000,"yyyy-mm-dd")=TEXT(($B$4+12),"yyyy-mm-dd")))=0,"-",IF(SUMPRODUCT(('Daily Checklist'!$D$2:$D$2000=$A50)*(TEXT('Daily Checklist'!$B$2:$B$2000,"yyyy-mm-dd")=TEXT(($B$4+12),"yyyy-mm-dd"))*('Daily Checklist'!$L$2:$L$2000="Y"))&gt;0,SUMPRODUCT(('Daily Checklist'!$D$2:$D$2000=$A50)*(TEXT('Daily Checklist'!$B$2:$B$2000,"yyyy-mm-dd")=TEXT(($B$4+12),"yyyy-mm-dd"))*('Daily Checklist'!$F$2:$F$2000="Done"))&amp;"/"&amp;SUMPRODUCT(('Daily Checklist'!$D$2:$D$2000=$A50)*(TEXT('Daily Checklist'!$B$2:$B$2000,"yyyy-mm-dd")=TEXT(($B$4+12),"yyyy-mm-dd")))&amp;" ESC",SUMPRODUCT(('Daily Checklist'!$D$2:$D$2000=$A50)*(TEXT('Daily Checklist'!$B$2:$B$2000,"yyyy-mm-dd")=TEXT(($B$4+12),"yyyy-mm-dd"))*('Daily Checklist'!$F$2:$F$2000="Done"))&amp;"/"&amp;SUMPRODUCT(('Daily Checklist'!$D$2:$D$2000=$A50)*(TEXT('Daily Checklist'!$B$2:$B$2000,"yyyy-mm-dd")=TEXT(($B$4+12),"yyyy-mm-dd"))))))</f>
        <v/>
      </c>
      <c r="O50" s="25" t="str">
        <f aca="false">IF($A50="","",IF(SUMPRODUCT(('Daily Checklist'!$D$2:$D$2000=$A50)*(TEXT('Daily Checklist'!$B$2:$B$2000,"yyyy-mm-dd")=TEXT(($B$4+13),"yyyy-mm-dd")))=0,"-",IF(SUMPRODUCT(('Daily Checklist'!$D$2:$D$2000=$A50)*(TEXT('Daily Checklist'!$B$2:$B$2000,"yyyy-mm-dd")=TEXT(($B$4+13),"yyyy-mm-dd"))*('Daily Checklist'!$L$2:$L$2000="Y"))&gt;0,SUMPRODUCT(('Daily Checklist'!$D$2:$D$2000=$A50)*(TEXT('Daily Checklist'!$B$2:$B$2000,"yyyy-mm-dd")=TEXT(($B$4+13),"yyyy-mm-dd"))*('Daily Checklist'!$F$2:$F$2000="Done"))&amp;"/"&amp;SUMPRODUCT(('Daily Checklist'!$D$2:$D$2000=$A50)*(TEXT('Daily Checklist'!$B$2:$B$2000,"yyyy-mm-dd")=TEXT(($B$4+13),"yyyy-mm-dd")))&amp;" ESC",SUMPRODUCT(('Daily Checklist'!$D$2:$D$2000=$A50)*(TEXT('Daily Checklist'!$B$2:$B$2000,"yyyy-mm-dd")=TEXT(($B$4+13),"yyyy-mm-dd"))*('Daily Checklist'!$F$2:$F$2000="Done"))&amp;"/"&amp;SUMPRODUCT(('Daily Checklist'!$D$2:$D$2000=$A50)*(TEXT('Daily Checklist'!$B$2:$B$2000,"yyyy-mm-dd")=TEXT(($B$4+13),"yyyy-mm-dd"))))))</f>
        <v/>
      </c>
      <c r="P50" s="25" t="str">
        <f aca="false">IF($A50="","",IF(SUMPRODUCT(('Daily Checklist'!$D$2:$D$2000=$A50)*(TEXT('Daily Checklist'!$B$2:$B$2000,"yyyy-mm-dd")=TEXT(($B$4+14),"yyyy-mm-dd")))=0,"-",IF(SUMPRODUCT(('Daily Checklist'!$D$2:$D$2000=$A50)*(TEXT('Daily Checklist'!$B$2:$B$2000,"yyyy-mm-dd")=TEXT(($B$4+14),"yyyy-mm-dd"))*('Daily Checklist'!$L$2:$L$2000="Y"))&gt;0,SUMPRODUCT(('Daily Checklist'!$D$2:$D$2000=$A50)*(TEXT('Daily Checklist'!$B$2:$B$2000,"yyyy-mm-dd")=TEXT(($B$4+14),"yyyy-mm-dd"))*('Daily Checklist'!$F$2:$F$2000="Done"))&amp;"/"&amp;SUMPRODUCT(('Daily Checklist'!$D$2:$D$2000=$A50)*(TEXT('Daily Checklist'!$B$2:$B$2000,"yyyy-mm-dd")=TEXT(($B$4+14),"yyyy-mm-dd")))&amp;" ESC",SUMPRODUCT(('Daily Checklist'!$D$2:$D$2000=$A50)*(TEXT('Daily Checklist'!$B$2:$B$2000,"yyyy-mm-dd")=TEXT(($B$4+14),"yyyy-mm-dd"))*('Daily Checklist'!$F$2:$F$2000="Done"))&amp;"/"&amp;SUMPRODUCT(('Daily Checklist'!$D$2:$D$2000=$A50)*(TEXT('Daily Checklist'!$B$2:$B$2000,"yyyy-mm-dd")=TEXT(($B$4+14),"yyyy-mm-dd"))))))</f>
        <v/>
      </c>
      <c r="Q50" s="25" t="str">
        <f aca="false">IF($A50="","",IF(SUMPRODUCT(('Daily Checklist'!$D$2:$D$2000=$A50)*(TEXT('Daily Checklist'!$B$2:$B$2000,"yyyy-mm-dd")=TEXT(($B$4+15),"yyyy-mm-dd")))=0,"-",IF(SUMPRODUCT(('Daily Checklist'!$D$2:$D$2000=$A50)*(TEXT('Daily Checklist'!$B$2:$B$2000,"yyyy-mm-dd")=TEXT(($B$4+15),"yyyy-mm-dd"))*('Daily Checklist'!$L$2:$L$2000="Y"))&gt;0,SUMPRODUCT(('Daily Checklist'!$D$2:$D$2000=$A50)*(TEXT('Daily Checklist'!$B$2:$B$2000,"yyyy-mm-dd")=TEXT(($B$4+15),"yyyy-mm-dd"))*('Daily Checklist'!$F$2:$F$2000="Done"))&amp;"/"&amp;SUMPRODUCT(('Daily Checklist'!$D$2:$D$2000=$A50)*(TEXT('Daily Checklist'!$B$2:$B$2000,"yyyy-mm-dd")=TEXT(($B$4+15),"yyyy-mm-dd")))&amp;" ESC",SUMPRODUCT(('Daily Checklist'!$D$2:$D$2000=$A50)*(TEXT('Daily Checklist'!$B$2:$B$2000,"yyyy-mm-dd")=TEXT(($B$4+15),"yyyy-mm-dd"))*('Daily Checklist'!$F$2:$F$2000="Done"))&amp;"/"&amp;SUMPRODUCT(('Daily Checklist'!$D$2:$D$2000=$A50)*(TEXT('Daily Checklist'!$B$2:$B$2000,"yyyy-mm-dd")=TEXT(($B$4+15),"yyyy-mm-dd"))))))</f>
        <v/>
      </c>
      <c r="R50" s="25" t="str">
        <f aca="false">IF($A50="","",IF(SUMPRODUCT(('Daily Checklist'!$D$2:$D$2000=$A50)*(TEXT('Daily Checklist'!$B$2:$B$2000,"yyyy-mm-dd")=TEXT(($B$4+16),"yyyy-mm-dd")))=0,"-",IF(SUMPRODUCT(('Daily Checklist'!$D$2:$D$2000=$A50)*(TEXT('Daily Checklist'!$B$2:$B$2000,"yyyy-mm-dd")=TEXT(($B$4+16),"yyyy-mm-dd"))*('Daily Checklist'!$L$2:$L$2000="Y"))&gt;0,SUMPRODUCT(('Daily Checklist'!$D$2:$D$2000=$A50)*(TEXT('Daily Checklist'!$B$2:$B$2000,"yyyy-mm-dd")=TEXT(($B$4+16),"yyyy-mm-dd"))*('Daily Checklist'!$F$2:$F$2000="Done"))&amp;"/"&amp;SUMPRODUCT(('Daily Checklist'!$D$2:$D$2000=$A50)*(TEXT('Daily Checklist'!$B$2:$B$2000,"yyyy-mm-dd")=TEXT(($B$4+16),"yyyy-mm-dd")))&amp;" ESC",SUMPRODUCT(('Daily Checklist'!$D$2:$D$2000=$A50)*(TEXT('Daily Checklist'!$B$2:$B$2000,"yyyy-mm-dd")=TEXT(($B$4+16),"yyyy-mm-dd"))*('Daily Checklist'!$F$2:$F$2000="Done"))&amp;"/"&amp;SUMPRODUCT(('Daily Checklist'!$D$2:$D$2000=$A50)*(TEXT('Daily Checklist'!$B$2:$B$2000,"yyyy-mm-dd")=TEXT(($B$4+16),"yyyy-mm-dd"))))))</f>
        <v/>
      </c>
      <c r="S50" s="25" t="str">
        <f aca="false">IF($A50="","",IF(SUMPRODUCT(('Daily Checklist'!$D$2:$D$2000=$A50)*(TEXT('Daily Checklist'!$B$2:$B$2000,"yyyy-mm-dd")=TEXT(($B$4+17),"yyyy-mm-dd")))=0,"-",IF(SUMPRODUCT(('Daily Checklist'!$D$2:$D$2000=$A50)*(TEXT('Daily Checklist'!$B$2:$B$2000,"yyyy-mm-dd")=TEXT(($B$4+17),"yyyy-mm-dd"))*('Daily Checklist'!$L$2:$L$2000="Y"))&gt;0,SUMPRODUCT(('Daily Checklist'!$D$2:$D$2000=$A50)*(TEXT('Daily Checklist'!$B$2:$B$2000,"yyyy-mm-dd")=TEXT(($B$4+17),"yyyy-mm-dd"))*('Daily Checklist'!$F$2:$F$2000="Done"))&amp;"/"&amp;SUMPRODUCT(('Daily Checklist'!$D$2:$D$2000=$A50)*(TEXT('Daily Checklist'!$B$2:$B$2000,"yyyy-mm-dd")=TEXT(($B$4+17),"yyyy-mm-dd")))&amp;" ESC",SUMPRODUCT(('Daily Checklist'!$D$2:$D$2000=$A50)*(TEXT('Daily Checklist'!$B$2:$B$2000,"yyyy-mm-dd")=TEXT(($B$4+17),"yyyy-mm-dd"))*('Daily Checklist'!$F$2:$F$2000="Done"))&amp;"/"&amp;SUMPRODUCT(('Daily Checklist'!$D$2:$D$2000=$A50)*(TEXT('Daily Checklist'!$B$2:$B$2000,"yyyy-mm-dd")=TEXT(($B$4+17),"yyyy-mm-dd"))))))</f>
        <v/>
      </c>
      <c r="T50" s="25" t="str">
        <f aca="false">IF($A50="","",IF(SUMPRODUCT(('Daily Checklist'!$D$2:$D$2000=$A50)*(TEXT('Daily Checklist'!$B$2:$B$2000,"yyyy-mm-dd")=TEXT(($B$4+18),"yyyy-mm-dd")))=0,"-",IF(SUMPRODUCT(('Daily Checklist'!$D$2:$D$2000=$A50)*(TEXT('Daily Checklist'!$B$2:$B$2000,"yyyy-mm-dd")=TEXT(($B$4+18),"yyyy-mm-dd"))*('Daily Checklist'!$L$2:$L$2000="Y"))&gt;0,SUMPRODUCT(('Daily Checklist'!$D$2:$D$2000=$A50)*(TEXT('Daily Checklist'!$B$2:$B$2000,"yyyy-mm-dd")=TEXT(($B$4+18),"yyyy-mm-dd"))*('Daily Checklist'!$F$2:$F$2000="Done"))&amp;"/"&amp;SUMPRODUCT(('Daily Checklist'!$D$2:$D$2000=$A50)*(TEXT('Daily Checklist'!$B$2:$B$2000,"yyyy-mm-dd")=TEXT(($B$4+18),"yyyy-mm-dd")))&amp;" ESC",SUMPRODUCT(('Daily Checklist'!$D$2:$D$2000=$A50)*(TEXT('Daily Checklist'!$B$2:$B$2000,"yyyy-mm-dd")=TEXT(($B$4+18),"yyyy-mm-dd"))*('Daily Checklist'!$F$2:$F$2000="Done"))&amp;"/"&amp;SUMPRODUCT(('Daily Checklist'!$D$2:$D$2000=$A50)*(TEXT('Daily Checklist'!$B$2:$B$2000,"yyyy-mm-dd")=TEXT(($B$4+18),"yyyy-mm-dd"))))))</f>
        <v/>
      </c>
      <c r="U50" s="25" t="str">
        <f aca="false">IF($A50="","",IF(SUMPRODUCT(('Daily Checklist'!$D$2:$D$2000=$A50)*(TEXT('Daily Checklist'!$B$2:$B$2000,"yyyy-mm-dd")=TEXT(($B$4+19),"yyyy-mm-dd")))=0,"-",IF(SUMPRODUCT(('Daily Checklist'!$D$2:$D$2000=$A50)*(TEXT('Daily Checklist'!$B$2:$B$2000,"yyyy-mm-dd")=TEXT(($B$4+19),"yyyy-mm-dd"))*('Daily Checklist'!$L$2:$L$2000="Y"))&gt;0,SUMPRODUCT(('Daily Checklist'!$D$2:$D$2000=$A50)*(TEXT('Daily Checklist'!$B$2:$B$2000,"yyyy-mm-dd")=TEXT(($B$4+19),"yyyy-mm-dd"))*('Daily Checklist'!$F$2:$F$2000="Done"))&amp;"/"&amp;SUMPRODUCT(('Daily Checklist'!$D$2:$D$2000=$A50)*(TEXT('Daily Checklist'!$B$2:$B$2000,"yyyy-mm-dd")=TEXT(($B$4+19),"yyyy-mm-dd")))&amp;" ESC",SUMPRODUCT(('Daily Checklist'!$D$2:$D$2000=$A50)*(TEXT('Daily Checklist'!$B$2:$B$2000,"yyyy-mm-dd")=TEXT(($B$4+19),"yyyy-mm-dd"))*('Daily Checklist'!$F$2:$F$2000="Done"))&amp;"/"&amp;SUMPRODUCT(('Daily Checklist'!$D$2:$D$2000=$A50)*(TEXT('Daily Checklist'!$B$2:$B$2000,"yyyy-mm-dd")=TEXT(($B$4+19),"yyyy-mm-dd"))))))</f>
        <v/>
      </c>
      <c r="V50" s="25" t="str">
        <f aca="false">IF($A50="","",IF(SUMPRODUCT(('Daily Checklist'!$D$2:$D$2000=$A50)*(TEXT('Daily Checklist'!$B$2:$B$2000,"yyyy-mm-dd")=TEXT(($B$4+20),"yyyy-mm-dd")))=0,"-",IF(SUMPRODUCT(('Daily Checklist'!$D$2:$D$2000=$A50)*(TEXT('Daily Checklist'!$B$2:$B$2000,"yyyy-mm-dd")=TEXT(($B$4+20),"yyyy-mm-dd"))*('Daily Checklist'!$L$2:$L$2000="Y"))&gt;0,SUMPRODUCT(('Daily Checklist'!$D$2:$D$2000=$A50)*(TEXT('Daily Checklist'!$B$2:$B$2000,"yyyy-mm-dd")=TEXT(($B$4+20),"yyyy-mm-dd"))*('Daily Checklist'!$F$2:$F$2000="Done"))&amp;"/"&amp;SUMPRODUCT(('Daily Checklist'!$D$2:$D$2000=$A50)*(TEXT('Daily Checklist'!$B$2:$B$2000,"yyyy-mm-dd")=TEXT(($B$4+20),"yyyy-mm-dd")))&amp;" ESC",SUMPRODUCT(('Daily Checklist'!$D$2:$D$2000=$A50)*(TEXT('Daily Checklist'!$B$2:$B$2000,"yyyy-mm-dd")=TEXT(($B$4+20),"yyyy-mm-dd"))*('Daily Checklist'!$F$2:$F$2000="Done"))&amp;"/"&amp;SUMPRODUCT(('Daily Checklist'!$D$2:$D$2000=$A50)*(TEXT('Daily Checklist'!$B$2:$B$2000,"yyyy-mm-dd")=TEXT(($B$4+20),"yyyy-mm-dd"))))))</f>
        <v/>
      </c>
      <c r="W50" s="25" t="str">
        <f aca="false">IF($A50="","",IF(SUMPRODUCT(('Daily Checklist'!$D$2:$D$2000=$A50)*(TEXT('Daily Checklist'!$B$2:$B$2000,"yyyy-mm-dd")=TEXT(($B$4+21),"yyyy-mm-dd")))=0,"-",IF(SUMPRODUCT(('Daily Checklist'!$D$2:$D$2000=$A50)*(TEXT('Daily Checklist'!$B$2:$B$2000,"yyyy-mm-dd")=TEXT(($B$4+21),"yyyy-mm-dd"))*('Daily Checklist'!$L$2:$L$2000="Y"))&gt;0,SUMPRODUCT(('Daily Checklist'!$D$2:$D$2000=$A50)*(TEXT('Daily Checklist'!$B$2:$B$2000,"yyyy-mm-dd")=TEXT(($B$4+21),"yyyy-mm-dd"))*('Daily Checklist'!$F$2:$F$2000="Done"))&amp;"/"&amp;SUMPRODUCT(('Daily Checklist'!$D$2:$D$2000=$A50)*(TEXT('Daily Checklist'!$B$2:$B$2000,"yyyy-mm-dd")=TEXT(($B$4+21),"yyyy-mm-dd")))&amp;" ESC",SUMPRODUCT(('Daily Checklist'!$D$2:$D$2000=$A50)*(TEXT('Daily Checklist'!$B$2:$B$2000,"yyyy-mm-dd")=TEXT(($B$4+21),"yyyy-mm-dd"))*('Daily Checklist'!$F$2:$F$2000="Done"))&amp;"/"&amp;SUMPRODUCT(('Daily Checklist'!$D$2:$D$2000=$A50)*(TEXT('Daily Checklist'!$B$2:$B$2000,"yyyy-mm-dd")=TEXT(($B$4+21),"yyyy-mm-dd"))))))</f>
        <v/>
      </c>
      <c r="X50" s="25" t="str">
        <f aca="false">IF($A50="","",IF(SUMPRODUCT(('Daily Checklist'!$D$2:$D$2000=$A50)*(TEXT('Daily Checklist'!$B$2:$B$2000,"yyyy-mm-dd")=TEXT(($B$4+22),"yyyy-mm-dd")))=0,"-",IF(SUMPRODUCT(('Daily Checklist'!$D$2:$D$2000=$A50)*(TEXT('Daily Checklist'!$B$2:$B$2000,"yyyy-mm-dd")=TEXT(($B$4+22),"yyyy-mm-dd"))*('Daily Checklist'!$L$2:$L$2000="Y"))&gt;0,SUMPRODUCT(('Daily Checklist'!$D$2:$D$2000=$A50)*(TEXT('Daily Checklist'!$B$2:$B$2000,"yyyy-mm-dd")=TEXT(($B$4+22),"yyyy-mm-dd"))*('Daily Checklist'!$F$2:$F$2000="Done"))&amp;"/"&amp;SUMPRODUCT(('Daily Checklist'!$D$2:$D$2000=$A50)*(TEXT('Daily Checklist'!$B$2:$B$2000,"yyyy-mm-dd")=TEXT(($B$4+22),"yyyy-mm-dd")))&amp;" ESC",SUMPRODUCT(('Daily Checklist'!$D$2:$D$2000=$A50)*(TEXT('Daily Checklist'!$B$2:$B$2000,"yyyy-mm-dd")=TEXT(($B$4+22),"yyyy-mm-dd"))*('Daily Checklist'!$F$2:$F$2000="Done"))&amp;"/"&amp;SUMPRODUCT(('Daily Checklist'!$D$2:$D$2000=$A50)*(TEXT('Daily Checklist'!$B$2:$B$2000,"yyyy-mm-dd")=TEXT(($B$4+22),"yyyy-mm-dd"))))))</f>
        <v/>
      </c>
      <c r="Y50" s="25" t="str">
        <f aca="false">IF($A50="","",IF(SUMPRODUCT(('Daily Checklist'!$D$2:$D$2000=$A50)*(TEXT('Daily Checklist'!$B$2:$B$2000,"yyyy-mm-dd")=TEXT(($B$4+23),"yyyy-mm-dd")))=0,"-",IF(SUMPRODUCT(('Daily Checklist'!$D$2:$D$2000=$A50)*(TEXT('Daily Checklist'!$B$2:$B$2000,"yyyy-mm-dd")=TEXT(($B$4+23),"yyyy-mm-dd"))*('Daily Checklist'!$L$2:$L$2000="Y"))&gt;0,SUMPRODUCT(('Daily Checklist'!$D$2:$D$2000=$A50)*(TEXT('Daily Checklist'!$B$2:$B$2000,"yyyy-mm-dd")=TEXT(($B$4+23),"yyyy-mm-dd"))*('Daily Checklist'!$F$2:$F$2000="Done"))&amp;"/"&amp;SUMPRODUCT(('Daily Checklist'!$D$2:$D$2000=$A50)*(TEXT('Daily Checklist'!$B$2:$B$2000,"yyyy-mm-dd")=TEXT(($B$4+23),"yyyy-mm-dd")))&amp;" ESC",SUMPRODUCT(('Daily Checklist'!$D$2:$D$2000=$A50)*(TEXT('Daily Checklist'!$B$2:$B$2000,"yyyy-mm-dd")=TEXT(($B$4+23),"yyyy-mm-dd"))*('Daily Checklist'!$F$2:$F$2000="Done"))&amp;"/"&amp;SUMPRODUCT(('Daily Checklist'!$D$2:$D$2000=$A50)*(TEXT('Daily Checklist'!$B$2:$B$2000,"yyyy-mm-dd")=TEXT(($B$4+23),"yyyy-mm-dd"))))))</f>
        <v/>
      </c>
      <c r="Z50" s="25" t="str">
        <f aca="false">IF($A50="","",IF(SUMPRODUCT(('Daily Checklist'!$D$2:$D$2000=$A50)*(TEXT('Daily Checklist'!$B$2:$B$2000,"yyyy-mm-dd")=TEXT(($B$4+24),"yyyy-mm-dd")))=0,"-",IF(SUMPRODUCT(('Daily Checklist'!$D$2:$D$2000=$A50)*(TEXT('Daily Checklist'!$B$2:$B$2000,"yyyy-mm-dd")=TEXT(($B$4+24),"yyyy-mm-dd"))*('Daily Checklist'!$L$2:$L$2000="Y"))&gt;0,SUMPRODUCT(('Daily Checklist'!$D$2:$D$2000=$A50)*(TEXT('Daily Checklist'!$B$2:$B$2000,"yyyy-mm-dd")=TEXT(($B$4+24),"yyyy-mm-dd"))*('Daily Checklist'!$F$2:$F$2000="Done"))&amp;"/"&amp;SUMPRODUCT(('Daily Checklist'!$D$2:$D$2000=$A50)*(TEXT('Daily Checklist'!$B$2:$B$2000,"yyyy-mm-dd")=TEXT(($B$4+24),"yyyy-mm-dd")))&amp;" ESC",SUMPRODUCT(('Daily Checklist'!$D$2:$D$2000=$A50)*(TEXT('Daily Checklist'!$B$2:$B$2000,"yyyy-mm-dd")=TEXT(($B$4+24),"yyyy-mm-dd"))*('Daily Checklist'!$F$2:$F$2000="Done"))&amp;"/"&amp;SUMPRODUCT(('Daily Checklist'!$D$2:$D$2000=$A50)*(TEXT('Daily Checklist'!$B$2:$B$2000,"yyyy-mm-dd")=TEXT(($B$4+24),"yyyy-mm-dd"))))))</f>
        <v/>
      </c>
      <c r="AA50" s="25" t="str">
        <f aca="false">IF($A50="","",IF(SUMPRODUCT(('Daily Checklist'!$D$2:$D$2000=$A50)*(TEXT('Daily Checklist'!$B$2:$B$2000,"yyyy-mm-dd")=TEXT(($B$4+25),"yyyy-mm-dd")))=0,"-",IF(SUMPRODUCT(('Daily Checklist'!$D$2:$D$2000=$A50)*(TEXT('Daily Checklist'!$B$2:$B$2000,"yyyy-mm-dd")=TEXT(($B$4+25),"yyyy-mm-dd"))*('Daily Checklist'!$L$2:$L$2000="Y"))&gt;0,SUMPRODUCT(('Daily Checklist'!$D$2:$D$2000=$A50)*(TEXT('Daily Checklist'!$B$2:$B$2000,"yyyy-mm-dd")=TEXT(($B$4+25),"yyyy-mm-dd"))*('Daily Checklist'!$F$2:$F$2000="Done"))&amp;"/"&amp;SUMPRODUCT(('Daily Checklist'!$D$2:$D$2000=$A50)*(TEXT('Daily Checklist'!$B$2:$B$2000,"yyyy-mm-dd")=TEXT(($B$4+25),"yyyy-mm-dd")))&amp;" ESC",SUMPRODUCT(('Daily Checklist'!$D$2:$D$2000=$A50)*(TEXT('Daily Checklist'!$B$2:$B$2000,"yyyy-mm-dd")=TEXT(($B$4+25),"yyyy-mm-dd"))*('Daily Checklist'!$F$2:$F$2000="Done"))&amp;"/"&amp;SUMPRODUCT(('Daily Checklist'!$D$2:$D$2000=$A50)*(TEXT('Daily Checklist'!$B$2:$B$2000,"yyyy-mm-dd")=TEXT(($B$4+25),"yyyy-mm-dd"))))))</f>
        <v/>
      </c>
      <c r="AB50" s="25" t="str">
        <f aca="false">IF($A50="","",IF(SUMPRODUCT(('Daily Checklist'!$D$2:$D$2000=$A50)*(TEXT('Daily Checklist'!$B$2:$B$2000,"yyyy-mm-dd")=TEXT(($B$4+26),"yyyy-mm-dd")))=0,"-",IF(SUMPRODUCT(('Daily Checklist'!$D$2:$D$2000=$A50)*(TEXT('Daily Checklist'!$B$2:$B$2000,"yyyy-mm-dd")=TEXT(($B$4+26),"yyyy-mm-dd"))*('Daily Checklist'!$L$2:$L$2000="Y"))&gt;0,SUMPRODUCT(('Daily Checklist'!$D$2:$D$2000=$A50)*(TEXT('Daily Checklist'!$B$2:$B$2000,"yyyy-mm-dd")=TEXT(($B$4+26),"yyyy-mm-dd"))*('Daily Checklist'!$F$2:$F$2000="Done"))&amp;"/"&amp;SUMPRODUCT(('Daily Checklist'!$D$2:$D$2000=$A50)*(TEXT('Daily Checklist'!$B$2:$B$2000,"yyyy-mm-dd")=TEXT(($B$4+26),"yyyy-mm-dd")))&amp;" ESC",SUMPRODUCT(('Daily Checklist'!$D$2:$D$2000=$A50)*(TEXT('Daily Checklist'!$B$2:$B$2000,"yyyy-mm-dd")=TEXT(($B$4+26),"yyyy-mm-dd"))*('Daily Checklist'!$F$2:$F$2000="Done"))&amp;"/"&amp;SUMPRODUCT(('Daily Checklist'!$D$2:$D$2000=$A50)*(TEXT('Daily Checklist'!$B$2:$B$2000,"yyyy-mm-dd")=TEXT(($B$4+26),"yyyy-mm-dd"))))))</f>
        <v/>
      </c>
      <c r="AC50" s="25" t="str">
        <f aca="false">IF($A50="","",IF(SUMPRODUCT(('Daily Checklist'!$D$2:$D$2000=$A50)*(TEXT('Daily Checklist'!$B$2:$B$2000,"yyyy-mm-dd")=TEXT(($B$4+27),"yyyy-mm-dd")))=0,"-",IF(SUMPRODUCT(('Daily Checklist'!$D$2:$D$2000=$A50)*(TEXT('Daily Checklist'!$B$2:$B$2000,"yyyy-mm-dd")=TEXT(($B$4+27),"yyyy-mm-dd"))*('Daily Checklist'!$L$2:$L$2000="Y"))&gt;0,SUMPRODUCT(('Daily Checklist'!$D$2:$D$2000=$A50)*(TEXT('Daily Checklist'!$B$2:$B$2000,"yyyy-mm-dd")=TEXT(($B$4+27),"yyyy-mm-dd"))*('Daily Checklist'!$F$2:$F$2000="Done"))&amp;"/"&amp;SUMPRODUCT(('Daily Checklist'!$D$2:$D$2000=$A50)*(TEXT('Daily Checklist'!$B$2:$B$2000,"yyyy-mm-dd")=TEXT(($B$4+27),"yyyy-mm-dd")))&amp;" ESC",SUMPRODUCT(('Daily Checklist'!$D$2:$D$2000=$A50)*(TEXT('Daily Checklist'!$B$2:$B$2000,"yyyy-mm-dd")=TEXT(($B$4+27),"yyyy-mm-dd"))*('Daily Checklist'!$F$2:$F$2000="Done"))&amp;"/"&amp;SUMPRODUCT(('Daily Checklist'!$D$2:$D$2000=$A50)*(TEXT('Daily Checklist'!$B$2:$B$2000,"yyyy-mm-dd")=TEXT(($B$4+27),"yyyy-mm-dd"))))))</f>
        <v/>
      </c>
      <c r="AD50" s="25" t="str">
        <f aca="false">IF($A50="","",IF(SUMPRODUCT(('Daily Checklist'!$D$2:$D$2000=$A50)*(TEXT('Daily Checklist'!$B$2:$B$2000,"yyyy-mm-dd")=TEXT(($B$4+28),"yyyy-mm-dd")))=0,"-",IF(SUMPRODUCT(('Daily Checklist'!$D$2:$D$2000=$A50)*(TEXT('Daily Checklist'!$B$2:$B$2000,"yyyy-mm-dd")=TEXT(($B$4+28),"yyyy-mm-dd"))*('Daily Checklist'!$L$2:$L$2000="Y"))&gt;0,SUMPRODUCT(('Daily Checklist'!$D$2:$D$2000=$A50)*(TEXT('Daily Checklist'!$B$2:$B$2000,"yyyy-mm-dd")=TEXT(($B$4+28),"yyyy-mm-dd"))*('Daily Checklist'!$F$2:$F$2000="Done"))&amp;"/"&amp;SUMPRODUCT(('Daily Checklist'!$D$2:$D$2000=$A50)*(TEXT('Daily Checklist'!$B$2:$B$2000,"yyyy-mm-dd")=TEXT(($B$4+28),"yyyy-mm-dd")))&amp;" ESC",SUMPRODUCT(('Daily Checklist'!$D$2:$D$2000=$A50)*(TEXT('Daily Checklist'!$B$2:$B$2000,"yyyy-mm-dd")=TEXT(($B$4+28),"yyyy-mm-dd"))*('Daily Checklist'!$F$2:$F$2000="Done"))&amp;"/"&amp;SUMPRODUCT(('Daily Checklist'!$D$2:$D$2000=$A50)*(TEXT('Daily Checklist'!$B$2:$B$2000,"yyyy-mm-dd")=TEXT(($B$4+28),"yyyy-mm-dd"))))))</f>
        <v/>
      </c>
      <c r="AE50" s="25" t="str">
        <f aca="false">IF($A50="","",IF(SUMPRODUCT(('Daily Checklist'!$D$2:$D$2000=$A50)*(TEXT('Daily Checklist'!$B$2:$B$2000,"yyyy-mm-dd")=TEXT(($B$4+29),"yyyy-mm-dd")))=0,"-",IF(SUMPRODUCT(('Daily Checklist'!$D$2:$D$2000=$A50)*(TEXT('Daily Checklist'!$B$2:$B$2000,"yyyy-mm-dd")=TEXT(($B$4+29),"yyyy-mm-dd"))*('Daily Checklist'!$L$2:$L$2000="Y"))&gt;0,SUMPRODUCT(('Daily Checklist'!$D$2:$D$2000=$A50)*(TEXT('Daily Checklist'!$B$2:$B$2000,"yyyy-mm-dd")=TEXT(($B$4+29),"yyyy-mm-dd"))*('Daily Checklist'!$F$2:$F$2000="Done"))&amp;"/"&amp;SUMPRODUCT(('Daily Checklist'!$D$2:$D$2000=$A50)*(TEXT('Daily Checklist'!$B$2:$B$2000,"yyyy-mm-dd")=TEXT(($B$4+29),"yyyy-mm-dd")))&amp;" ESC",SUMPRODUCT(('Daily Checklist'!$D$2:$D$2000=$A50)*(TEXT('Daily Checklist'!$B$2:$B$2000,"yyyy-mm-dd")=TEXT(($B$4+29),"yyyy-mm-dd"))*('Daily Checklist'!$F$2:$F$2000="Done"))&amp;"/"&amp;SUMPRODUCT(('Daily Checklist'!$D$2:$D$2000=$A50)*(TEXT('Daily Checklist'!$B$2:$B$2000,"yyyy-mm-dd")=TEXT(($B$4+29),"yyyy-mm-dd"))))))</f>
        <v/>
      </c>
      <c r="AF50" s="25" t="str">
        <f aca="false">IF($A50="","",IF(SUMPRODUCT(('Daily Checklist'!$D$2:$D$2000=$A50)*(TEXT('Daily Checklist'!$B$2:$B$2000,"yyyy-mm-dd")=TEXT(($B$4+30),"yyyy-mm-dd")))=0,"-",IF(SUMPRODUCT(('Daily Checklist'!$D$2:$D$2000=$A50)*(TEXT('Daily Checklist'!$B$2:$B$2000,"yyyy-mm-dd")=TEXT(($B$4+30),"yyyy-mm-dd"))*('Daily Checklist'!$L$2:$L$2000="Y"))&gt;0,SUMPRODUCT(('Daily Checklist'!$D$2:$D$2000=$A50)*(TEXT('Daily Checklist'!$B$2:$B$2000,"yyyy-mm-dd")=TEXT(($B$4+30),"yyyy-mm-dd"))*('Daily Checklist'!$F$2:$F$2000="Done"))&amp;"/"&amp;SUMPRODUCT(('Daily Checklist'!$D$2:$D$2000=$A50)*(TEXT('Daily Checklist'!$B$2:$B$2000,"yyyy-mm-dd")=TEXT(($B$4+30),"yyyy-mm-dd")))&amp;" ESC",SUMPRODUCT(('Daily Checklist'!$D$2:$D$2000=$A50)*(TEXT('Daily Checklist'!$B$2:$B$2000,"yyyy-mm-dd")=TEXT(($B$4+30),"yyyy-mm-dd"))*('Daily Checklist'!$F$2:$F$2000="Done"))&amp;"/"&amp;SUMPRODUCT(('Daily Checklist'!$D$2:$D$2000=$A50)*(TEXT('Daily Checklist'!$B$2:$B$2000,"yyyy-mm-dd")=TEXT(($B$4+30),"yyyy-mm-dd"))))))</f>
        <v/>
      </c>
    </row>
    <row r="51" customFormat="false" ht="15" hidden="false" customHeight="true" outlineLevel="0" collapsed="false">
      <c r="A51" s="24" t="str">
        <f aca="false">IFERROR(IF(Employees!A46="","",Employees!A46),"")</f>
        <v/>
      </c>
      <c r="B51" s="25" t="str">
        <f aca="false">IF($A51="","",IF(SUMPRODUCT(('Daily Checklist'!$D$2:$D$2000=$A51)*(TEXT('Daily Checklist'!$B$2:$B$2000,"yyyy-mm-dd")=TEXT(($B$4+0),"yyyy-mm-dd")))=0,"-",IF(SUMPRODUCT(('Daily Checklist'!$D$2:$D$2000=$A51)*(TEXT('Daily Checklist'!$B$2:$B$2000,"yyyy-mm-dd")=TEXT(($B$4+0),"yyyy-mm-dd"))*('Daily Checklist'!$L$2:$L$2000="Y"))&gt;0,SUMPRODUCT(('Daily Checklist'!$D$2:$D$2000=$A51)*(TEXT('Daily Checklist'!$B$2:$B$2000,"yyyy-mm-dd")=TEXT(($B$4+0),"yyyy-mm-dd"))*('Daily Checklist'!$F$2:$F$2000="Done"))&amp;"/"&amp;SUMPRODUCT(('Daily Checklist'!$D$2:$D$2000=$A51)*(TEXT('Daily Checklist'!$B$2:$B$2000,"yyyy-mm-dd")=TEXT(($B$4+0),"yyyy-mm-dd")))&amp;" ESC",SUMPRODUCT(('Daily Checklist'!$D$2:$D$2000=$A51)*(TEXT('Daily Checklist'!$B$2:$B$2000,"yyyy-mm-dd")=TEXT(($B$4+0),"yyyy-mm-dd"))*('Daily Checklist'!$F$2:$F$2000="Done"))&amp;"/"&amp;SUMPRODUCT(('Daily Checklist'!$D$2:$D$2000=$A51)*(TEXT('Daily Checklist'!$B$2:$B$2000,"yyyy-mm-dd")=TEXT(($B$4+0),"yyyy-mm-dd"))))))</f>
        <v/>
      </c>
      <c r="C51" s="25" t="str">
        <f aca="false">IF($A51="","",IF(SUMPRODUCT(('Daily Checklist'!$D$2:$D$2000=$A51)*(TEXT('Daily Checklist'!$B$2:$B$2000,"yyyy-mm-dd")=TEXT(($B$4+1),"yyyy-mm-dd")))=0,"-",IF(SUMPRODUCT(('Daily Checklist'!$D$2:$D$2000=$A51)*(TEXT('Daily Checklist'!$B$2:$B$2000,"yyyy-mm-dd")=TEXT(($B$4+1),"yyyy-mm-dd"))*('Daily Checklist'!$L$2:$L$2000="Y"))&gt;0,SUMPRODUCT(('Daily Checklist'!$D$2:$D$2000=$A51)*(TEXT('Daily Checklist'!$B$2:$B$2000,"yyyy-mm-dd")=TEXT(($B$4+1),"yyyy-mm-dd"))*('Daily Checklist'!$F$2:$F$2000="Done"))&amp;"/"&amp;SUMPRODUCT(('Daily Checklist'!$D$2:$D$2000=$A51)*(TEXT('Daily Checklist'!$B$2:$B$2000,"yyyy-mm-dd")=TEXT(($B$4+1),"yyyy-mm-dd")))&amp;" ESC",SUMPRODUCT(('Daily Checklist'!$D$2:$D$2000=$A51)*(TEXT('Daily Checklist'!$B$2:$B$2000,"yyyy-mm-dd")=TEXT(($B$4+1),"yyyy-mm-dd"))*('Daily Checklist'!$F$2:$F$2000="Done"))&amp;"/"&amp;SUMPRODUCT(('Daily Checklist'!$D$2:$D$2000=$A51)*(TEXT('Daily Checklist'!$B$2:$B$2000,"yyyy-mm-dd")=TEXT(($B$4+1),"yyyy-mm-dd"))))))</f>
        <v/>
      </c>
      <c r="D51" s="25" t="str">
        <f aca="false">IF($A51="","",IF(SUMPRODUCT(('Daily Checklist'!$D$2:$D$2000=$A51)*(TEXT('Daily Checklist'!$B$2:$B$2000,"yyyy-mm-dd")=TEXT(($B$4+2),"yyyy-mm-dd")))=0,"-",IF(SUMPRODUCT(('Daily Checklist'!$D$2:$D$2000=$A51)*(TEXT('Daily Checklist'!$B$2:$B$2000,"yyyy-mm-dd")=TEXT(($B$4+2),"yyyy-mm-dd"))*('Daily Checklist'!$L$2:$L$2000="Y"))&gt;0,SUMPRODUCT(('Daily Checklist'!$D$2:$D$2000=$A51)*(TEXT('Daily Checklist'!$B$2:$B$2000,"yyyy-mm-dd")=TEXT(($B$4+2),"yyyy-mm-dd"))*('Daily Checklist'!$F$2:$F$2000="Done"))&amp;"/"&amp;SUMPRODUCT(('Daily Checklist'!$D$2:$D$2000=$A51)*(TEXT('Daily Checklist'!$B$2:$B$2000,"yyyy-mm-dd")=TEXT(($B$4+2),"yyyy-mm-dd")))&amp;" ESC",SUMPRODUCT(('Daily Checklist'!$D$2:$D$2000=$A51)*(TEXT('Daily Checklist'!$B$2:$B$2000,"yyyy-mm-dd")=TEXT(($B$4+2),"yyyy-mm-dd"))*('Daily Checklist'!$F$2:$F$2000="Done"))&amp;"/"&amp;SUMPRODUCT(('Daily Checklist'!$D$2:$D$2000=$A51)*(TEXT('Daily Checklist'!$B$2:$B$2000,"yyyy-mm-dd")=TEXT(($B$4+2),"yyyy-mm-dd"))))))</f>
        <v/>
      </c>
      <c r="E51" s="25" t="str">
        <f aca="false">IF($A51="","",IF(SUMPRODUCT(('Daily Checklist'!$D$2:$D$2000=$A51)*(TEXT('Daily Checklist'!$B$2:$B$2000,"yyyy-mm-dd")=TEXT(($B$4+3),"yyyy-mm-dd")))=0,"-",IF(SUMPRODUCT(('Daily Checklist'!$D$2:$D$2000=$A51)*(TEXT('Daily Checklist'!$B$2:$B$2000,"yyyy-mm-dd")=TEXT(($B$4+3),"yyyy-mm-dd"))*('Daily Checklist'!$L$2:$L$2000="Y"))&gt;0,SUMPRODUCT(('Daily Checklist'!$D$2:$D$2000=$A51)*(TEXT('Daily Checklist'!$B$2:$B$2000,"yyyy-mm-dd")=TEXT(($B$4+3),"yyyy-mm-dd"))*('Daily Checklist'!$F$2:$F$2000="Done"))&amp;"/"&amp;SUMPRODUCT(('Daily Checklist'!$D$2:$D$2000=$A51)*(TEXT('Daily Checklist'!$B$2:$B$2000,"yyyy-mm-dd")=TEXT(($B$4+3),"yyyy-mm-dd")))&amp;" ESC",SUMPRODUCT(('Daily Checklist'!$D$2:$D$2000=$A51)*(TEXT('Daily Checklist'!$B$2:$B$2000,"yyyy-mm-dd")=TEXT(($B$4+3),"yyyy-mm-dd"))*('Daily Checklist'!$F$2:$F$2000="Done"))&amp;"/"&amp;SUMPRODUCT(('Daily Checklist'!$D$2:$D$2000=$A51)*(TEXT('Daily Checklist'!$B$2:$B$2000,"yyyy-mm-dd")=TEXT(($B$4+3),"yyyy-mm-dd"))))))</f>
        <v/>
      </c>
      <c r="F51" s="25" t="str">
        <f aca="false">IF($A51="","",IF(SUMPRODUCT(('Daily Checklist'!$D$2:$D$2000=$A51)*(TEXT('Daily Checklist'!$B$2:$B$2000,"yyyy-mm-dd")=TEXT(($B$4+4),"yyyy-mm-dd")))=0,"-",IF(SUMPRODUCT(('Daily Checklist'!$D$2:$D$2000=$A51)*(TEXT('Daily Checklist'!$B$2:$B$2000,"yyyy-mm-dd")=TEXT(($B$4+4),"yyyy-mm-dd"))*('Daily Checklist'!$L$2:$L$2000="Y"))&gt;0,SUMPRODUCT(('Daily Checklist'!$D$2:$D$2000=$A51)*(TEXT('Daily Checklist'!$B$2:$B$2000,"yyyy-mm-dd")=TEXT(($B$4+4),"yyyy-mm-dd"))*('Daily Checklist'!$F$2:$F$2000="Done"))&amp;"/"&amp;SUMPRODUCT(('Daily Checklist'!$D$2:$D$2000=$A51)*(TEXT('Daily Checklist'!$B$2:$B$2000,"yyyy-mm-dd")=TEXT(($B$4+4),"yyyy-mm-dd")))&amp;" ESC",SUMPRODUCT(('Daily Checklist'!$D$2:$D$2000=$A51)*(TEXT('Daily Checklist'!$B$2:$B$2000,"yyyy-mm-dd")=TEXT(($B$4+4),"yyyy-mm-dd"))*('Daily Checklist'!$F$2:$F$2000="Done"))&amp;"/"&amp;SUMPRODUCT(('Daily Checklist'!$D$2:$D$2000=$A51)*(TEXT('Daily Checklist'!$B$2:$B$2000,"yyyy-mm-dd")=TEXT(($B$4+4),"yyyy-mm-dd"))))))</f>
        <v/>
      </c>
      <c r="G51" s="25" t="str">
        <f aca="false">IF($A51="","",IF(SUMPRODUCT(('Daily Checklist'!$D$2:$D$2000=$A51)*(TEXT('Daily Checklist'!$B$2:$B$2000,"yyyy-mm-dd")=TEXT(($B$4+5),"yyyy-mm-dd")))=0,"-",IF(SUMPRODUCT(('Daily Checklist'!$D$2:$D$2000=$A51)*(TEXT('Daily Checklist'!$B$2:$B$2000,"yyyy-mm-dd")=TEXT(($B$4+5),"yyyy-mm-dd"))*('Daily Checklist'!$L$2:$L$2000="Y"))&gt;0,SUMPRODUCT(('Daily Checklist'!$D$2:$D$2000=$A51)*(TEXT('Daily Checklist'!$B$2:$B$2000,"yyyy-mm-dd")=TEXT(($B$4+5),"yyyy-mm-dd"))*('Daily Checklist'!$F$2:$F$2000="Done"))&amp;"/"&amp;SUMPRODUCT(('Daily Checklist'!$D$2:$D$2000=$A51)*(TEXT('Daily Checklist'!$B$2:$B$2000,"yyyy-mm-dd")=TEXT(($B$4+5),"yyyy-mm-dd")))&amp;" ESC",SUMPRODUCT(('Daily Checklist'!$D$2:$D$2000=$A51)*(TEXT('Daily Checklist'!$B$2:$B$2000,"yyyy-mm-dd")=TEXT(($B$4+5),"yyyy-mm-dd"))*('Daily Checklist'!$F$2:$F$2000="Done"))&amp;"/"&amp;SUMPRODUCT(('Daily Checklist'!$D$2:$D$2000=$A51)*(TEXT('Daily Checklist'!$B$2:$B$2000,"yyyy-mm-dd")=TEXT(($B$4+5),"yyyy-mm-dd"))))))</f>
        <v/>
      </c>
      <c r="H51" s="25" t="str">
        <f aca="false">IF($A51="","",IF(SUMPRODUCT(('Daily Checklist'!$D$2:$D$2000=$A51)*(TEXT('Daily Checklist'!$B$2:$B$2000,"yyyy-mm-dd")=TEXT(($B$4+6),"yyyy-mm-dd")))=0,"-",IF(SUMPRODUCT(('Daily Checklist'!$D$2:$D$2000=$A51)*(TEXT('Daily Checklist'!$B$2:$B$2000,"yyyy-mm-dd")=TEXT(($B$4+6),"yyyy-mm-dd"))*('Daily Checklist'!$L$2:$L$2000="Y"))&gt;0,SUMPRODUCT(('Daily Checklist'!$D$2:$D$2000=$A51)*(TEXT('Daily Checklist'!$B$2:$B$2000,"yyyy-mm-dd")=TEXT(($B$4+6),"yyyy-mm-dd"))*('Daily Checklist'!$F$2:$F$2000="Done"))&amp;"/"&amp;SUMPRODUCT(('Daily Checklist'!$D$2:$D$2000=$A51)*(TEXT('Daily Checklist'!$B$2:$B$2000,"yyyy-mm-dd")=TEXT(($B$4+6),"yyyy-mm-dd")))&amp;" ESC",SUMPRODUCT(('Daily Checklist'!$D$2:$D$2000=$A51)*(TEXT('Daily Checklist'!$B$2:$B$2000,"yyyy-mm-dd")=TEXT(($B$4+6),"yyyy-mm-dd"))*('Daily Checklist'!$F$2:$F$2000="Done"))&amp;"/"&amp;SUMPRODUCT(('Daily Checklist'!$D$2:$D$2000=$A51)*(TEXT('Daily Checklist'!$B$2:$B$2000,"yyyy-mm-dd")=TEXT(($B$4+6),"yyyy-mm-dd"))))))</f>
        <v/>
      </c>
      <c r="I51" s="25" t="str">
        <f aca="false">IF($A51="","",IF(SUMPRODUCT(('Daily Checklist'!$D$2:$D$2000=$A51)*(TEXT('Daily Checklist'!$B$2:$B$2000,"yyyy-mm-dd")=TEXT(($B$4+7),"yyyy-mm-dd")))=0,"-",IF(SUMPRODUCT(('Daily Checklist'!$D$2:$D$2000=$A51)*(TEXT('Daily Checklist'!$B$2:$B$2000,"yyyy-mm-dd")=TEXT(($B$4+7),"yyyy-mm-dd"))*('Daily Checklist'!$L$2:$L$2000="Y"))&gt;0,SUMPRODUCT(('Daily Checklist'!$D$2:$D$2000=$A51)*(TEXT('Daily Checklist'!$B$2:$B$2000,"yyyy-mm-dd")=TEXT(($B$4+7),"yyyy-mm-dd"))*('Daily Checklist'!$F$2:$F$2000="Done"))&amp;"/"&amp;SUMPRODUCT(('Daily Checklist'!$D$2:$D$2000=$A51)*(TEXT('Daily Checklist'!$B$2:$B$2000,"yyyy-mm-dd")=TEXT(($B$4+7),"yyyy-mm-dd")))&amp;" ESC",SUMPRODUCT(('Daily Checklist'!$D$2:$D$2000=$A51)*(TEXT('Daily Checklist'!$B$2:$B$2000,"yyyy-mm-dd")=TEXT(($B$4+7),"yyyy-mm-dd"))*('Daily Checklist'!$F$2:$F$2000="Done"))&amp;"/"&amp;SUMPRODUCT(('Daily Checklist'!$D$2:$D$2000=$A51)*(TEXT('Daily Checklist'!$B$2:$B$2000,"yyyy-mm-dd")=TEXT(($B$4+7),"yyyy-mm-dd"))))))</f>
        <v/>
      </c>
      <c r="J51" s="25" t="str">
        <f aca="false">IF($A51="","",IF(SUMPRODUCT(('Daily Checklist'!$D$2:$D$2000=$A51)*(TEXT('Daily Checklist'!$B$2:$B$2000,"yyyy-mm-dd")=TEXT(($B$4+8),"yyyy-mm-dd")))=0,"-",IF(SUMPRODUCT(('Daily Checklist'!$D$2:$D$2000=$A51)*(TEXT('Daily Checklist'!$B$2:$B$2000,"yyyy-mm-dd")=TEXT(($B$4+8),"yyyy-mm-dd"))*('Daily Checklist'!$L$2:$L$2000="Y"))&gt;0,SUMPRODUCT(('Daily Checklist'!$D$2:$D$2000=$A51)*(TEXT('Daily Checklist'!$B$2:$B$2000,"yyyy-mm-dd")=TEXT(($B$4+8),"yyyy-mm-dd"))*('Daily Checklist'!$F$2:$F$2000="Done"))&amp;"/"&amp;SUMPRODUCT(('Daily Checklist'!$D$2:$D$2000=$A51)*(TEXT('Daily Checklist'!$B$2:$B$2000,"yyyy-mm-dd")=TEXT(($B$4+8),"yyyy-mm-dd")))&amp;" ESC",SUMPRODUCT(('Daily Checklist'!$D$2:$D$2000=$A51)*(TEXT('Daily Checklist'!$B$2:$B$2000,"yyyy-mm-dd")=TEXT(($B$4+8),"yyyy-mm-dd"))*('Daily Checklist'!$F$2:$F$2000="Done"))&amp;"/"&amp;SUMPRODUCT(('Daily Checklist'!$D$2:$D$2000=$A51)*(TEXT('Daily Checklist'!$B$2:$B$2000,"yyyy-mm-dd")=TEXT(($B$4+8),"yyyy-mm-dd"))))))</f>
        <v/>
      </c>
      <c r="K51" s="25" t="str">
        <f aca="false">IF($A51="","",IF(SUMPRODUCT(('Daily Checklist'!$D$2:$D$2000=$A51)*(TEXT('Daily Checklist'!$B$2:$B$2000,"yyyy-mm-dd")=TEXT(($B$4+9),"yyyy-mm-dd")))=0,"-",IF(SUMPRODUCT(('Daily Checklist'!$D$2:$D$2000=$A51)*(TEXT('Daily Checklist'!$B$2:$B$2000,"yyyy-mm-dd")=TEXT(($B$4+9),"yyyy-mm-dd"))*('Daily Checklist'!$L$2:$L$2000="Y"))&gt;0,SUMPRODUCT(('Daily Checklist'!$D$2:$D$2000=$A51)*(TEXT('Daily Checklist'!$B$2:$B$2000,"yyyy-mm-dd")=TEXT(($B$4+9),"yyyy-mm-dd"))*('Daily Checklist'!$F$2:$F$2000="Done"))&amp;"/"&amp;SUMPRODUCT(('Daily Checklist'!$D$2:$D$2000=$A51)*(TEXT('Daily Checklist'!$B$2:$B$2000,"yyyy-mm-dd")=TEXT(($B$4+9),"yyyy-mm-dd")))&amp;" ESC",SUMPRODUCT(('Daily Checklist'!$D$2:$D$2000=$A51)*(TEXT('Daily Checklist'!$B$2:$B$2000,"yyyy-mm-dd")=TEXT(($B$4+9),"yyyy-mm-dd"))*('Daily Checklist'!$F$2:$F$2000="Done"))&amp;"/"&amp;SUMPRODUCT(('Daily Checklist'!$D$2:$D$2000=$A51)*(TEXT('Daily Checklist'!$B$2:$B$2000,"yyyy-mm-dd")=TEXT(($B$4+9),"yyyy-mm-dd"))))))</f>
        <v/>
      </c>
      <c r="L51" s="25" t="str">
        <f aca="false">IF($A51="","",IF(SUMPRODUCT(('Daily Checklist'!$D$2:$D$2000=$A51)*(TEXT('Daily Checklist'!$B$2:$B$2000,"yyyy-mm-dd")=TEXT(($B$4+10),"yyyy-mm-dd")))=0,"-",IF(SUMPRODUCT(('Daily Checklist'!$D$2:$D$2000=$A51)*(TEXT('Daily Checklist'!$B$2:$B$2000,"yyyy-mm-dd")=TEXT(($B$4+10),"yyyy-mm-dd"))*('Daily Checklist'!$L$2:$L$2000="Y"))&gt;0,SUMPRODUCT(('Daily Checklist'!$D$2:$D$2000=$A51)*(TEXT('Daily Checklist'!$B$2:$B$2000,"yyyy-mm-dd")=TEXT(($B$4+10),"yyyy-mm-dd"))*('Daily Checklist'!$F$2:$F$2000="Done"))&amp;"/"&amp;SUMPRODUCT(('Daily Checklist'!$D$2:$D$2000=$A51)*(TEXT('Daily Checklist'!$B$2:$B$2000,"yyyy-mm-dd")=TEXT(($B$4+10),"yyyy-mm-dd")))&amp;" ESC",SUMPRODUCT(('Daily Checklist'!$D$2:$D$2000=$A51)*(TEXT('Daily Checklist'!$B$2:$B$2000,"yyyy-mm-dd")=TEXT(($B$4+10),"yyyy-mm-dd"))*('Daily Checklist'!$F$2:$F$2000="Done"))&amp;"/"&amp;SUMPRODUCT(('Daily Checklist'!$D$2:$D$2000=$A51)*(TEXT('Daily Checklist'!$B$2:$B$2000,"yyyy-mm-dd")=TEXT(($B$4+10),"yyyy-mm-dd"))))))</f>
        <v/>
      </c>
      <c r="M51" s="25" t="str">
        <f aca="false">IF($A51="","",IF(SUMPRODUCT(('Daily Checklist'!$D$2:$D$2000=$A51)*(TEXT('Daily Checklist'!$B$2:$B$2000,"yyyy-mm-dd")=TEXT(($B$4+11),"yyyy-mm-dd")))=0,"-",IF(SUMPRODUCT(('Daily Checklist'!$D$2:$D$2000=$A51)*(TEXT('Daily Checklist'!$B$2:$B$2000,"yyyy-mm-dd")=TEXT(($B$4+11),"yyyy-mm-dd"))*('Daily Checklist'!$L$2:$L$2000="Y"))&gt;0,SUMPRODUCT(('Daily Checklist'!$D$2:$D$2000=$A51)*(TEXT('Daily Checklist'!$B$2:$B$2000,"yyyy-mm-dd")=TEXT(($B$4+11),"yyyy-mm-dd"))*('Daily Checklist'!$F$2:$F$2000="Done"))&amp;"/"&amp;SUMPRODUCT(('Daily Checklist'!$D$2:$D$2000=$A51)*(TEXT('Daily Checklist'!$B$2:$B$2000,"yyyy-mm-dd")=TEXT(($B$4+11),"yyyy-mm-dd")))&amp;" ESC",SUMPRODUCT(('Daily Checklist'!$D$2:$D$2000=$A51)*(TEXT('Daily Checklist'!$B$2:$B$2000,"yyyy-mm-dd")=TEXT(($B$4+11),"yyyy-mm-dd"))*('Daily Checklist'!$F$2:$F$2000="Done"))&amp;"/"&amp;SUMPRODUCT(('Daily Checklist'!$D$2:$D$2000=$A51)*(TEXT('Daily Checklist'!$B$2:$B$2000,"yyyy-mm-dd")=TEXT(($B$4+11),"yyyy-mm-dd"))))))</f>
        <v/>
      </c>
      <c r="N51" s="25" t="str">
        <f aca="false">IF($A51="","",IF(SUMPRODUCT(('Daily Checklist'!$D$2:$D$2000=$A51)*(TEXT('Daily Checklist'!$B$2:$B$2000,"yyyy-mm-dd")=TEXT(($B$4+12),"yyyy-mm-dd")))=0,"-",IF(SUMPRODUCT(('Daily Checklist'!$D$2:$D$2000=$A51)*(TEXT('Daily Checklist'!$B$2:$B$2000,"yyyy-mm-dd")=TEXT(($B$4+12),"yyyy-mm-dd"))*('Daily Checklist'!$L$2:$L$2000="Y"))&gt;0,SUMPRODUCT(('Daily Checklist'!$D$2:$D$2000=$A51)*(TEXT('Daily Checklist'!$B$2:$B$2000,"yyyy-mm-dd")=TEXT(($B$4+12),"yyyy-mm-dd"))*('Daily Checklist'!$F$2:$F$2000="Done"))&amp;"/"&amp;SUMPRODUCT(('Daily Checklist'!$D$2:$D$2000=$A51)*(TEXT('Daily Checklist'!$B$2:$B$2000,"yyyy-mm-dd")=TEXT(($B$4+12),"yyyy-mm-dd")))&amp;" ESC",SUMPRODUCT(('Daily Checklist'!$D$2:$D$2000=$A51)*(TEXT('Daily Checklist'!$B$2:$B$2000,"yyyy-mm-dd")=TEXT(($B$4+12),"yyyy-mm-dd"))*('Daily Checklist'!$F$2:$F$2000="Done"))&amp;"/"&amp;SUMPRODUCT(('Daily Checklist'!$D$2:$D$2000=$A51)*(TEXT('Daily Checklist'!$B$2:$B$2000,"yyyy-mm-dd")=TEXT(($B$4+12),"yyyy-mm-dd"))))))</f>
        <v/>
      </c>
      <c r="O51" s="25" t="str">
        <f aca="false">IF($A51="","",IF(SUMPRODUCT(('Daily Checklist'!$D$2:$D$2000=$A51)*(TEXT('Daily Checklist'!$B$2:$B$2000,"yyyy-mm-dd")=TEXT(($B$4+13),"yyyy-mm-dd")))=0,"-",IF(SUMPRODUCT(('Daily Checklist'!$D$2:$D$2000=$A51)*(TEXT('Daily Checklist'!$B$2:$B$2000,"yyyy-mm-dd")=TEXT(($B$4+13),"yyyy-mm-dd"))*('Daily Checklist'!$L$2:$L$2000="Y"))&gt;0,SUMPRODUCT(('Daily Checklist'!$D$2:$D$2000=$A51)*(TEXT('Daily Checklist'!$B$2:$B$2000,"yyyy-mm-dd")=TEXT(($B$4+13),"yyyy-mm-dd"))*('Daily Checklist'!$F$2:$F$2000="Done"))&amp;"/"&amp;SUMPRODUCT(('Daily Checklist'!$D$2:$D$2000=$A51)*(TEXT('Daily Checklist'!$B$2:$B$2000,"yyyy-mm-dd")=TEXT(($B$4+13),"yyyy-mm-dd")))&amp;" ESC",SUMPRODUCT(('Daily Checklist'!$D$2:$D$2000=$A51)*(TEXT('Daily Checklist'!$B$2:$B$2000,"yyyy-mm-dd")=TEXT(($B$4+13),"yyyy-mm-dd"))*('Daily Checklist'!$F$2:$F$2000="Done"))&amp;"/"&amp;SUMPRODUCT(('Daily Checklist'!$D$2:$D$2000=$A51)*(TEXT('Daily Checklist'!$B$2:$B$2000,"yyyy-mm-dd")=TEXT(($B$4+13),"yyyy-mm-dd"))))))</f>
        <v/>
      </c>
      <c r="P51" s="25" t="str">
        <f aca="false">IF($A51="","",IF(SUMPRODUCT(('Daily Checklist'!$D$2:$D$2000=$A51)*(TEXT('Daily Checklist'!$B$2:$B$2000,"yyyy-mm-dd")=TEXT(($B$4+14),"yyyy-mm-dd")))=0,"-",IF(SUMPRODUCT(('Daily Checklist'!$D$2:$D$2000=$A51)*(TEXT('Daily Checklist'!$B$2:$B$2000,"yyyy-mm-dd")=TEXT(($B$4+14),"yyyy-mm-dd"))*('Daily Checklist'!$L$2:$L$2000="Y"))&gt;0,SUMPRODUCT(('Daily Checklist'!$D$2:$D$2000=$A51)*(TEXT('Daily Checklist'!$B$2:$B$2000,"yyyy-mm-dd")=TEXT(($B$4+14),"yyyy-mm-dd"))*('Daily Checklist'!$F$2:$F$2000="Done"))&amp;"/"&amp;SUMPRODUCT(('Daily Checklist'!$D$2:$D$2000=$A51)*(TEXT('Daily Checklist'!$B$2:$B$2000,"yyyy-mm-dd")=TEXT(($B$4+14),"yyyy-mm-dd")))&amp;" ESC",SUMPRODUCT(('Daily Checklist'!$D$2:$D$2000=$A51)*(TEXT('Daily Checklist'!$B$2:$B$2000,"yyyy-mm-dd")=TEXT(($B$4+14),"yyyy-mm-dd"))*('Daily Checklist'!$F$2:$F$2000="Done"))&amp;"/"&amp;SUMPRODUCT(('Daily Checklist'!$D$2:$D$2000=$A51)*(TEXT('Daily Checklist'!$B$2:$B$2000,"yyyy-mm-dd")=TEXT(($B$4+14),"yyyy-mm-dd"))))))</f>
        <v/>
      </c>
      <c r="Q51" s="25" t="str">
        <f aca="false">IF($A51="","",IF(SUMPRODUCT(('Daily Checklist'!$D$2:$D$2000=$A51)*(TEXT('Daily Checklist'!$B$2:$B$2000,"yyyy-mm-dd")=TEXT(($B$4+15),"yyyy-mm-dd")))=0,"-",IF(SUMPRODUCT(('Daily Checklist'!$D$2:$D$2000=$A51)*(TEXT('Daily Checklist'!$B$2:$B$2000,"yyyy-mm-dd")=TEXT(($B$4+15),"yyyy-mm-dd"))*('Daily Checklist'!$L$2:$L$2000="Y"))&gt;0,SUMPRODUCT(('Daily Checklist'!$D$2:$D$2000=$A51)*(TEXT('Daily Checklist'!$B$2:$B$2000,"yyyy-mm-dd")=TEXT(($B$4+15),"yyyy-mm-dd"))*('Daily Checklist'!$F$2:$F$2000="Done"))&amp;"/"&amp;SUMPRODUCT(('Daily Checklist'!$D$2:$D$2000=$A51)*(TEXT('Daily Checklist'!$B$2:$B$2000,"yyyy-mm-dd")=TEXT(($B$4+15),"yyyy-mm-dd")))&amp;" ESC",SUMPRODUCT(('Daily Checklist'!$D$2:$D$2000=$A51)*(TEXT('Daily Checklist'!$B$2:$B$2000,"yyyy-mm-dd")=TEXT(($B$4+15),"yyyy-mm-dd"))*('Daily Checklist'!$F$2:$F$2000="Done"))&amp;"/"&amp;SUMPRODUCT(('Daily Checklist'!$D$2:$D$2000=$A51)*(TEXT('Daily Checklist'!$B$2:$B$2000,"yyyy-mm-dd")=TEXT(($B$4+15),"yyyy-mm-dd"))))))</f>
        <v/>
      </c>
      <c r="R51" s="25" t="str">
        <f aca="false">IF($A51="","",IF(SUMPRODUCT(('Daily Checklist'!$D$2:$D$2000=$A51)*(TEXT('Daily Checklist'!$B$2:$B$2000,"yyyy-mm-dd")=TEXT(($B$4+16),"yyyy-mm-dd")))=0,"-",IF(SUMPRODUCT(('Daily Checklist'!$D$2:$D$2000=$A51)*(TEXT('Daily Checklist'!$B$2:$B$2000,"yyyy-mm-dd")=TEXT(($B$4+16),"yyyy-mm-dd"))*('Daily Checklist'!$L$2:$L$2000="Y"))&gt;0,SUMPRODUCT(('Daily Checklist'!$D$2:$D$2000=$A51)*(TEXT('Daily Checklist'!$B$2:$B$2000,"yyyy-mm-dd")=TEXT(($B$4+16),"yyyy-mm-dd"))*('Daily Checklist'!$F$2:$F$2000="Done"))&amp;"/"&amp;SUMPRODUCT(('Daily Checklist'!$D$2:$D$2000=$A51)*(TEXT('Daily Checklist'!$B$2:$B$2000,"yyyy-mm-dd")=TEXT(($B$4+16),"yyyy-mm-dd")))&amp;" ESC",SUMPRODUCT(('Daily Checklist'!$D$2:$D$2000=$A51)*(TEXT('Daily Checklist'!$B$2:$B$2000,"yyyy-mm-dd")=TEXT(($B$4+16),"yyyy-mm-dd"))*('Daily Checklist'!$F$2:$F$2000="Done"))&amp;"/"&amp;SUMPRODUCT(('Daily Checklist'!$D$2:$D$2000=$A51)*(TEXT('Daily Checklist'!$B$2:$B$2000,"yyyy-mm-dd")=TEXT(($B$4+16),"yyyy-mm-dd"))))))</f>
        <v/>
      </c>
      <c r="S51" s="25" t="str">
        <f aca="false">IF($A51="","",IF(SUMPRODUCT(('Daily Checklist'!$D$2:$D$2000=$A51)*(TEXT('Daily Checklist'!$B$2:$B$2000,"yyyy-mm-dd")=TEXT(($B$4+17),"yyyy-mm-dd")))=0,"-",IF(SUMPRODUCT(('Daily Checklist'!$D$2:$D$2000=$A51)*(TEXT('Daily Checklist'!$B$2:$B$2000,"yyyy-mm-dd")=TEXT(($B$4+17),"yyyy-mm-dd"))*('Daily Checklist'!$L$2:$L$2000="Y"))&gt;0,SUMPRODUCT(('Daily Checklist'!$D$2:$D$2000=$A51)*(TEXT('Daily Checklist'!$B$2:$B$2000,"yyyy-mm-dd")=TEXT(($B$4+17),"yyyy-mm-dd"))*('Daily Checklist'!$F$2:$F$2000="Done"))&amp;"/"&amp;SUMPRODUCT(('Daily Checklist'!$D$2:$D$2000=$A51)*(TEXT('Daily Checklist'!$B$2:$B$2000,"yyyy-mm-dd")=TEXT(($B$4+17),"yyyy-mm-dd")))&amp;" ESC",SUMPRODUCT(('Daily Checklist'!$D$2:$D$2000=$A51)*(TEXT('Daily Checklist'!$B$2:$B$2000,"yyyy-mm-dd")=TEXT(($B$4+17),"yyyy-mm-dd"))*('Daily Checklist'!$F$2:$F$2000="Done"))&amp;"/"&amp;SUMPRODUCT(('Daily Checklist'!$D$2:$D$2000=$A51)*(TEXT('Daily Checklist'!$B$2:$B$2000,"yyyy-mm-dd")=TEXT(($B$4+17),"yyyy-mm-dd"))))))</f>
        <v/>
      </c>
      <c r="T51" s="25" t="str">
        <f aca="false">IF($A51="","",IF(SUMPRODUCT(('Daily Checklist'!$D$2:$D$2000=$A51)*(TEXT('Daily Checklist'!$B$2:$B$2000,"yyyy-mm-dd")=TEXT(($B$4+18),"yyyy-mm-dd")))=0,"-",IF(SUMPRODUCT(('Daily Checklist'!$D$2:$D$2000=$A51)*(TEXT('Daily Checklist'!$B$2:$B$2000,"yyyy-mm-dd")=TEXT(($B$4+18),"yyyy-mm-dd"))*('Daily Checklist'!$L$2:$L$2000="Y"))&gt;0,SUMPRODUCT(('Daily Checklist'!$D$2:$D$2000=$A51)*(TEXT('Daily Checklist'!$B$2:$B$2000,"yyyy-mm-dd")=TEXT(($B$4+18),"yyyy-mm-dd"))*('Daily Checklist'!$F$2:$F$2000="Done"))&amp;"/"&amp;SUMPRODUCT(('Daily Checklist'!$D$2:$D$2000=$A51)*(TEXT('Daily Checklist'!$B$2:$B$2000,"yyyy-mm-dd")=TEXT(($B$4+18),"yyyy-mm-dd")))&amp;" ESC",SUMPRODUCT(('Daily Checklist'!$D$2:$D$2000=$A51)*(TEXT('Daily Checklist'!$B$2:$B$2000,"yyyy-mm-dd")=TEXT(($B$4+18),"yyyy-mm-dd"))*('Daily Checklist'!$F$2:$F$2000="Done"))&amp;"/"&amp;SUMPRODUCT(('Daily Checklist'!$D$2:$D$2000=$A51)*(TEXT('Daily Checklist'!$B$2:$B$2000,"yyyy-mm-dd")=TEXT(($B$4+18),"yyyy-mm-dd"))))))</f>
        <v/>
      </c>
      <c r="U51" s="25" t="str">
        <f aca="false">IF($A51="","",IF(SUMPRODUCT(('Daily Checklist'!$D$2:$D$2000=$A51)*(TEXT('Daily Checklist'!$B$2:$B$2000,"yyyy-mm-dd")=TEXT(($B$4+19),"yyyy-mm-dd")))=0,"-",IF(SUMPRODUCT(('Daily Checklist'!$D$2:$D$2000=$A51)*(TEXT('Daily Checklist'!$B$2:$B$2000,"yyyy-mm-dd")=TEXT(($B$4+19),"yyyy-mm-dd"))*('Daily Checklist'!$L$2:$L$2000="Y"))&gt;0,SUMPRODUCT(('Daily Checklist'!$D$2:$D$2000=$A51)*(TEXT('Daily Checklist'!$B$2:$B$2000,"yyyy-mm-dd")=TEXT(($B$4+19),"yyyy-mm-dd"))*('Daily Checklist'!$F$2:$F$2000="Done"))&amp;"/"&amp;SUMPRODUCT(('Daily Checklist'!$D$2:$D$2000=$A51)*(TEXT('Daily Checklist'!$B$2:$B$2000,"yyyy-mm-dd")=TEXT(($B$4+19),"yyyy-mm-dd")))&amp;" ESC",SUMPRODUCT(('Daily Checklist'!$D$2:$D$2000=$A51)*(TEXT('Daily Checklist'!$B$2:$B$2000,"yyyy-mm-dd")=TEXT(($B$4+19),"yyyy-mm-dd"))*('Daily Checklist'!$F$2:$F$2000="Done"))&amp;"/"&amp;SUMPRODUCT(('Daily Checklist'!$D$2:$D$2000=$A51)*(TEXT('Daily Checklist'!$B$2:$B$2000,"yyyy-mm-dd")=TEXT(($B$4+19),"yyyy-mm-dd"))))))</f>
        <v/>
      </c>
      <c r="V51" s="25" t="str">
        <f aca="false">IF($A51="","",IF(SUMPRODUCT(('Daily Checklist'!$D$2:$D$2000=$A51)*(TEXT('Daily Checklist'!$B$2:$B$2000,"yyyy-mm-dd")=TEXT(($B$4+20),"yyyy-mm-dd")))=0,"-",IF(SUMPRODUCT(('Daily Checklist'!$D$2:$D$2000=$A51)*(TEXT('Daily Checklist'!$B$2:$B$2000,"yyyy-mm-dd")=TEXT(($B$4+20),"yyyy-mm-dd"))*('Daily Checklist'!$L$2:$L$2000="Y"))&gt;0,SUMPRODUCT(('Daily Checklist'!$D$2:$D$2000=$A51)*(TEXT('Daily Checklist'!$B$2:$B$2000,"yyyy-mm-dd")=TEXT(($B$4+20),"yyyy-mm-dd"))*('Daily Checklist'!$F$2:$F$2000="Done"))&amp;"/"&amp;SUMPRODUCT(('Daily Checklist'!$D$2:$D$2000=$A51)*(TEXT('Daily Checklist'!$B$2:$B$2000,"yyyy-mm-dd")=TEXT(($B$4+20),"yyyy-mm-dd")))&amp;" ESC",SUMPRODUCT(('Daily Checklist'!$D$2:$D$2000=$A51)*(TEXT('Daily Checklist'!$B$2:$B$2000,"yyyy-mm-dd")=TEXT(($B$4+20),"yyyy-mm-dd"))*('Daily Checklist'!$F$2:$F$2000="Done"))&amp;"/"&amp;SUMPRODUCT(('Daily Checklist'!$D$2:$D$2000=$A51)*(TEXT('Daily Checklist'!$B$2:$B$2000,"yyyy-mm-dd")=TEXT(($B$4+20),"yyyy-mm-dd"))))))</f>
        <v/>
      </c>
      <c r="W51" s="25" t="str">
        <f aca="false">IF($A51="","",IF(SUMPRODUCT(('Daily Checklist'!$D$2:$D$2000=$A51)*(TEXT('Daily Checklist'!$B$2:$B$2000,"yyyy-mm-dd")=TEXT(($B$4+21),"yyyy-mm-dd")))=0,"-",IF(SUMPRODUCT(('Daily Checklist'!$D$2:$D$2000=$A51)*(TEXT('Daily Checklist'!$B$2:$B$2000,"yyyy-mm-dd")=TEXT(($B$4+21),"yyyy-mm-dd"))*('Daily Checklist'!$L$2:$L$2000="Y"))&gt;0,SUMPRODUCT(('Daily Checklist'!$D$2:$D$2000=$A51)*(TEXT('Daily Checklist'!$B$2:$B$2000,"yyyy-mm-dd")=TEXT(($B$4+21),"yyyy-mm-dd"))*('Daily Checklist'!$F$2:$F$2000="Done"))&amp;"/"&amp;SUMPRODUCT(('Daily Checklist'!$D$2:$D$2000=$A51)*(TEXT('Daily Checklist'!$B$2:$B$2000,"yyyy-mm-dd")=TEXT(($B$4+21),"yyyy-mm-dd")))&amp;" ESC",SUMPRODUCT(('Daily Checklist'!$D$2:$D$2000=$A51)*(TEXT('Daily Checklist'!$B$2:$B$2000,"yyyy-mm-dd")=TEXT(($B$4+21),"yyyy-mm-dd"))*('Daily Checklist'!$F$2:$F$2000="Done"))&amp;"/"&amp;SUMPRODUCT(('Daily Checklist'!$D$2:$D$2000=$A51)*(TEXT('Daily Checklist'!$B$2:$B$2000,"yyyy-mm-dd")=TEXT(($B$4+21),"yyyy-mm-dd"))))))</f>
        <v/>
      </c>
      <c r="X51" s="25" t="str">
        <f aca="false">IF($A51="","",IF(SUMPRODUCT(('Daily Checklist'!$D$2:$D$2000=$A51)*(TEXT('Daily Checklist'!$B$2:$B$2000,"yyyy-mm-dd")=TEXT(($B$4+22),"yyyy-mm-dd")))=0,"-",IF(SUMPRODUCT(('Daily Checklist'!$D$2:$D$2000=$A51)*(TEXT('Daily Checklist'!$B$2:$B$2000,"yyyy-mm-dd")=TEXT(($B$4+22),"yyyy-mm-dd"))*('Daily Checklist'!$L$2:$L$2000="Y"))&gt;0,SUMPRODUCT(('Daily Checklist'!$D$2:$D$2000=$A51)*(TEXT('Daily Checklist'!$B$2:$B$2000,"yyyy-mm-dd")=TEXT(($B$4+22),"yyyy-mm-dd"))*('Daily Checklist'!$F$2:$F$2000="Done"))&amp;"/"&amp;SUMPRODUCT(('Daily Checklist'!$D$2:$D$2000=$A51)*(TEXT('Daily Checklist'!$B$2:$B$2000,"yyyy-mm-dd")=TEXT(($B$4+22),"yyyy-mm-dd")))&amp;" ESC",SUMPRODUCT(('Daily Checklist'!$D$2:$D$2000=$A51)*(TEXT('Daily Checklist'!$B$2:$B$2000,"yyyy-mm-dd")=TEXT(($B$4+22),"yyyy-mm-dd"))*('Daily Checklist'!$F$2:$F$2000="Done"))&amp;"/"&amp;SUMPRODUCT(('Daily Checklist'!$D$2:$D$2000=$A51)*(TEXT('Daily Checklist'!$B$2:$B$2000,"yyyy-mm-dd")=TEXT(($B$4+22),"yyyy-mm-dd"))))))</f>
        <v/>
      </c>
      <c r="Y51" s="25" t="str">
        <f aca="false">IF($A51="","",IF(SUMPRODUCT(('Daily Checklist'!$D$2:$D$2000=$A51)*(TEXT('Daily Checklist'!$B$2:$B$2000,"yyyy-mm-dd")=TEXT(($B$4+23),"yyyy-mm-dd")))=0,"-",IF(SUMPRODUCT(('Daily Checklist'!$D$2:$D$2000=$A51)*(TEXT('Daily Checklist'!$B$2:$B$2000,"yyyy-mm-dd")=TEXT(($B$4+23),"yyyy-mm-dd"))*('Daily Checklist'!$L$2:$L$2000="Y"))&gt;0,SUMPRODUCT(('Daily Checklist'!$D$2:$D$2000=$A51)*(TEXT('Daily Checklist'!$B$2:$B$2000,"yyyy-mm-dd")=TEXT(($B$4+23),"yyyy-mm-dd"))*('Daily Checklist'!$F$2:$F$2000="Done"))&amp;"/"&amp;SUMPRODUCT(('Daily Checklist'!$D$2:$D$2000=$A51)*(TEXT('Daily Checklist'!$B$2:$B$2000,"yyyy-mm-dd")=TEXT(($B$4+23),"yyyy-mm-dd")))&amp;" ESC",SUMPRODUCT(('Daily Checklist'!$D$2:$D$2000=$A51)*(TEXT('Daily Checklist'!$B$2:$B$2000,"yyyy-mm-dd")=TEXT(($B$4+23),"yyyy-mm-dd"))*('Daily Checklist'!$F$2:$F$2000="Done"))&amp;"/"&amp;SUMPRODUCT(('Daily Checklist'!$D$2:$D$2000=$A51)*(TEXT('Daily Checklist'!$B$2:$B$2000,"yyyy-mm-dd")=TEXT(($B$4+23),"yyyy-mm-dd"))))))</f>
        <v/>
      </c>
      <c r="Z51" s="25" t="str">
        <f aca="false">IF($A51="","",IF(SUMPRODUCT(('Daily Checklist'!$D$2:$D$2000=$A51)*(TEXT('Daily Checklist'!$B$2:$B$2000,"yyyy-mm-dd")=TEXT(($B$4+24),"yyyy-mm-dd")))=0,"-",IF(SUMPRODUCT(('Daily Checklist'!$D$2:$D$2000=$A51)*(TEXT('Daily Checklist'!$B$2:$B$2000,"yyyy-mm-dd")=TEXT(($B$4+24),"yyyy-mm-dd"))*('Daily Checklist'!$L$2:$L$2000="Y"))&gt;0,SUMPRODUCT(('Daily Checklist'!$D$2:$D$2000=$A51)*(TEXT('Daily Checklist'!$B$2:$B$2000,"yyyy-mm-dd")=TEXT(($B$4+24),"yyyy-mm-dd"))*('Daily Checklist'!$F$2:$F$2000="Done"))&amp;"/"&amp;SUMPRODUCT(('Daily Checklist'!$D$2:$D$2000=$A51)*(TEXT('Daily Checklist'!$B$2:$B$2000,"yyyy-mm-dd")=TEXT(($B$4+24),"yyyy-mm-dd")))&amp;" ESC",SUMPRODUCT(('Daily Checklist'!$D$2:$D$2000=$A51)*(TEXT('Daily Checklist'!$B$2:$B$2000,"yyyy-mm-dd")=TEXT(($B$4+24),"yyyy-mm-dd"))*('Daily Checklist'!$F$2:$F$2000="Done"))&amp;"/"&amp;SUMPRODUCT(('Daily Checklist'!$D$2:$D$2000=$A51)*(TEXT('Daily Checklist'!$B$2:$B$2000,"yyyy-mm-dd")=TEXT(($B$4+24),"yyyy-mm-dd"))))))</f>
        <v/>
      </c>
      <c r="AA51" s="25" t="str">
        <f aca="false">IF($A51="","",IF(SUMPRODUCT(('Daily Checklist'!$D$2:$D$2000=$A51)*(TEXT('Daily Checklist'!$B$2:$B$2000,"yyyy-mm-dd")=TEXT(($B$4+25),"yyyy-mm-dd")))=0,"-",IF(SUMPRODUCT(('Daily Checklist'!$D$2:$D$2000=$A51)*(TEXT('Daily Checklist'!$B$2:$B$2000,"yyyy-mm-dd")=TEXT(($B$4+25),"yyyy-mm-dd"))*('Daily Checklist'!$L$2:$L$2000="Y"))&gt;0,SUMPRODUCT(('Daily Checklist'!$D$2:$D$2000=$A51)*(TEXT('Daily Checklist'!$B$2:$B$2000,"yyyy-mm-dd")=TEXT(($B$4+25),"yyyy-mm-dd"))*('Daily Checklist'!$F$2:$F$2000="Done"))&amp;"/"&amp;SUMPRODUCT(('Daily Checklist'!$D$2:$D$2000=$A51)*(TEXT('Daily Checklist'!$B$2:$B$2000,"yyyy-mm-dd")=TEXT(($B$4+25),"yyyy-mm-dd")))&amp;" ESC",SUMPRODUCT(('Daily Checklist'!$D$2:$D$2000=$A51)*(TEXT('Daily Checklist'!$B$2:$B$2000,"yyyy-mm-dd")=TEXT(($B$4+25),"yyyy-mm-dd"))*('Daily Checklist'!$F$2:$F$2000="Done"))&amp;"/"&amp;SUMPRODUCT(('Daily Checklist'!$D$2:$D$2000=$A51)*(TEXT('Daily Checklist'!$B$2:$B$2000,"yyyy-mm-dd")=TEXT(($B$4+25),"yyyy-mm-dd"))))))</f>
        <v/>
      </c>
      <c r="AB51" s="25" t="str">
        <f aca="false">IF($A51="","",IF(SUMPRODUCT(('Daily Checklist'!$D$2:$D$2000=$A51)*(TEXT('Daily Checklist'!$B$2:$B$2000,"yyyy-mm-dd")=TEXT(($B$4+26),"yyyy-mm-dd")))=0,"-",IF(SUMPRODUCT(('Daily Checklist'!$D$2:$D$2000=$A51)*(TEXT('Daily Checklist'!$B$2:$B$2000,"yyyy-mm-dd")=TEXT(($B$4+26),"yyyy-mm-dd"))*('Daily Checklist'!$L$2:$L$2000="Y"))&gt;0,SUMPRODUCT(('Daily Checklist'!$D$2:$D$2000=$A51)*(TEXT('Daily Checklist'!$B$2:$B$2000,"yyyy-mm-dd")=TEXT(($B$4+26),"yyyy-mm-dd"))*('Daily Checklist'!$F$2:$F$2000="Done"))&amp;"/"&amp;SUMPRODUCT(('Daily Checklist'!$D$2:$D$2000=$A51)*(TEXT('Daily Checklist'!$B$2:$B$2000,"yyyy-mm-dd")=TEXT(($B$4+26),"yyyy-mm-dd")))&amp;" ESC",SUMPRODUCT(('Daily Checklist'!$D$2:$D$2000=$A51)*(TEXT('Daily Checklist'!$B$2:$B$2000,"yyyy-mm-dd")=TEXT(($B$4+26),"yyyy-mm-dd"))*('Daily Checklist'!$F$2:$F$2000="Done"))&amp;"/"&amp;SUMPRODUCT(('Daily Checklist'!$D$2:$D$2000=$A51)*(TEXT('Daily Checklist'!$B$2:$B$2000,"yyyy-mm-dd")=TEXT(($B$4+26),"yyyy-mm-dd"))))))</f>
        <v/>
      </c>
      <c r="AC51" s="25" t="str">
        <f aca="false">IF($A51="","",IF(SUMPRODUCT(('Daily Checklist'!$D$2:$D$2000=$A51)*(TEXT('Daily Checklist'!$B$2:$B$2000,"yyyy-mm-dd")=TEXT(($B$4+27),"yyyy-mm-dd")))=0,"-",IF(SUMPRODUCT(('Daily Checklist'!$D$2:$D$2000=$A51)*(TEXT('Daily Checklist'!$B$2:$B$2000,"yyyy-mm-dd")=TEXT(($B$4+27),"yyyy-mm-dd"))*('Daily Checklist'!$L$2:$L$2000="Y"))&gt;0,SUMPRODUCT(('Daily Checklist'!$D$2:$D$2000=$A51)*(TEXT('Daily Checklist'!$B$2:$B$2000,"yyyy-mm-dd")=TEXT(($B$4+27),"yyyy-mm-dd"))*('Daily Checklist'!$F$2:$F$2000="Done"))&amp;"/"&amp;SUMPRODUCT(('Daily Checklist'!$D$2:$D$2000=$A51)*(TEXT('Daily Checklist'!$B$2:$B$2000,"yyyy-mm-dd")=TEXT(($B$4+27),"yyyy-mm-dd")))&amp;" ESC",SUMPRODUCT(('Daily Checklist'!$D$2:$D$2000=$A51)*(TEXT('Daily Checklist'!$B$2:$B$2000,"yyyy-mm-dd")=TEXT(($B$4+27),"yyyy-mm-dd"))*('Daily Checklist'!$F$2:$F$2000="Done"))&amp;"/"&amp;SUMPRODUCT(('Daily Checklist'!$D$2:$D$2000=$A51)*(TEXT('Daily Checklist'!$B$2:$B$2000,"yyyy-mm-dd")=TEXT(($B$4+27),"yyyy-mm-dd"))))))</f>
        <v/>
      </c>
      <c r="AD51" s="25" t="str">
        <f aca="false">IF($A51="","",IF(SUMPRODUCT(('Daily Checklist'!$D$2:$D$2000=$A51)*(TEXT('Daily Checklist'!$B$2:$B$2000,"yyyy-mm-dd")=TEXT(($B$4+28),"yyyy-mm-dd")))=0,"-",IF(SUMPRODUCT(('Daily Checklist'!$D$2:$D$2000=$A51)*(TEXT('Daily Checklist'!$B$2:$B$2000,"yyyy-mm-dd")=TEXT(($B$4+28),"yyyy-mm-dd"))*('Daily Checklist'!$L$2:$L$2000="Y"))&gt;0,SUMPRODUCT(('Daily Checklist'!$D$2:$D$2000=$A51)*(TEXT('Daily Checklist'!$B$2:$B$2000,"yyyy-mm-dd")=TEXT(($B$4+28),"yyyy-mm-dd"))*('Daily Checklist'!$F$2:$F$2000="Done"))&amp;"/"&amp;SUMPRODUCT(('Daily Checklist'!$D$2:$D$2000=$A51)*(TEXT('Daily Checklist'!$B$2:$B$2000,"yyyy-mm-dd")=TEXT(($B$4+28),"yyyy-mm-dd")))&amp;" ESC",SUMPRODUCT(('Daily Checklist'!$D$2:$D$2000=$A51)*(TEXT('Daily Checklist'!$B$2:$B$2000,"yyyy-mm-dd")=TEXT(($B$4+28),"yyyy-mm-dd"))*('Daily Checklist'!$F$2:$F$2000="Done"))&amp;"/"&amp;SUMPRODUCT(('Daily Checklist'!$D$2:$D$2000=$A51)*(TEXT('Daily Checklist'!$B$2:$B$2000,"yyyy-mm-dd")=TEXT(($B$4+28),"yyyy-mm-dd"))))))</f>
        <v/>
      </c>
      <c r="AE51" s="25" t="str">
        <f aca="false">IF($A51="","",IF(SUMPRODUCT(('Daily Checklist'!$D$2:$D$2000=$A51)*(TEXT('Daily Checklist'!$B$2:$B$2000,"yyyy-mm-dd")=TEXT(($B$4+29),"yyyy-mm-dd")))=0,"-",IF(SUMPRODUCT(('Daily Checklist'!$D$2:$D$2000=$A51)*(TEXT('Daily Checklist'!$B$2:$B$2000,"yyyy-mm-dd")=TEXT(($B$4+29),"yyyy-mm-dd"))*('Daily Checklist'!$L$2:$L$2000="Y"))&gt;0,SUMPRODUCT(('Daily Checklist'!$D$2:$D$2000=$A51)*(TEXT('Daily Checklist'!$B$2:$B$2000,"yyyy-mm-dd")=TEXT(($B$4+29),"yyyy-mm-dd"))*('Daily Checklist'!$F$2:$F$2000="Done"))&amp;"/"&amp;SUMPRODUCT(('Daily Checklist'!$D$2:$D$2000=$A51)*(TEXT('Daily Checklist'!$B$2:$B$2000,"yyyy-mm-dd")=TEXT(($B$4+29),"yyyy-mm-dd")))&amp;" ESC",SUMPRODUCT(('Daily Checklist'!$D$2:$D$2000=$A51)*(TEXT('Daily Checklist'!$B$2:$B$2000,"yyyy-mm-dd")=TEXT(($B$4+29),"yyyy-mm-dd"))*('Daily Checklist'!$F$2:$F$2000="Done"))&amp;"/"&amp;SUMPRODUCT(('Daily Checklist'!$D$2:$D$2000=$A51)*(TEXT('Daily Checklist'!$B$2:$B$2000,"yyyy-mm-dd")=TEXT(($B$4+29),"yyyy-mm-dd"))))))</f>
        <v/>
      </c>
      <c r="AF51" s="25" t="str">
        <f aca="false">IF($A51="","",IF(SUMPRODUCT(('Daily Checklist'!$D$2:$D$2000=$A51)*(TEXT('Daily Checklist'!$B$2:$B$2000,"yyyy-mm-dd")=TEXT(($B$4+30),"yyyy-mm-dd")))=0,"-",IF(SUMPRODUCT(('Daily Checklist'!$D$2:$D$2000=$A51)*(TEXT('Daily Checklist'!$B$2:$B$2000,"yyyy-mm-dd")=TEXT(($B$4+30),"yyyy-mm-dd"))*('Daily Checklist'!$L$2:$L$2000="Y"))&gt;0,SUMPRODUCT(('Daily Checklist'!$D$2:$D$2000=$A51)*(TEXT('Daily Checklist'!$B$2:$B$2000,"yyyy-mm-dd")=TEXT(($B$4+30),"yyyy-mm-dd"))*('Daily Checklist'!$F$2:$F$2000="Done"))&amp;"/"&amp;SUMPRODUCT(('Daily Checklist'!$D$2:$D$2000=$A51)*(TEXT('Daily Checklist'!$B$2:$B$2000,"yyyy-mm-dd")=TEXT(($B$4+30),"yyyy-mm-dd")))&amp;" ESC",SUMPRODUCT(('Daily Checklist'!$D$2:$D$2000=$A51)*(TEXT('Daily Checklist'!$B$2:$B$2000,"yyyy-mm-dd")=TEXT(($B$4+30),"yyyy-mm-dd"))*('Daily Checklist'!$F$2:$F$2000="Done"))&amp;"/"&amp;SUMPRODUCT(('Daily Checklist'!$D$2:$D$2000=$A51)*(TEXT('Daily Checklist'!$B$2:$B$2000,"yyyy-mm-dd")=TEXT(($B$4+30),"yyyy-mm-dd"))))))</f>
        <v/>
      </c>
    </row>
    <row r="52" customFormat="false" ht="15" hidden="false" customHeight="true" outlineLevel="0" collapsed="false">
      <c r="A52" s="24" t="str">
        <f aca="false">IFERROR(IF(Employees!A47="","",Employees!A47),"")</f>
        <v/>
      </c>
      <c r="B52" s="25" t="str">
        <f aca="false">IF($A52="","",IF(SUMPRODUCT(('Daily Checklist'!$D$2:$D$2000=$A52)*(TEXT('Daily Checklist'!$B$2:$B$2000,"yyyy-mm-dd")=TEXT(($B$4+0),"yyyy-mm-dd")))=0,"-",IF(SUMPRODUCT(('Daily Checklist'!$D$2:$D$2000=$A52)*(TEXT('Daily Checklist'!$B$2:$B$2000,"yyyy-mm-dd")=TEXT(($B$4+0),"yyyy-mm-dd"))*('Daily Checklist'!$L$2:$L$2000="Y"))&gt;0,SUMPRODUCT(('Daily Checklist'!$D$2:$D$2000=$A52)*(TEXT('Daily Checklist'!$B$2:$B$2000,"yyyy-mm-dd")=TEXT(($B$4+0),"yyyy-mm-dd"))*('Daily Checklist'!$F$2:$F$2000="Done"))&amp;"/"&amp;SUMPRODUCT(('Daily Checklist'!$D$2:$D$2000=$A52)*(TEXT('Daily Checklist'!$B$2:$B$2000,"yyyy-mm-dd")=TEXT(($B$4+0),"yyyy-mm-dd")))&amp;" ESC",SUMPRODUCT(('Daily Checklist'!$D$2:$D$2000=$A52)*(TEXT('Daily Checklist'!$B$2:$B$2000,"yyyy-mm-dd")=TEXT(($B$4+0),"yyyy-mm-dd"))*('Daily Checklist'!$F$2:$F$2000="Done"))&amp;"/"&amp;SUMPRODUCT(('Daily Checklist'!$D$2:$D$2000=$A52)*(TEXT('Daily Checklist'!$B$2:$B$2000,"yyyy-mm-dd")=TEXT(($B$4+0),"yyyy-mm-dd"))))))</f>
        <v/>
      </c>
      <c r="C52" s="25" t="str">
        <f aca="false">IF($A52="","",IF(SUMPRODUCT(('Daily Checklist'!$D$2:$D$2000=$A52)*(TEXT('Daily Checklist'!$B$2:$B$2000,"yyyy-mm-dd")=TEXT(($B$4+1),"yyyy-mm-dd")))=0,"-",IF(SUMPRODUCT(('Daily Checklist'!$D$2:$D$2000=$A52)*(TEXT('Daily Checklist'!$B$2:$B$2000,"yyyy-mm-dd")=TEXT(($B$4+1),"yyyy-mm-dd"))*('Daily Checklist'!$L$2:$L$2000="Y"))&gt;0,SUMPRODUCT(('Daily Checklist'!$D$2:$D$2000=$A52)*(TEXT('Daily Checklist'!$B$2:$B$2000,"yyyy-mm-dd")=TEXT(($B$4+1),"yyyy-mm-dd"))*('Daily Checklist'!$F$2:$F$2000="Done"))&amp;"/"&amp;SUMPRODUCT(('Daily Checklist'!$D$2:$D$2000=$A52)*(TEXT('Daily Checklist'!$B$2:$B$2000,"yyyy-mm-dd")=TEXT(($B$4+1),"yyyy-mm-dd")))&amp;" ESC",SUMPRODUCT(('Daily Checklist'!$D$2:$D$2000=$A52)*(TEXT('Daily Checklist'!$B$2:$B$2000,"yyyy-mm-dd")=TEXT(($B$4+1),"yyyy-mm-dd"))*('Daily Checklist'!$F$2:$F$2000="Done"))&amp;"/"&amp;SUMPRODUCT(('Daily Checklist'!$D$2:$D$2000=$A52)*(TEXT('Daily Checklist'!$B$2:$B$2000,"yyyy-mm-dd")=TEXT(($B$4+1),"yyyy-mm-dd"))))))</f>
        <v/>
      </c>
      <c r="D52" s="25" t="str">
        <f aca="false">IF($A52="","",IF(SUMPRODUCT(('Daily Checklist'!$D$2:$D$2000=$A52)*(TEXT('Daily Checklist'!$B$2:$B$2000,"yyyy-mm-dd")=TEXT(($B$4+2),"yyyy-mm-dd")))=0,"-",IF(SUMPRODUCT(('Daily Checklist'!$D$2:$D$2000=$A52)*(TEXT('Daily Checklist'!$B$2:$B$2000,"yyyy-mm-dd")=TEXT(($B$4+2),"yyyy-mm-dd"))*('Daily Checklist'!$L$2:$L$2000="Y"))&gt;0,SUMPRODUCT(('Daily Checklist'!$D$2:$D$2000=$A52)*(TEXT('Daily Checklist'!$B$2:$B$2000,"yyyy-mm-dd")=TEXT(($B$4+2),"yyyy-mm-dd"))*('Daily Checklist'!$F$2:$F$2000="Done"))&amp;"/"&amp;SUMPRODUCT(('Daily Checklist'!$D$2:$D$2000=$A52)*(TEXT('Daily Checklist'!$B$2:$B$2000,"yyyy-mm-dd")=TEXT(($B$4+2),"yyyy-mm-dd")))&amp;" ESC",SUMPRODUCT(('Daily Checklist'!$D$2:$D$2000=$A52)*(TEXT('Daily Checklist'!$B$2:$B$2000,"yyyy-mm-dd")=TEXT(($B$4+2),"yyyy-mm-dd"))*('Daily Checklist'!$F$2:$F$2000="Done"))&amp;"/"&amp;SUMPRODUCT(('Daily Checklist'!$D$2:$D$2000=$A52)*(TEXT('Daily Checklist'!$B$2:$B$2000,"yyyy-mm-dd")=TEXT(($B$4+2),"yyyy-mm-dd"))))))</f>
        <v/>
      </c>
      <c r="E52" s="25" t="str">
        <f aca="false">IF($A52="","",IF(SUMPRODUCT(('Daily Checklist'!$D$2:$D$2000=$A52)*(TEXT('Daily Checklist'!$B$2:$B$2000,"yyyy-mm-dd")=TEXT(($B$4+3),"yyyy-mm-dd")))=0,"-",IF(SUMPRODUCT(('Daily Checklist'!$D$2:$D$2000=$A52)*(TEXT('Daily Checklist'!$B$2:$B$2000,"yyyy-mm-dd")=TEXT(($B$4+3),"yyyy-mm-dd"))*('Daily Checklist'!$L$2:$L$2000="Y"))&gt;0,SUMPRODUCT(('Daily Checklist'!$D$2:$D$2000=$A52)*(TEXT('Daily Checklist'!$B$2:$B$2000,"yyyy-mm-dd")=TEXT(($B$4+3),"yyyy-mm-dd"))*('Daily Checklist'!$F$2:$F$2000="Done"))&amp;"/"&amp;SUMPRODUCT(('Daily Checklist'!$D$2:$D$2000=$A52)*(TEXT('Daily Checklist'!$B$2:$B$2000,"yyyy-mm-dd")=TEXT(($B$4+3),"yyyy-mm-dd")))&amp;" ESC",SUMPRODUCT(('Daily Checklist'!$D$2:$D$2000=$A52)*(TEXT('Daily Checklist'!$B$2:$B$2000,"yyyy-mm-dd")=TEXT(($B$4+3),"yyyy-mm-dd"))*('Daily Checklist'!$F$2:$F$2000="Done"))&amp;"/"&amp;SUMPRODUCT(('Daily Checklist'!$D$2:$D$2000=$A52)*(TEXT('Daily Checklist'!$B$2:$B$2000,"yyyy-mm-dd")=TEXT(($B$4+3),"yyyy-mm-dd"))))))</f>
        <v/>
      </c>
      <c r="F52" s="25" t="str">
        <f aca="false">IF($A52="","",IF(SUMPRODUCT(('Daily Checklist'!$D$2:$D$2000=$A52)*(TEXT('Daily Checklist'!$B$2:$B$2000,"yyyy-mm-dd")=TEXT(($B$4+4),"yyyy-mm-dd")))=0,"-",IF(SUMPRODUCT(('Daily Checklist'!$D$2:$D$2000=$A52)*(TEXT('Daily Checklist'!$B$2:$B$2000,"yyyy-mm-dd")=TEXT(($B$4+4),"yyyy-mm-dd"))*('Daily Checklist'!$L$2:$L$2000="Y"))&gt;0,SUMPRODUCT(('Daily Checklist'!$D$2:$D$2000=$A52)*(TEXT('Daily Checklist'!$B$2:$B$2000,"yyyy-mm-dd")=TEXT(($B$4+4),"yyyy-mm-dd"))*('Daily Checklist'!$F$2:$F$2000="Done"))&amp;"/"&amp;SUMPRODUCT(('Daily Checklist'!$D$2:$D$2000=$A52)*(TEXT('Daily Checklist'!$B$2:$B$2000,"yyyy-mm-dd")=TEXT(($B$4+4),"yyyy-mm-dd")))&amp;" ESC",SUMPRODUCT(('Daily Checklist'!$D$2:$D$2000=$A52)*(TEXT('Daily Checklist'!$B$2:$B$2000,"yyyy-mm-dd")=TEXT(($B$4+4),"yyyy-mm-dd"))*('Daily Checklist'!$F$2:$F$2000="Done"))&amp;"/"&amp;SUMPRODUCT(('Daily Checklist'!$D$2:$D$2000=$A52)*(TEXT('Daily Checklist'!$B$2:$B$2000,"yyyy-mm-dd")=TEXT(($B$4+4),"yyyy-mm-dd"))))))</f>
        <v/>
      </c>
      <c r="G52" s="25" t="str">
        <f aca="false">IF($A52="","",IF(SUMPRODUCT(('Daily Checklist'!$D$2:$D$2000=$A52)*(TEXT('Daily Checklist'!$B$2:$B$2000,"yyyy-mm-dd")=TEXT(($B$4+5),"yyyy-mm-dd")))=0,"-",IF(SUMPRODUCT(('Daily Checklist'!$D$2:$D$2000=$A52)*(TEXT('Daily Checklist'!$B$2:$B$2000,"yyyy-mm-dd")=TEXT(($B$4+5),"yyyy-mm-dd"))*('Daily Checklist'!$L$2:$L$2000="Y"))&gt;0,SUMPRODUCT(('Daily Checklist'!$D$2:$D$2000=$A52)*(TEXT('Daily Checklist'!$B$2:$B$2000,"yyyy-mm-dd")=TEXT(($B$4+5),"yyyy-mm-dd"))*('Daily Checklist'!$F$2:$F$2000="Done"))&amp;"/"&amp;SUMPRODUCT(('Daily Checklist'!$D$2:$D$2000=$A52)*(TEXT('Daily Checklist'!$B$2:$B$2000,"yyyy-mm-dd")=TEXT(($B$4+5),"yyyy-mm-dd")))&amp;" ESC",SUMPRODUCT(('Daily Checklist'!$D$2:$D$2000=$A52)*(TEXT('Daily Checklist'!$B$2:$B$2000,"yyyy-mm-dd")=TEXT(($B$4+5),"yyyy-mm-dd"))*('Daily Checklist'!$F$2:$F$2000="Done"))&amp;"/"&amp;SUMPRODUCT(('Daily Checklist'!$D$2:$D$2000=$A52)*(TEXT('Daily Checklist'!$B$2:$B$2000,"yyyy-mm-dd")=TEXT(($B$4+5),"yyyy-mm-dd"))))))</f>
        <v/>
      </c>
      <c r="H52" s="25" t="str">
        <f aca="false">IF($A52="","",IF(SUMPRODUCT(('Daily Checklist'!$D$2:$D$2000=$A52)*(TEXT('Daily Checklist'!$B$2:$B$2000,"yyyy-mm-dd")=TEXT(($B$4+6),"yyyy-mm-dd")))=0,"-",IF(SUMPRODUCT(('Daily Checklist'!$D$2:$D$2000=$A52)*(TEXT('Daily Checklist'!$B$2:$B$2000,"yyyy-mm-dd")=TEXT(($B$4+6),"yyyy-mm-dd"))*('Daily Checklist'!$L$2:$L$2000="Y"))&gt;0,SUMPRODUCT(('Daily Checklist'!$D$2:$D$2000=$A52)*(TEXT('Daily Checklist'!$B$2:$B$2000,"yyyy-mm-dd")=TEXT(($B$4+6),"yyyy-mm-dd"))*('Daily Checklist'!$F$2:$F$2000="Done"))&amp;"/"&amp;SUMPRODUCT(('Daily Checklist'!$D$2:$D$2000=$A52)*(TEXT('Daily Checklist'!$B$2:$B$2000,"yyyy-mm-dd")=TEXT(($B$4+6),"yyyy-mm-dd")))&amp;" ESC",SUMPRODUCT(('Daily Checklist'!$D$2:$D$2000=$A52)*(TEXT('Daily Checklist'!$B$2:$B$2000,"yyyy-mm-dd")=TEXT(($B$4+6),"yyyy-mm-dd"))*('Daily Checklist'!$F$2:$F$2000="Done"))&amp;"/"&amp;SUMPRODUCT(('Daily Checklist'!$D$2:$D$2000=$A52)*(TEXT('Daily Checklist'!$B$2:$B$2000,"yyyy-mm-dd")=TEXT(($B$4+6),"yyyy-mm-dd"))))))</f>
        <v/>
      </c>
      <c r="I52" s="25" t="str">
        <f aca="false">IF($A52="","",IF(SUMPRODUCT(('Daily Checklist'!$D$2:$D$2000=$A52)*(TEXT('Daily Checklist'!$B$2:$B$2000,"yyyy-mm-dd")=TEXT(($B$4+7),"yyyy-mm-dd")))=0,"-",IF(SUMPRODUCT(('Daily Checklist'!$D$2:$D$2000=$A52)*(TEXT('Daily Checklist'!$B$2:$B$2000,"yyyy-mm-dd")=TEXT(($B$4+7),"yyyy-mm-dd"))*('Daily Checklist'!$L$2:$L$2000="Y"))&gt;0,SUMPRODUCT(('Daily Checklist'!$D$2:$D$2000=$A52)*(TEXT('Daily Checklist'!$B$2:$B$2000,"yyyy-mm-dd")=TEXT(($B$4+7),"yyyy-mm-dd"))*('Daily Checklist'!$F$2:$F$2000="Done"))&amp;"/"&amp;SUMPRODUCT(('Daily Checklist'!$D$2:$D$2000=$A52)*(TEXT('Daily Checklist'!$B$2:$B$2000,"yyyy-mm-dd")=TEXT(($B$4+7),"yyyy-mm-dd")))&amp;" ESC",SUMPRODUCT(('Daily Checklist'!$D$2:$D$2000=$A52)*(TEXT('Daily Checklist'!$B$2:$B$2000,"yyyy-mm-dd")=TEXT(($B$4+7),"yyyy-mm-dd"))*('Daily Checklist'!$F$2:$F$2000="Done"))&amp;"/"&amp;SUMPRODUCT(('Daily Checklist'!$D$2:$D$2000=$A52)*(TEXT('Daily Checklist'!$B$2:$B$2000,"yyyy-mm-dd")=TEXT(($B$4+7),"yyyy-mm-dd"))))))</f>
        <v/>
      </c>
      <c r="J52" s="25" t="str">
        <f aca="false">IF($A52="","",IF(SUMPRODUCT(('Daily Checklist'!$D$2:$D$2000=$A52)*(TEXT('Daily Checklist'!$B$2:$B$2000,"yyyy-mm-dd")=TEXT(($B$4+8),"yyyy-mm-dd")))=0,"-",IF(SUMPRODUCT(('Daily Checklist'!$D$2:$D$2000=$A52)*(TEXT('Daily Checklist'!$B$2:$B$2000,"yyyy-mm-dd")=TEXT(($B$4+8),"yyyy-mm-dd"))*('Daily Checklist'!$L$2:$L$2000="Y"))&gt;0,SUMPRODUCT(('Daily Checklist'!$D$2:$D$2000=$A52)*(TEXT('Daily Checklist'!$B$2:$B$2000,"yyyy-mm-dd")=TEXT(($B$4+8),"yyyy-mm-dd"))*('Daily Checklist'!$F$2:$F$2000="Done"))&amp;"/"&amp;SUMPRODUCT(('Daily Checklist'!$D$2:$D$2000=$A52)*(TEXT('Daily Checklist'!$B$2:$B$2000,"yyyy-mm-dd")=TEXT(($B$4+8),"yyyy-mm-dd")))&amp;" ESC",SUMPRODUCT(('Daily Checklist'!$D$2:$D$2000=$A52)*(TEXT('Daily Checklist'!$B$2:$B$2000,"yyyy-mm-dd")=TEXT(($B$4+8),"yyyy-mm-dd"))*('Daily Checklist'!$F$2:$F$2000="Done"))&amp;"/"&amp;SUMPRODUCT(('Daily Checklist'!$D$2:$D$2000=$A52)*(TEXT('Daily Checklist'!$B$2:$B$2000,"yyyy-mm-dd")=TEXT(($B$4+8),"yyyy-mm-dd"))))))</f>
        <v/>
      </c>
      <c r="K52" s="25" t="str">
        <f aca="false">IF($A52="","",IF(SUMPRODUCT(('Daily Checklist'!$D$2:$D$2000=$A52)*(TEXT('Daily Checklist'!$B$2:$B$2000,"yyyy-mm-dd")=TEXT(($B$4+9),"yyyy-mm-dd")))=0,"-",IF(SUMPRODUCT(('Daily Checklist'!$D$2:$D$2000=$A52)*(TEXT('Daily Checklist'!$B$2:$B$2000,"yyyy-mm-dd")=TEXT(($B$4+9),"yyyy-mm-dd"))*('Daily Checklist'!$L$2:$L$2000="Y"))&gt;0,SUMPRODUCT(('Daily Checklist'!$D$2:$D$2000=$A52)*(TEXT('Daily Checklist'!$B$2:$B$2000,"yyyy-mm-dd")=TEXT(($B$4+9),"yyyy-mm-dd"))*('Daily Checklist'!$F$2:$F$2000="Done"))&amp;"/"&amp;SUMPRODUCT(('Daily Checklist'!$D$2:$D$2000=$A52)*(TEXT('Daily Checklist'!$B$2:$B$2000,"yyyy-mm-dd")=TEXT(($B$4+9),"yyyy-mm-dd")))&amp;" ESC",SUMPRODUCT(('Daily Checklist'!$D$2:$D$2000=$A52)*(TEXT('Daily Checklist'!$B$2:$B$2000,"yyyy-mm-dd")=TEXT(($B$4+9),"yyyy-mm-dd"))*('Daily Checklist'!$F$2:$F$2000="Done"))&amp;"/"&amp;SUMPRODUCT(('Daily Checklist'!$D$2:$D$2000=$A52)*(TEXT('Daily Checklist'!$B$2:$B$2000,"yyyy-mm-dd")=TEXT(($B$4+9),"yyyy-mm-dd"))))))</f>
        <v/>
      </c>
      <c r="L52" s="25" t="str">
        <f aca="false">IF($A52="","",IF(SUMPRODUCT(('Daily Checklist'!$D$2:$D$2000=$A52)*(TEXT('Daily Checklist'!$B$2:$B$2000,"yyyy-mm-dd")=TEXT(($B$4+10),"yyyy-mm-dd")))=0,"-",IF(SUMPRODUCT(('Daily Checklist'!$D$2:$D$2000=$A52)*(TEXT('Daily Checklist'!$B$2:$B$2000,"yyyy-mm-dd")=TEXT(($B$4+10),"yyyy-mm-dd"))*('Daily Checklist'!$L$2:$L$2000="Y"))&gt;0,SUMPRODUCT(('Daily Checklist'!$D$2:$D$2000=$A52)*(TEXT('Daily Checklist'!$B$2:$B$2000,"yyyy-mm-dd")=TEXT(($B$4+10),"yyyy-mm-dd"))*('Daily Checklist'!$F$2:$F$2000="Done"))&amp;"/"&amp;SUMPRODUCT(('Daily Checklist'!$D$2:$D$2000=$A52)*(TEXT('Daily Checklist'!$B$2:$B$2000,"yyyy-mm-dd")=TEXT(($B$4+10),"yyyy-mm-dd")))&amp;" ESC",SUMPRODUCT(('Daily Checklist'!$D$2:$D$2000=$A52)*(TEXT('Daily Checklist'!$B$2:$B$2000,"yyyy-mm-dd")=TEXT(($B$4+10),"yyyy-mm-dd"))*('Daily Checklist'!$F$2:$F$2000="Done"))&amp;"/"&amp;SUMPRODUCT(('Daily Checklist'!$D$2:$D$2000=$A52)*(TEXT('Daily Checklist'!$B$2:$B$2000,"yyyy-mm-dd")=TEXT(($B$4+10),"yyyy-mm-dd"))))))</f>
        <v/>
      </c>
      <c r="M52" s="25" t="str">
        <f aca="false">IF($A52="","",IF(SUMPRODUCT(('Daily Checklist'!$D$2:$D$2000=$A52)*(TEXT('Daily Checklist'!$B$2:$B$2000,"yyyy-mm-dd")=TEXT(($B$4+11),"yyyy-mm-dd")))=0,"-",IF(SUMPRODUCT(('Daily Checklist'!$D$2:$D$2000=$A52)*(TEXT('Daily Checklist'!$B$2:$B$2000,"yyyy-mm-dd")=TEXT(($B$4+11),"yyyy-mm-dd"))*('Daily Checklist'!$L$2:$L$2000="Y"))&gt;0,SUMPRODUCT(('Daily Checklist'!$D$2:$D$2000=$A52)*(TEXT('Daily Checklist'!$B$2:$B$2000,"yyyy-mm-dd")=TEXT(($B$4+11),"yyyy-mm-dd"))*('Daily Checklist'!$F$2:$F$2000="Done"))&amp;"/"&amp;SUMPRODUCT(('Daily Checklist'!$D$2:$D$2000=$A52)*(TEXT('Daily Checklist'!$B$2:$B$2000,"yyyy-mm-dd")=TEXT(($B$4+11),"yyyy-mm-dd")))&amp;" ESC",SUMPRODUCT(('Daily Checklist'!$D$2:$D$2000=$A52)*(TEXT('Daily Checklist'!$B$2:$B$2000,"yyyy-mm-dd")=TEXT(($B$4+11),"yyyy-mm-dd"))*('Daily Checklist'!$F$2:$F$2000="Done"))&amp;"/"&amp;SUMPRODUCT(('Daily Checklist'!$D$2:$D$2000=$A52)*(TEXT('Daily Checklist'!$B$2:$B$2000,"yyyy-mm-dd")=TEXT(($B$4+11),"yyyy-mm-dd"))))))</f>
        <v/>
      </c>
      <c r="N52" s="25" t="str">
        <f aca="false">IF($A52="","",IF(SUMPRODUCT(('Daily Checklist'!$D$2:$D$2000=$A52)*(TEXT('Daily Checklist'!$B$2:$B$2000,"yyyy-mm-dd")=TEXT(($B$4+12),"yyyy-mm-dd")))=0,"-",IF(SUMPRODUCT(('Daily Checklist'!$D$2:$D$2000=$A52)*(TEXT('Daily Checklist'!$B$2:$B$2000,"yyyy-mm-dd")=TEXT(($B$4+12),"yyyy-mm-dd"))*('Daily Checklist'!$L$2:$L$2000="Y"))&gt;0,SUMPRODUCT(('Daily Checklist'!$D$2:$D$2000=$A52)*(TEXT('Daily Checklist'!$B$2:$B$2000,"yyyy-mm-dd")=TEXT(($B$4+12),"yyyy-mm-dd"))*('Daily Checklist'!$F$2:$F$2000="Done"))&amp;"/"&amp;SUMPRODUCT(('Daily Checklist'!$D$2:$D$2000=$A52)*(TEXT('Daily Checklist'!$B$2:$B$2000,"yyyy-mm-dd")=TEXT(($B$4+12),"yyyy-mm-dd")))&amp;" ESC",SUMPRODUCT(('Daily Checklist'!$D$2:$D$2000=$A52)*(TEXT('Daily Checklist'!$B$2:$B$2000,"yyyy-mm-dd")=TEXT(($B$4+12),"yyyy-mm-dd"))*('Daily Checklist'!$F$2:$F$2000="Done"))&amp;"/"&amp;SUMPRODUCT(('Daily Checklist'!$D$2:$D$2000=$A52)*(TEXT('Daily Checklist'!$B$2:$B$2000,"yyyy-mm-dd")=TEXT(($B$4+12),"yyyy-mm-dd"))))))</f>
        <v/>
      </c>
      <c r="O52" s="25" t="str">
        <f aca="false">IF($A52="","",IF(SUMPRODUCT(('Daily Checklist'!$D$2:$D$2000=$A52)*(TEXT('Daily Checklist'!$B$2:$B$2000,"yyyy-mm-dd")=TEXT(($B$4+13),"yyyy-mm-dd")))=0,"-",IF(SUMPRODUCT(('Daily Checklist'!$D$2:$D$2000=$A52)*(TEXT('Daily Checklist'!$B$2:$B$2000,"yyyy-mm-dd")=TEXT(($B$4+13),"yyyy-mm-dd"))*('Daily Checklist'!$L$2:$L$2000="Y"))&gt;0,SUMPRODUCT(('Daily Checklist'!$D$2:$D$2000=$A52)*(TEXT('Daily Checklist'!$B$2:$B$2000,"yyyy-mm-dd")=TEXT(($B$4+13),"yyyy-mm-dd"))*('Daily Checklist'!$F$2:$F$2000="Done"))&amp;"/"&amp;SUMPRODUCT(('Daily Checklist'!$D$2:$D$2000=$A52)*(TEXT('Daily Checklist'!$B$2:$B$2000,"yyyy-mm-dd")=TEXT(($B$4+13),"yyyy-mm-dd")))&amp;" ESC",SUMPRODUCT(('Daily Checklist'!$D$2:$D$2000=$A52)*(TEXT('Daily Checklist'!$B$2:$B$2000,"yyyy-mm-dd")=TEXT(($B$4+13),"yyyy-mm-dd"))*('Daily Checklist'!$F$2:$F$2000="Done"))&amp;"/"&amp;SUMPRODUCT(('Daily Checklist'!$D$2:$D$2000=$A52)*(TEXT('Daily Checklist'!$B$2:$B$2000,"yyyy-mm-dd")=TEXT(($B$4+13),"yyyy-mm-dd"))))))</f>
        <v/>
      </c>
      <c r="P52" s="25" t="str">
        <f aca="false">IF($A52="","",IF(SUMPRODUCT(('Daily Checklist'!$D$2:$D$2000=$A52)*(TEXT('Daily Checklist'!$B$2:$B$2000,"yyyy-mm-dd")=TEXT(($B$4+14),"yyyy-mm-dd")))=0,"-",IF(SUMPRODUCT(('Daily Checklist'!$D$2:$D$2000=$A52)*(TEXT('Daily Checklist'!$B$2:$B$2000,"yyyy-mm-dd")=TEXT(($B$4+14),"yyyy-mm-dd"))*('Daily Checklist'!$L$2:$L$2000="Y"))&gt;0,SUMPRODUCT(('Daily Checklist'!$D$2:$D$2000=$A52)*(TEXT('Daily Checklist'!$B$2:$B$2000,"yyyy-mm-dd")=TEXT(($B$4+14),"yyyy-mm-dd"))*('Daily Checklist'!$F$2:$F$2000="Done"))&amp;"/"&amp;SUMPRODUCT(('Daily Checklist'!$D$2:$D$2000=$A52)*(TEXT('Daily Checklist'!$B$2:$B$2000,"yyyy-mm-dd")=TEXT(($B$4+14),"yyyy-mm-dd")))&amp;" ESC",SUMPRODUCT(('Daily Checklist'!$D$2:$D$2000=$A52)*(TEXT('Daily Checklist'!$B$2:$B$2000,"yyyy-mm-dd")=TEXT(($B$4+14),"yyyy-mm-dd"))*('Daily Checklist'!$F$2:$F$2000="Done"))&amp;"/"&amp;SUMPRODUCT(('Daily Checklist'!$D$2:$D$2000=$A52)*(TEXT('Daily Checklist'!$B$2:$B$2000,"yyyy-mm-dd")=TEXT(($B$4+14),"yyyy-mm-dd"))))))</f>
        <v/>
      </c>
      <c r="Q52" s="25" t="str">
        <f aca="false">IF($A52="","",IF(SUMPRODUCT(('Daily Checklist'!$D$2:$D$2000=$A52)*(TEXT('Daily Checklist'!$B$2:$B$2000,"yyyy-mm-dd")=TEXT(($B$4+15),"yyyy-mm-dd")))=0,"-",IF(SUMPRODUCT(('Daily Checklist'!$D$2:$D$2000=$A52)*(TEXT('Daily Checklist'!$B$2:$B$2000,"yyyy-mm-dd")=TEXT(($B$4+15),"yyyy-mm-dd"))*('Daily Checklist'!$L$2:$L$2000="Y"))&gt;0,SUMPRODUCT(('Daily Checklist'!$D$2:$D$2000=$A52)*(TEXT('Daily Checklist'!$B$2:$B$2000,"yyyy-mm-dd")=TEXT(($B$4+15),"yyyy-mm-dd"))*('Daily Checklist'!$F$2:$F$2000="Done"))&amp;"/"&amp;SUMPRODUCT(('Daily Checklist'!$D$2:$D$2000=$A52)*(TEXT('Daily Checklist'!$B$2:$B$2000,"yyyy-mm-dd")=TEXT(($B$4+15),"yyyy-mm-dd")))&amp;" ESC",SUMPRODUCT(('Daily Checklist'!$D$2:$D$2000=$A52)*(TEXT('Daily Checklist'!$B$2:$B$2000,"yyyy-mm-dd")=TEXT(($B$4+15),"yyyy-mm-dd"))*('Daily Checklist'!$F$2:$F$2000="Done"))&amp;"/"&amp;SUMPRODUCT(('Daily Checklist'!$D$2:$D$2000=$A52)*(TEXT('Daily Checklist'!$B$2:$B$2000,"yyyy-mm-dd")=TEXT(($B$4+15),"yyyy-mm-dd"))))))</f>
        <v/>
      </c>
      <c r="R52" s="25" t="str">
        <f aca="false">IF($A52="","",IF(SUMPRODUCT(('Daily Checklist'!$D$2:$D$2000=$A52)*(TEXT('Daily Checklist'!$B$2:$B$2000,"yyyy-mm-dd")=TEXT(($B$4+16),"yyyy-mm-dd")))=0,"-",IF(SUMPRODUCT(('Daily Checklist'!$D$2:$D$2000=$A52)*(TEXT('Daily Checklist'!$B$2:$B$2000,"yyyy-mm-dd")=TEXT(($B$4+16),"yyyy-mm-dd"))*('Daily Checklist'!$L$2:$L$2000="Y"))&gt;0,SUMPRODUCT(('Daily Checklist'!$D$2:$D$2000=$A52)*(TEXT('Daily Checklist'!$B$2:$B$2000,"yyyy-mm-dd")=TEXT(($B$4+16),"yyyy-mm-dd"))*('Daily Checklist'!$F$2:$F$2000="Done"))&amp;"/"&amp;SUMPRODUCT(('Daily Checklist'!$D$2:$D$2000=$A52)*(TEXT('Daily Checklist'!$B$2:$B$2000,"yyyy-mm-dd")=TEXT(($B$4+16),"yyyy-mm-dd")))&amp;" ESC",SUMPRODUCT(('Daily Checklist'!$D$2:$D$2000=$A52)*(TEXT('Daily Checklist'!$B$2:$B$2000,"yyyy-mm-dd")=TEXT(($B$4+16),"yyyy-mm-dd"))*('Daily Checklist'!$F$2:$F$2000="Done"))&amp;"/"&amp;SUMPRODUCT(('Daily Checklist'!$D$2:$D$2000=$A52)*(TEXT('Daily Checklist'!$B$2:$B$2000,"yyyy-mm-dd")=TEXT(($B$4+16),"yyyy-mm-dd"))))))</f>
        <v/>
      </c>
      <c r="S52" s="25" t="str">
        <f aca="false">IF($A52="","",IF(SUMPRODUCT(('Daily Checklist'!$D$2:$D$2000=$A52)*(TEXT('Daily Checklist'!$B$2:$B$2000,"yyyy-mm-dd")=TEXT(($B$4+17),"yyyy-mm-dd")))=0,"-",IF(SUMPRODUCT(('Daily Checklist'!$D$2:$D$2000=$A52)*(TEXT('Daily Checklist'!$B$2:$B$2000,"yyyy-mm-dd")=TEXT(($B$4+17),"yyyy-mm-dd"))*('Daily Checklist'!$L$2:$L$2000="Y"))&gt;0,SUMPRODUCT(('Daily Checklist'!$D$2:$D$2000=$A52)*(TEXT('Daily Checklist'!$B$2:$B$2000,"yyyy-mm-dd")=TEXT(($B$4+17),"yyyy-mm-dd"))*('Daily Checklist'!$F$2:$F$2000="Done"))&amp;"/"&amp;SUMPRODUCT(('Daily Checklist'!$D$2:$D$2000=$A52)*(TEXT('Daily Checklist'!$B$2:$B$2000,"yyyy-mm-dd")=TEXT(($B$4+17),"yyyy-mm-dd")))&amp;" ESC",SUMPRODUCT(('Daily Checklist'!$D$2:$D$2000=$A52)*(TEXT('Daily Checklist'!$B$2:$B$2000,"yyyy-mm-dd")=TEXT(($B$4+17),"yyyy-mm-dd"))*('Daily Checklist'!$F$2:$F$2000="Done"))&amp;"/"&amp;SUMPRODUCT(('Daily Checklist'!$D$2:$D$2000=$A52)*(TEXT('Daily Checklist'!$B$2:$B$2000,"yyyy-mm-dd")=TEXT(($B$4+17),"yyyy-mm-dd"))))))</f>
        <v/>
      </c>
      <c r="T52" s="25" t="str">
        <f aca="false">IF($A52="","",IF(SUMPRODUCT(('Daily Checklist'!$D$2:$D$2000=$A52)*(TEXT('Daily Checklist'!$B$2:$B$2000,"yyyy-mm-dd")=TEXT(($B$4+18),"yyyy-mm-dd")))=0,"-",IF(SUMPRODUCT(('Daily Checklist'!$D$2:$D$2000=$A52)*(TEXT('Daily Checklist'!$B$2:$B$2000,"yyyy-mm-dd")=TEXT(($B$4+18),"yyyy-mm-dd"))*('Daily Checklist'!$L$2:$L$2000="Y"))&gt;0,SUMPRODUCT(('Daily Checklist'!$D$2:$D$2000=$A52)*(TEXT('Daily Checklist'!$B$2:$B$2000,"yyyy-mm-dd")=TEXT(($B$4+18),"yyyy-mm-dd"))*('Daily Checklist'!$F$2:$F$2000="Done"))&amp;"/"&amp;SUMPRODUCT(('Daily Checklist'!$D$2:$D$2000=$A52)*(TEXT('Daily Checklist'!$B$2:$B$2000,"yyyy-mm-dd")=TEXT(($B$4+18),"yyyy-mm-dd")))&amp;" ESC",SUMPRODUCT(('Daily Checklist'!$D$2:$D$2000=$A52)*(TEXT('Daily Checklist'!$B$2:$B$2000,"yyyy-mm-dd")=TEXT(($B$4+18),"yyyy-mm-dd"))*('Daily Checklist'!$F$2:$F$2000="Done"))&amp;"/"&amp;SUMPRODUCT(('Daily Checklist'!$D$2:$D$2000=$A52)*(TEXT('Daily Checklist'!$B$2:$B$2000,"yyyy-mm-dd")=TEXT(($B$4+18),"yyyy-mm-dd"))))))</f>
        <v/>
      </c>
      <c r="U52" s="25" t="str">
        <f aca="false">IF($A52="","",IF(SUMPRODUCT(('Daily Checklist'!$D$2:$D$2000=$A52)*(TEXT('Daily Checklist'!$B$2:$B$2000,"yyyy-mm-dd")=TEXT(($B$4+19),"yyyy-mm-dd")))=0,"-",IF(SUMPRODUCT(('Daily Checklist'!$D$2:$D$2000=$A52)*(TEXT('Daily Checklist'!$B$2:$B$2000,"yyyy-mm-dd")=TEXT(($B$4+19),"yyyy-mm-dd"))*('Daily Checklist'!$L$2:$L$2000="Y"))&gt;0,SUMPRODUCT(('Daily Checklist'!$D$2:$D$2000=$A52)*(TEXT('Daily Checklist'!$B$2:$B$2000,"yyyy-mm-dd")=TEXT(($B$4+19),"yyyy-mm-dd"))*('Daily Checklist'!$F$2:$F$2000="Done"))&amp;"/"&amp;SUMPRODUCT(('Daily Checklist'!$D$2:$D$2000=$A52)*(TEXT('Daily Checklist'!$B$2:$B$2000,"yyyy-mm-dd")=TEXT(($B$4+19),"yyyy-mm-dd")))&amp;" ESC",SUMPRODUCT(('Daily Checklist'!$D$2:$D$2000=$A52)*(TEXT('Daily Checklist'!$B$2:$B$2000,"yyyy-mm-dd")=TEXT(($B$4+19),"yyyy-mm-dd"))*('Daily Checklist'!$F$2:$F$2000="Done"))&amp;"/"&amp;SUMPRODUCT(('Daily Checklist'!$D$2:$D$2000=$A52)*(TEXT('Daily Checklist'!$B$2:$B$2000,"yyyy-mm-dd")=TEXT(($B$4+19),"yyyy-mm-dd"))))))</f>
        <v/>
      </c>
      <c r="V52" s="25" t="str">
        <f aca="false">IF($A52="","",IF(SUMPRODUCT(('Daily Checklist'!$D$2:$D$2000=$A52)*(TEXT('Daily Checklist'!$B$2:$B$2000,"yyyy-mm-dd")=TEXT(($B$4+20),"yyyy-mm-dd")))=0,"-",IF(SUMPRODUCT(('Daily Checklist'!$D$2:$D$2000=$A52)*(TEXT('Daily Checklist'!$B$2:$B$2000,"yyyy-mm-dd")=TEXT(($B$4+20),"yyyy-mm-dd"))*('Daily Checklist'!$L$2:$L$2000="Y"))&gt;0,SUMPRODUCT(('Daily Checklist'!$D$2:$D$2000=$A52)*(TEXT('Daily Checklist'!$B$2:$B$2000,"yyyy-mm-dd")=TEXT(($B$4+20),"yyyy-mm-dd"))*('Daily Checklist'!$F$2:$F$2000="Done"))&amp;"/"&amp;SUMPRODUCT(('Daily Checklist'!$D$2:$D$2000=$A52)*(TEXT('Daily Checklist'!$B$2:$B$2000,"yyyy-mm-dd")=TEXT(($B$4+20),"yyyy-mm-dd")))&amp;" ESC",SUMPRODUCT(('Daily Checklist'!$D$2:$D$2000=$A52)*(TEXT('Daily Checklist'!$B$2:$B$2000,"yyyy-mm-dd")=TEXT(($B$4+20),"yyyy-mm-dd"))*('Daily Checklist'!$F$2:$F$2000="Done"))&amp;"/"&amp;SUMPRODUCT(('Daily Checklist'!$D$2:$D$2000=$A52)*(TEXT('Daily Checklist'!$B$2:$B$2000,"yyyy-mm-dd")=TEXT(($B$4+20),"yyyy-mm-dd"))))))</f>
        <v/>
      </c>
      <c r="W52" s="25" t="str">
        <f aca="false">IF($A52="","",IF(SUMPRODUCT(('Daily Checklist'!$D$2:$D$2000=$A52)*(TEXT('Daily Checklist'!$B$2:$B$2000,"yyyy-mm-dd")=TEXT(($B$4+21),"yyyy-mm-dd")))=0,"-",IF(SUMPRODUCT(('Daily Checklist'!$D$2:$D$2000=$A52)*(TEXT('Daily Checklist'!$B$2:$B$2000,"yyyy-mm-dd")=TEXT(($B$4+21),"yyyy-mm-dd"))*('Daily Checklist'!$L$2:$L$2000="Y"))&gt;0,SUMPRODUCT(('Daily Checklist'!$D$2:$D$2000=$A52)*(TEXT('Daily Checklist'!$B$2:$B$2000,"yyyy-mm-dd")=TEXT(($B$4+21),"yyyy-mm-dd"))*('Daily Checklist'!$F$2:$F$2000="Done"))&amp;"/"&amp;SUMPRODUCT(('Daily Checklist'!$D$2:$D$2000=$A52)*(TEXT('Daily Checklist'!$B$2:$B$2000,"yyyy-mm-dd")=TEXT(($B$4+21),"yyyy-mm-dd")))&amp;" ESC",SUMPRODUCT(('Daily Checklist'!$D$2:$D$2000=$A52)*(TEXT('Daily Checklist'!$B$2:$B$2000,"yyyy-mm-dd")=TEXT(($B$4+21),"yyyy-mm-dd"))*('Daily Checklist'!$F$2:$F$2000="Done"))&amp;"/"&amp;SUMPRODUCT(('Daily Checklist'!$D$2:$D$2000=$A52)*(TEXT('Daily Checklist'!$B$2:$B$2000,"yyyy-mm-dd")=TEXT(($B$4+21),"yyyy-mm-dd"))))))</f>
        <v/>
      </c>
      <c r="X52" s="25" t="str">
        <f aca="false">IF($A52="","",IF(SUMPRODUCT(('Daily Checklist'!$D$2:$D$2000=$A52)*(TEXT('Daily Checklist'!$B$2:$B$2000,"yyyy-mm-dd")=TEXT(($B$4+22),"yyyy-mm-dd")))=0,"-",IF(SUMPRODUCT(('Daily Checklist'!$D$2:$D$2000=$A52)*(TEXT('Daily Checklist'!$B$2:$B$2000,"yyyy-mm-dd")=TEXT(($B$4+22),"yyyy-mm-dd"))*('Daily Checklist'!$L$2:$L$2000="Y"))&gt;0,SUMPRODUCT(('Daily Checklist'!$D$2:$D$2000=$A52)*(TEXT('Daily Checklist'!$B$2:$B$2000,"yyyy-mm-dd")=TEXT(($B$4+22),"yyyy-mm-dd"))*('Daily Checklist'!$F$2:$F$2000="Done"))&amp;"/"&amp;SUMPRODUCT(('Daily Checklist'!$D$2:$D$2000=$A52)*(TEXT('Daily Checklist'!$B$2:$B$2000,"yyyy-mm-dd")=TEXT(($B$4+22),"yyyy-mm-dd")))&amp;" ESC",SUMPRODUCT(('Daily Checklist'!$D$2:$D$2000=$A52)*(TEXT('Daily Checklist'!$B$2:$B$2000,"yyyy-mm-dd")=TEXT(($B$4+22),"yyyy-mm-dd"))*('Daily Checklist'!$F$2:$F$2000="Done"))&amp;"/"&amp;SUMPRODUCT(('Daily Checklist'!$D$2:$D$2000=$A52)*(TEXT('Daily Checklist'!$B$2:$B$2000,"yyyy-mm-dd")=TEXT(($B$4+22),"yyyy-mm-dd"))))))</f>
        <v/>
      </c>
      <c r="Y52" s="25" t="str">
        <f aca="false">IF($A52="","",IF(SUMPRODUCT(('Daily Checklist'!$D$2:$D$2000=$A52)*(TEXT('Daily Checklist'!$B$2:$B$2000,"yyyy-mm-dd")=TEXT(($B$4+23),"yyyy-mm-dd")))=0,"-",IF(SUMPRODUCT(('Daily Checklist'!$D$2:$D$2000=$A52)*(TEXT('Daily Checklist'!$B$2:$B$2000,"yyyy-mm-dd")=TEXT(($B$4+23),"yyyy-mm-dd"))*('Daily Checklist'!$L$2:$L$2000="Y"))&gt;0,SUMPRODUCT(('Daily Checklist'!$D$2:$D$2000=$A52)*(TEXT('Daily Checklist'!$B$2:$B$2000,"yyyy-mm-dd")=TEXT(($B$4+23),"yyyy-mm-dd"))*('Daily Checklist'!$F$2:$F$2000="Done"))&amp;"/"&amp;SUMPRODUCT(('Daily Checklist'!$D$2:$D$2000=$A52)*(TEXT('Daily Checklist'!$B$2:$B$2000,"yyyy-mm-dd")=TEXT(($B$4+23),"yyyy-mm-dd")))&amp;" ESC",SUMPRODUCT(('Daily Checklist'!$D$2:$D$2000=$A52)*(TEXT('Daily Checklist'!$B$2:$B$2000,"yyyy-mm-dd")=TEXT(($B$4+23),"yyyy-mm-dd"))*('Daily Checklist'!$F$2:$F$2000="Done"))&amp;"/"&amp;SUMPRODUCT(('Daily Checklist'!$D$2:$D$2000=$A52)*(TEXT('Daily Checklist'!$B$2:$B$2000,"yyyy-mm-dd")=TEXT(($B$4+23),"yyyy-mm-dd"))))))</f>
        <v/>
      </c>
      <c r="Z52" s="25" t="str">
        <f aca="false">IF($A52="","",IF(SUMPRODUCT(('Daily Checklist'!$D$2:$D$2000=$A52)*(TEXT('Daily Checklist'!$B$2:$B$2000,"yyyy-mm-dd")=TEXT(($B$4+24),"yyyy-mm-dd")))=0,"-",IF(SUMPRODUCT(('Daily Checklist'!$D$2:$D$2000=$A52)*(TEXT('Daily Checklist'!$B$2:$B$2000,"yyyy-mm-dd")=TEXT(($B$4+24),"yyyy-mm-dd"))*('Daily Checklist'!$L$2:$L$2000="Y"))&gt;0,SUMPRODUCT(('Daily Checklist'!$D$2:$D$2000=$A52)*(TEXT('Daily Checklist'!$B$2:$B$2000,"yyyy-mm-dd")=TEXT(($B$4+24),"yyyy-mm-dd"))*('Daily Checklist'!$F$2:$F$2000="Done"))&amp;"/"&amp;SUMPRODUCT(('Daily Checklist'!$D$2:$D$2000=$A52)*(TEXT('Daily Checklist'!$B$2:$B$2000,"yyyy-mm-dd")=TEXT(($B$4+24),"yyyy-mm-dd")))&amp;" ESC",SUMPRODUCT(('Daily Checklist'!$D$2:$D$2000=$A52)*(TEXT('Daily Checklist'!$B$2:$B$2000,"yyyy-mm-dd")=TEXT(($B$4+24),"yyyy-mm-dd"))*('Daily Checklist'!$F$2:$F$2000="Done"))&amp;"/"&amp;SUMPRODUCT(('Daily Checklist'!$D$2:$D$2000=$A52)*(TEXT('Daily Checklist'!$B$2:$B$2000,"yyyy-mm-dd")=TEXT(($B$4+24),"yyyy-mm-dd"))))))</f>
        <v/>
      </c>
      <c r="AA52" s="25" t="str">
        <f aca="false">IF($A52="","",IF(SUMPRODUCT(('Daily Checklist'!$D$2:$D$2000=$A52)*(TEXT('Daily Checklist'!$B$2:$B$2000,"yyyy-mm-dd")=TEXT(($B$4+25),"yyyy-mm-dd")))=0,"-",IF(SUMPRODUCT(('Daily Checklist'!$D$2:$D$2000=$A52)*(TEXT('Daily Checklist'!$B$2:$B$2000,"yyyy-mm-dd")=TEXT(($B$4+25),"yyyy-mm-dd"))*('Daily Checklist'!$L$2:$L$2000="Y"))&gt;0,SUMPRODUCT(('Daily Checklist'!$D$2:$D$2000=$A52)*(TEXT('Daily Checklist'!$B$2:$B$2000,"yyyy-mm-dd")=TEXT(($B$4+25),"yyyy-mm-dd"))*('Daily Checklist'!$F$2:$F$2000="Done"))&amp;"/"&amp;SUMPRODUCT(('Daily Checklist'!$D$2:$D$2000=$A52)*(TEXT('Daily Checklist'!$B$2:$B$2000,"yyyy-mm-dd")=TEXT(($B$4+25),"yyyy-mm-dd")))&amp;" ESC",SUMPRODUCT(('Daily Checklist'!$D$2:$D$2000=$A52)*(TEXT('Daily Checklist'!$B$2:$B$2000,"yyyy-mm-dd")=TEXT(($B$4+25),"yyyy-mm-dd"))*('Daily Checklist'!$F$2:$F$2000="Done"))&amp;"/"&amp;SUMPRODUCT(('Daily Checklist'!$D$2:$D$2000=$A52)*(TEXT('Daily Checklist'!$B$2:$B$2000,"yyyy-mm-dd")=TEXT(($B$4+25),"yyyy-mm-dd"))))))</f>
        <v/>
      </c>
      <c r="AB52" s="25" t="str">
        <f aca="false">IF($A52="","",IF(SUMPRODUCT(('Daily Checklist'!$D$2:$D$2000=$A52)*(TEXT('Daily Checklist'!$B$2:$B$2000,"yyyy-mm-dd")=TEXT(($B$4+26),"yyyy-mm-dd")))=0,"-",IF(SUMPRODUCT(('Daily Checklist'!$D$2:$D$2000=$A52)*(TEXT('Daily Checklist'!$B$2:$B$2000,"yyyy-mm-dd")=TEXT(($B$4+26),"yyyy-mm-dd"))*('Daily Checklist'!$L$2:$L$2000="Y"))&gt;0,SUMPRODUCT(('Daily Checklist'!$D$2:$D$2000=$A52)*(TEXT('Daily Checklist'!$B$2:$B$2000,"yyyy-mm-dd")=TEXT(($B$4+26),"yyyy-mm-dd"))*('Daily Checklist'!$F$2:$F$2000="Done"))&amp;"/"&amp;SUMPRODUCT(('Daily Checklist'!$D$2:$D$2000=$A52)*(TEXT('Daily Checklist'!$B$2:$B$2000,"yyyy-mm-dd")=TEXT(($B$4+26),"yyyy-mm-dd")))&amp;" ESC",SUMPRODUCT(('Daily Checklist'!$D$2:$D$2000=$A52)*(TEXT('Daily Checklist'!$B$2:$B$2000,"yyyy-mm-dd")=TEXT(($B$4+26),"yyyy-mm-dd"))*('Daily Checklist'!$F$2:$F$2000="Done"))&amp;"/"&amp;SUMPRODUCT(('Daily Checklist'!$D$2:$D$2000=$A52)*(TEXT('Daily Checklist'!$B$2:$B$2000,"yyyy-mm-dd")=TEXT(($B$4+26),"yyyy-mm-dd"))))))</f>
        <v/>
      </c>
      <c r="AC52" s="25" t="str">
        <f aca="false">IF($A52="","",IF(SUMPRODUCT(('Daily Checklist'!$D$2:$D$2000=$A52)*(TEXT('Daily Checklist'!$B$2:$B$2000,"yyyy-mm-dd")=TEXT(($B$4+27),"yyyy-mm-dd")))=0,"-",IF(SUMPRODUCT(('Daily Checklist'!$D$2:$D$2000=$A52)*(TEXT('Daily Checklist'!$B$2:$B$2000,"yyyy-mm-dd")=TEXT(($B$4+27),"yyyy-mm-dd"))*('Daily Checklist'!$L$2:$L$2000="Y"))&gt;0,SUMPRODUCT(('Daily Checklist'!$D$2:$D$2000=$A52)*(TEXT('Daily Checklist'!$B$2:$B$2000,"yyyy-mm-dd")=TEXT(($B$4+27),"yyyy-mm-dd"))*('Daily Checklist'!$F$2:$F$2000="Done"))&amp;"/"&amp;SUMPRODUCT(('Daily Checklist'!$D$2:$D$2000=$A52)*(TEXT('Daily Checklist'!$B$2:$B$2000,"yyyy-mm-dd")=TEXT(($B$4+27),"yyyy-mm-dd")))&amp;" ESC",SUMPRODUCT(('Daily Checklist'!$D$2:$D$2000=$A52)*(TEXT('Daily Checklist'!$B$2:$B$2000,"yyyy-mm-dd")=TEXT(($B$4+27),"yyyy-mm-dd"))*('Daily Checklist'!$F$2:$F$2000="Done"))&amp;"/"&amp;SUMPRODUCT(('Daily Checklist'!$D$2:$D$2000=$A52)*(TEXT('Daily Checklist'!$B$2:$B$2000,"yyyy-mm-dd")=TEXT(($B$4+27),"yyyy-mm-dd"))))))</f>
        <v/>
      </c>
      <c r="AD52" s="25" t="str">
        <f aca="false">IF($A52="","",IF(SUMPRODUCT(('Daily Checklist'!$D$2:$D$2000=$A52)*(TEXT('Daily Checklist'!$B$2:$B$2000,"yyyy-mm-dd")=TEXT(($B$4+28),"yyyy-mm-dd")))=0,"-",IF(SUMPRODUCT(('Daily Checklist'!$D$2:$D$2000=$A52)*(TEXT('Daily Checklist'!$B$2:$B$2000,"yyyy-mm-dd")=TEXT(($B$4+28),"yyyy-mm-dd"))*('Daily Checklist'!$L$2:$L$2000="Y"))&gt;0,SUMPRODUCT(('Daily Checklist'!$D$2:$D$2000=$A52)*(TEXT('Daily Checklist'!$B$2:$B$2000,"yyyy-mm-dd")=TEXT(($B$4+28),"yyyy-mm-dd"))*('Daily Checklist'!$F$2:$F$2000="Done"))&amp;"/"&amp;SUMPRODUCT(('Daily Checklist'!$D$2:$D$2000=$A52)*(TEXT('Daily Checklist'!$B$2:$B$2000,"yyyy-mm-dd")=TEXT(($B$4+28),"yyyy-mm-dd")))&amp;" ESC",SUMPRODUCT(('Daily Checklist'!$D$2:$D$2000=$A52)*(TEXT('Daily Checklist'!$B$2:$B$2000,"yyyy-mm-dd")=TEXT(($B$4+28),"yyyy-mm-dd"))*('Daily Checklist'!$F$2:$F$2000="Done"))&amp;"/"&amp;SUMPRODUCT(('Daily Checklist'!$D$2:$D$2000=$A52)*(TEXT('Daily Checklist'!$B$2:$B$2000,"yyyy-mm-dd")=TEXT(($B$4+28),"yyyy-mm-dd"))))))</f>
        <v/>
      </c>
      <c r="AE52" s="25" t="str">
        <f aca="false">IF($A52="","",IF(SUMPRODUCT(('Daily Checklist'!$D$2:$D$2000=$A52)*(TEXT('Daily Checklist'!$B$2:$B$2000,"yyyy-mm-dd")=TEXT(($B$4+29),"yyyy-mm-dd")))=0,"-",IF(SUMPRODUCT(('Daily Checklist'!$D$2:$D$2000=$A52)*(TEXT('Daily Checklist'!$B$2:$B$2000,"yyyy-mm-dd")=TEXT(($B$4+29),"yyyy-mm-dd"))*('Daily Checklist'!$L$2:$L$2000="Y"))&gt;0,SUMPRODUCT(('Daily Checklist'!$D$2:$D$2000=$A52)*(TEXT('Daily Checklist'!$B$2:$B$2000,"yyyy-mm-dd")=TEXT(($B$4+29),"yyyy-mm-dd"))*('Daily Checklist'!$F$2:$F$2000="Done"))&amp;"/"&amp;SUMPRODUCT(('Daily Checklist'!$D$2:$D$2000=$A52)*(TEXT('Daily Checklist'!$B$2:$B$2000,"yyyy-mm-dd")=TEXT(($B$4+29),"yyyy-mm-dd")))&amp;" ESC",SUMPRODUCT(('Daily Checklist'!$D$2:$D$2000=$A52)*(TEXT('Daily Checklist'!$B$2:$B$2000,"yyyy-mm-dd")=TEXT(($B$4+29),"yyyy-mm-dd"))*('Daily Checklist'!$F$2:$F$2000="Done"))&amp;"/"&amp;SUMPRODUCT(('Daily Checklist'!$D$2:$D$2000=$A52)*(TEXT('Daily Checklist'!$B$2:$B$2000,"yyyy-mm-dd")=TEXT(($B$4+29),"yyyy-mm-dd"))))))</f>
        <v/>
      </c>
      <c r="AF52" s="25" t="str">
        <f aca="false">IF($A52="","",IF(SUMPRODUCT(('Daily Checklist'!$D$2:$D$2000=$A52)*(TEXT('Daily Checklist'!$B$2:$B$2000,"yyyy-mm-dd")=TEXT(($B$4+30),"yyyy-mm-dd")))=0,"-",IF(SUMPRODUCT(('Daily Checklist'!$D$2:$D$2000=$A52)*(TEXT('Daily Checklist'!$B$2:$B$2000,"yyyy-mm-dd")=TEXT(($B$4+30),"yyyy-mm-dd"))*('Daily Checklist'!$L$2:$L$2000="Y"))&gt;0,SUMPRODUCT(('Daily Checklist'!$D$2:$D$2000=$A52)*(TEXT('Daily Checklist'!$B$2:$B$2000,"yyyy-mm-dd")=TEXT(($B$4+30),"yyyy-mm-dd"))*('Daily Checklist'!$F$2:$F$2000="Done"))&amp;"/"&amp;SUMPRODUCT(('Daily Checklist'!$D$2:$D$2000=$A52)*(TEXT('Daily Checklist'!$B$2:$B$2000,"yyyy-mm-dd")=TEXT(($B$4+30),"yyyy-mm-dd")))&amp;" ESC",SUMPRODUCT(('Daily Checklist'!$D$2:$D$2000=$A52)*(TEXT('Daily Checklist'!$B$2:$B$2000,"yyyy-mm-dd")=TEXT(($B$4+30),"yyyy-mm-dd"))*('Daily Checklist'!$F$2:$F$2000="Done"))&amp;"/"&amp;SUMPRODUCT(('Daily Checklist'!$D$2:$D$2000=$A52)*(TEXT('Daily Checklist'!$B$2:$B$2000,"yyyy-mm-dd")=TEXT(($B$4+30),"yyyy-mm-dd"))))))</f>
        <v/>
      </c>
    </row>
    <row r="53" customFormat="false" ht="15" hidden="false" customHeight="true" outlineLevel="0" collapsed="false">
      <c r="A53" s="24" t="str">
        <f aca="false">IFERROR(IF(Employees!A48="","",Employees!A48),"")</f>
        <v/>
      </c>
      <c r="B53" s="25" t="str">
        <f aca="false">IF($A53="","",IF(SUMPRODUCT(('Daily Checklist'!$D$2:$D$2000=$A53)*(TEXT('Daily Checklist'!$B$2:$B$2000,"yyyy-mm-dd")=TEXT(($B$4+0),"yyyy-mm-dd")))=0,"-",IF(SUMPRODUCT(('Daily Checklist'!$D$2:$D$2000=$A53)*(TEXT('Daily Checklist'!$B$2:$B$2000,"yyyy-mm-dd")=TEXT(($B$4+0),"yyyy-mm-dd"))*('Daily Checklist'!$L$2:$L$2000="Y"))&gt;0,SUMPRODUCT(('Daily Checklist'!$D$2:$D$2000=$A53)*(TEXT('Daily Checklist'!$B$2:$B$2000,"yyyy-mm-dd")=TEXT(($B$4+0),"yyyy-mm-dd"))*('Daily Checklist'!$F$2:$F$2000="Done"))&amp;"/"&amp;SUMPRODUCT(('Daily Checklist'!$D$2:$D$2000=$A53)*(TEXT('Daily Checklist'!$B$2:$B$2000,"yyyy-mm-dd")=TEXT(($B$4+0),"yyyy-mm-dd")))&amp;" ESC",SUMPRODUCT(('Daily Checklist'!$D$2:$D$2000=$A53)*(TEXT('Daily Checklist'!$B$2:$B$2000,"yyyy-mm-dd")=TEXT(($B$4+0),"yyyy-mm-dd"))*('Daily Checklist'!$F$2:$F$2000="Done"))&amp;"/"&amp;SUMPRODUCT(('Daily Checklist'!$D$2:$D$2000=$A53)*(TEXT('Daily Checklist'!$B$2:$B$2000,"yyyy-mm-dd")=TEXT(($B$4+0),"yyyy-mm-dd"))))))</f>
        <v/>
      </c>
      <c r="C53" s="25" t="str">
        <f aca="false">IF($A53="","",IF(SUMPRODUCT(('Daily Checklist'!$D$2:$D$2000=$A53)*(TEXT('Daily Checklist'!$B$2:$B$2000,"yyyy-mm-dd")=TEXT(($B$4+1),"yyyy-mm-dd")))=0,"-",IF(SUMPRODUCT(('Daily Checklist'!$D$2:$D$2000=$A53)*(TEXT('Daily Checklist'!$B$2:$B$2000,"yyyy-mm-dd")=TEXT(($B$4+1),"yyyy-mm-dd"))*('Daily Checklist'!$L$2:$L$2000="Y"))&gt;0,SUMPRODUCT(('Daily Checklist'!$D$2:$D$2000=$A53)*(TEXT('Daily Checklist'!$B$2:$B$2000,"yyyy-mm-dd")=TEXT(($B$4+1),"yyyy-mm-dd"))*('Daily Checklist'!$F$2:$F$2000="Done"))&amp;"/"&amp;SUMPRODUCT(('Daily Checklist'!$D$2:$D$2000=$A53)*(TEXT('Daily Checklist'!$B$2:$B$2000,"yyyy-mm-dd")=TEXT(($B$4+1),"yyyy-mm-dd")))&amp;" ESC",SUMPRODUCT(('Daily Checklist'!$D$2:$D$2000=$A53)*(TEXT('Daily Checklist'!$B$2:$B$2000,"yyyy-mm-dd")=TEXT(($B$4+1),"yyyy-mm-dd"))*('Daily Checklist'!$F$2:$F$2000="Done"))&amp;"/"&amp;SUMPRODUCT(('Daily Checklist'!$D$2:$D$2000=$A53)*(TEXT('Daily Checklist'!$B$2:$B$2000,"yyyy-mm-dd")=TEXT(($B$4+1),"yyyy-mm-dd"))))))</f>
        <v/>
      </c>
      <c r="D53" s="25" t="str">
        <f aca="false">IF($A53="","",IF(SUMPRODUCT(('Daily Checklist'!$D$2:$D$2000=$A53)*(TEXT('Daily Checklist'!$B$2:$B$2000,"yyyy-mm-dd")=TEXT(($B$4+2),"yyyy-mm-dd")))=0,"-",IF(SUMPRODUCT(('Daily Checklist'!$D$2:$D$2000=$A53)*(TEXT('Daily Checklist'!$B$2:$B$2000,"yyyy-mm-dd")=TEXT(($B$4+2),"yyyy-mm-dd"))*('Daily Checklist'!$L$2:$L$2000="Y"))&gt;0,SUMPRODUCT(('Daily Checklist'!$D$2:$D$2000=$A53)*(TEXT('Daily Checklist'!$B$2:$B$2000,"yyyy-mm-dd")=TEXT(($B$4+2),"yyyy-mm-dd"))*('Daily Checklist'!$F$2:$F$2000="Done"))&amp;"/"&amp;SUMPRODUCT(('Daily Checklist'!$D$2:$D$2000=$A53)*(TEXT('Daily Checklist'!$B$2:$B$2000,"yyyy-mm-dd")=TEXT(($B$4+2),"yyyy-mm-dd")))&amp;" ESC",SUMPRODUCT(('Daily Checklist'!$D$2:$D$2000=$A53)*(TEXT('Daily Checklist'!$B$2:$B$2000,"yyyy-mm-dd")=TEXT(($B$4+2),"yyyy-mm-dd"))*('Daily Checklist'!$F$2:$F$2000="Done"))&amp;"/"&amp;SUMPRODUCT(('Daily Checklist'!$D$2:$D$2000=$A53)*(TEXT('Daily Checklist'!$B$2:$B$2000,"yyyy-mm-dd")=TEXT(($B$4+2),"yyyy-mm-dd"))))))</f>
        <v/>
      </c>
      <c r="E53" s="25" t="str">
        <f aca="false">IF($A53="","",IF(SUMPRODUCT(('Daily Checklist'!$D$2:$D$2000=$A53)*(TEXT('Daily Checklist'!$B$2:$B$2000,"yyyy-mm-dd")=TEXT(($B$4+3),"yyyy-mm-dd")))=0,"-",IF(SUMPRODUCT(('Daily Checklist'!$D$2:$D$2000=$A53)*(TEXT('Daily Checklist'!$B$2:$B$2000,"yyyy-mm-dd")=TEXT(($B$4+3),"yyyy-mm-dd"))*('Daily Checklist'!$L$2:$L$2000="Y"))&gt;0,SUMPRODUCT(('Daily Checklist'!$D$2:$D$2000=$A53)*(TEXT('Daily Checklist'!$B$2:$B$2000,"yyyy-mm-dd")=TEXT(($B$4+3),"yyyy-mm-dd"))*('Daily Checklist'!$F$2:$F$2000="Done"))&amp;"/"&amp;SUMPRODUCT(('Daily Checklist'!$D$2:$D$2000=$A53)*(TEXT('Daily Checklist'!$B$2:$B$2000,"yyyy-mm-dd")=TEXT(($B$4+3),"yyyy-mm-dd")))&amp;" ESC",SUMPRODUCT(('Daily Checklist'!$D$2:$D$2000=$A53)*(TEXT('Daily Checklist'!$B$2:$B$2000,"yyyy-mm-dd")=TEXT(($B$4+3),"yyyy-mm-dd"))*('Daily Checklist'!$F$2:$F$2000="Done"))&amp;"/"&amp;SUMPRODUCT(('Daily Checklist'!$D$2:$D$2000=$A53)*(TEXT('Daily Checklist'!$B$2:$B$2000,"yyyy-mm-dd")=TEXT(($B$4+3),"yyyy-mm-dd"))))))</f>
        <v/>
      </c>
      <c r="F53" s="25" t="str">
        <f aca="false">IF($A53="","",IF(SUMPRODUCT(('Daily Checklist'!$D$2:$D$2000=$A53)*(TEXT('Daily Checklist'!$B$2:$B$2000,"yyyy-mm-dd")=TEXT(($B$4+4),"yyyy-mm-dd")))=0,"-",IF(SUMPRODUCT(('Daily Checklist'!$D$2:$D$2000=$A53)*(TEXT('Daily Checklist'!$B$2:$B$2000,"yyyy-mm-dd")=TEXT(($B$4+4),"yyyy-mm-dd"))*('Daily Checklist'!$L$2:$L$2000="Y"))&gt;0,SUMPRODUCT(('Daily Checklist'!$D$2:$D$2000=$A53)*(TEXT('Daily Checklist'!$B$2:$B$2000,"yyyy-mm-dd")=TEXT(($B$4+4),"yyyy-mm-dd"))*('Daily Checklist'!$F$2:$F$2000="Done"))&amp;"/"&amp;SUMPRODUCT(('Daily Checklist'!$D$2:$D$2000=$A53)*(TEXT('Daily Checklist'!$B$2:$B$2000,"yyyy-mm-dd")=TEXT(($B$4+4),"yyyy-mm-dd")))&amp;" ESC",SUMPRODUCT(('Daily Checklist'!$D$2:$D$2000=$A53)*(TEXT('Daily Checklist'!$B$2:$B$2000,"yyyy-mm-dd")=TEXT(($B$4+4),"yyyy-mm-dd"))*('Daily Checklist'!$F$2:$F$2000="Done"))&amp;"/"&amp;SUMPRODUCT(('Daily Checklist'!$D$2:$D$2000=$A53)*(TEXT('Daily Checklist'!$B$2:$B$2000,"yyyy-mm-dd")=TEXT(($B$4+4),"yyyy-mm-dd"))))))</f>
        <v/>
      </c>
      <c r="G53" s="25" t="str">
        <f aca="false">IF($A53="","",IF(SUMPRODUCT(('Daily Checklist'!$D$2:$D$2000=$A53)*(TEXT('Daily Checklist'!$B$2:$B$2000,"yyyy-mm-dd")=TEXT(($B$4+5),"yyyy-mm-dd")))=0,"-",IF(SUMPRODUCT(('Daily Checklist'!$D$2:$D$2000=$A53)*(TEXT('Daily Checklist'!$B$2:$B$2000,"yyyy-mm-dd")=TEXT(($B$4+5),"yyyy-mm-dd"))*('Daily Checklist'!$L$2:$L$2000="Y"))&gt;0,SUMPRODUCT(('Daily Checklist'!$D$2:$D$2000=$A53)*(TEXT('Daily Checklist'!$B$2:$B$2000,"yyyy-mm-dd")=TEXT(($B$4+5),"yyyy-mm-dd"))*('Daily Checklist'!$F$2:$F$2000="Done"))&amp;"/"&amp;SUMPRODUCT(('Daily Checklist'!$D$2:$D$2000=$A53)*(TEXT('Daily Checklist'!$B$2:$B$2000,"yyyy-mm-dd")=TEXT(($B$4+5),"yyyy-mm-dd")))&amp;" ESC",SUMPRODUCT(('Daily Checklist'!$D$2:$D$2000=$A53)*(TEXT('Daily Checklist'!$B$2:$B$2000,"yyyy-mm-dd")=TEXT(($B$4+5),"yyyy-mm-dd"))*('Daily Checklist'!$F$2:$F$2000="Done"))&amp;"/"&amp;SUMPRODUCT(('Daily Checklist'!$D$2:$D$2000=$A53)*(TEXT('Daily Checklist'!$B$2:$B$2000,"yyyy-mm-dd")=TEXT(($B$4+5),"yyyy-mm-dd"))))))</f>
        <v/>
      </c>
      <c r="H53" s="25" t="str">
        <f aca="false">IF($A53="","",IF(SUMPRODUCT(('Daily Checklist'!$D$2:$D$2000=$A53)*(TEXT('Daily Checklist'!$B$2:$B$2000,"yyyy-mm-dd")=TEXT(($B$4+6),"yyyy-mm-dd")))=0,"-",IF(SUMPRODUCT(('Daily Checklist'!$D$2:$D$2000=$A53)*(TEXT('Daily Checklist'!$B$2:$B$2000,"yyyy-mm-dd")=TEXT(($B$4+6),"yyyy-mm-dd"))*('Daily Checklist'!$L$2:$L$2000="Y"))&gt;0,SUMPRODUCT(('Daily Checklist'!$D$2:$D$2000=$A53)*(TEXT('Daily Checklist'!$B$2:$B$2000,"yyyy-mm-dd")=TEXT(($B$4+6),"yyyy-mm-dd"))*('Daily Checklist'!$F$2:$F$2000="Done"))&amp;"/"&amp;SUMPRODUCT(('Daily Checklist'!$D$2:$D$2000=$A53)*(TEXT('Daily Checklist'!$B$2:$B$2000,"yyyy-mm-dd")=TEXT(($B$4+6),"yyyy-mm-dd")))&amp;" ESC",SUMPRODUCT(('Daily Checklist'!$D$2:$D$2000=$A53)*(TEXT('Daily Checklist'!$B$2:$B$2000,"yyyy-mm-dd")=TEXT(($B$4+6),"yyyy-mm-dd"))*('Daily Checklist'!$F$2:$F$2000="Done"))&amp;"/"&amp;SUMPRODUCT(('Daily Checklist'!$D$2:$D$2000=$A53)*(TEXT('Daily Checklist'!$B$2:$B$2000,"yyyy-mm-dd")=TEXT(($B$4+6),"yyyy-mm-dd"))))))</f>
        <v/>
      </c>
      <c r="I53" s="25" t="str">
        <f aca="false">IF($A53="","",IF(SUMPRODUCT(('Daily Checklist'!$D$2:$D$2000=$A53)*(TEXT('Daily Checklist'!$B$2:$B$2000,"yyyy-mm-dd")=TEXT(($B$4+7),"yyyy-mm-dd")))=0,"-",IF(SUMPRODUCT(('Daily Checklist'!$D$2:$D$2000=$A53)*(TEXT('Daily Checklist'!$B$2:$B$2000,"yyyy-mm-dd")=TEXT(($B$4+7),"yyyy-mm-dd"))*('Daily Checklist'!$L$2:$L$2000="Y"))&gt;0,SUMPRODUCT(('Daily Checklist'!$D$2:$D$2000=$A53)*(TEXT('Daily Checklist'!$B$2:$B$2000,"yyyy-mm-dd")=TEXT(($B$4+7),"yyyy-mm-dd"))*('Daily Checklist'!$F$2:$F$2000="Done"))&amp;"/"&amp;SUMPRODUCT(('Daily Checklist'!$D$2:$D$2000=$A53)*(TEXT('Daily Checklist'!$B$2:$B$2000,"yyyy-mm-dd")=TEXT(($B$4+7),"yyyy-mm-dd")))&amp;" ESC",SUMPRODUCT(('Daily Checklist'!$D$2:$D$2000=$A53)*(TEXT('Daily Checklist'!$B$2:$B$2000,"yyyy-mm-dd")=TEXT(($B$4+7),"yyyy-mm-dd"))*('Daily Checklist'!$F$2:$F$2000="Done"))&amp;"/"&amp;SUMPRODUCT(('Daily Checklist'!$D$2:$D$2000=$A53)*(TEXT('Daily Checklist'!$B$2:$B$2000,"yyyy-mm-dd")=TEXT(($B$4+7),"yyyy-mm-dd"))))))</f>
        <v/>
      </c>
      <c r="J53" s="25" t="str">
        <f aca="false">IF($A53="","",IF(SUMPRODUCT(('Daily Checklist'!$D$2:$D$2000=$A53)*(TEXT('Daily Checklist'!$B$2:$B$2000,"yyyy-mm-dd")=TEXT(($B$4+8),"yyyy-mm-dd")))=0,"-",IF(SUMPRODUCT(('Daily Checklist'!$D$2:$D$2000=$A53)*(TEXT('Daily Checklist'!$B$2:$B$2000,"yyyy-mm-dd")=TEXT(($B$4+8),"yyyy-mm-dd"))*('Daily Checklist'!$L$2:$L$2000="Y"))&gt;0,SUMPRODUCT(('Daily Checklist'!$D$2:$D$2000=$A53)*(TEXT('Daily Checklist'!$B$2:$B$2000,"yyyy-mm-dd")=TEXT(($B$4+8),"yyyy-mm-dd"))*('Daily Checklist'!$F$2:$F$2000="Done"))&amp;"/"&amp;SUMPRODUCT(('Daily Checklist'!$D$2:$D$2000=$A53)*(TEXT('Daily Checklist'!$B$2:$B$2000,"yyyy-mm-dd")=TEXT(($B$4+8),"yyyy-mm-dd")))&amp;" ESC",SUMPRODUCT(('Daily Checklist'!$D$2:$D$2000=$A53)*(TEXT('Daily Checklist'!$B$2:$B$2000,"yyyy-mm-dd")=TEXT(($B$4+8),"yyyy-mm-dd"))*('Daily Checklist'!$F$2:$F$2000="Done"))&amp;"/"&amp;SUMPRODUCT(('Daily Checklist'!$D$2:$D$2000=$A53)*(TEXT('Daily Checklist'!$B$2:$B$2000,"yyyy-mm-dd")=TEXT(($B$4+8),"yyyy-mm-dd"))))))</f>
        <v/>
      </c>
      <c r="K53" s="25" t="str">
        <f aca="false">IF($A53="","",IF(SUMPRODUCT(('Daily Checklist'!$D$2:$D$2000=$A53)*(TEXT('Daily Checklist'!$B$2:$B$2000,"yyyy-mm-dd")=TEXT(($B$4+9),"yyyy-mm-dd")))=0,"-",IF(SUMPRODUCT(('Daily Checklist'!$D$2:$D$2000=$A53)*(TEXT('Daily Checklist'!$B$2:$B$2000,"yyyy-mm-dd")=TEXT(($B$4+9),"yyyy-mm-dd"))*('Daily Checklist'!$L$2:$L$2000="Y"))&gt;0,SUMPRODUCT(('Daily Checklist'!$D$2:$D$2000=$A53)*(TEXT('Daily Checklist'!$B$2:$B$2000,"yyyy-mm-dd")=TEXT(($B$4+9),"yyyy-mm-dd"))*('Daily Checklist'!$F$2:$F$2000="Done"))&amp;"/"&amp;SUMPRODUCT(('Daily Checklist'!$D$2:$D$2000=$A53)*(TEXT('Daily Checklist'!$B$2:$B$2000,"yyyy-mm-dd")=TEXT(($B$4+9),"yyyy-mm-dd")))&amp;" ESC",SUMPRODUCT(('Daily Checklist'!$D$2:$D$2000=$A53)*(TEXT('Daily Checklist'!$B$2:$B$2000,"yyyy-mm-dd")=TEXT(($B$4+9),"yyyy-mm-dd"))*('Daily Checklist'!$F$2:$F$2000="Done"))&amp;"/"&amp;SUMPRODUCT(('Daily Checklist'!$D$2:$D$2000=$A53)*(TEXT('Daily Checklist'!$B$2:$B$2000,"yyyy-mm-dd")=TEXT(($B$4+9),"yyyy-mm-dd"))))))</f>
        <v/>
      </c>
      <c r="L53" s="25" t="str">
        <f aca="false">IF($A53="","",IF(SUMPRODUCT(('Daily Checklist'!$D$2:$D$2000=$A53)*(TEXT('Daily Checklist'!$B$2:$B$2000,"yyyy-mm-dd")=TEXT(($B$4+10),"yyyy-mm-dd")))=0,"-",IF(SUMPRODUCT(('Daily Checklist'!$D$2:$D$2000=$A53)*(TEXT('Daily Checklist'!$B$2:$B$2000,"yyyy-mm-dd")=TEXT(($B$4+10),"yyyy-mm-dd"))*('Daily Checklist'!$L$2:$L$2000="Y"))&gt;0,SUMPRODUCT(('Daily Checklist'!$D$2:$D$2000=$A53)*(TEXT('Daily Checklist'!$B$2:$B$2000,"yyyy-mm-dd")=TEXT(($B$4+10),"yyyy-mm-dd"))*('Daily Checklist'!$F$2:$F$2000="Done"))&amp;"/"&amp;SUMPRODUCT(('Daily Checklist'!$D$2:$D$2000=$A53)*(TEXT('Daily Checklist'!$B$2:$B$2000,"yyyy-mm-dd")=TEXT(($B$4+10),"yyyy-mm-dd")))&amp;" ESC",SUMPRODUCT(('Daily Checklist'!$D$2:$D$2000=$A53)*(TEXT('Daily Checklist'!$B$2:$B$2000,"yyyy-mm-dd")=TEXT(($B$4+10),"yyyy-mm-dd"))*('Daily Checklist'!$F$2:$F$2000="Done"))&amp;"/"&amp;SUMPRODUCT(('Daily Checklist'!$D$2:$D$2000=$A53)*(TEXT('Daily Checklist'!$B$2:$B$2000,"yyyy-mm-dd")=TEXT(($B$4+10),"yyyy-mm-dd"))))))</f>
        <v/>
      </c>
      <c r="M53" s="25" t="str">
        <f aca="false">IF($A53="","",IF(SUMPRODUCT(('Daily Checklist'!$D$2:$D$2000=$A53)*(TEXT('Daily Checklist'!$B$2:$B$2000,"yyyy-mm-dd")=TEXT(($B$4+11),"yyyy-mm-dd")))=0,"-",IF(SUMPRODUCT(('Daily Checklist'!$D$2:$D$2000=$A53)*(TEXT('Daily Checklist'!$B$2:$B$2000,"yyyy-mm-dd")=TEXT(($B$4+11),"yyyy-mm-dd"))*('Daily Checklist'!$L$2:$L$2000="Y"))&gt;0,SUMPRODUCT(('Daily Checklist'!$D$2:$D$2000=$A53)*(TEXT('Daily Checklist'!$B$2:$B$2000,"yyyy-mm-dd")=TEXT(($B$4+11),"yyyy-mm-dd"))*('Daily Checklist'!$F$2:$F$2000="Done"))&amp;"/"&amp;SUMPRODUCT(('Daily Checklist'!$D$2:$D$2000=$A53)*(TEXT('Daily Checklist'!$B$2:$B$2000,"yyyy-mm-dd")=TEXT(($B$4+11),"yyyy-mm-dd")))&amp;" ESC",SUMPRODUCT(('Daily Checklist'!$D$2:$D$2000=$A53)*(TEXT('Daily Checklist'!$B$2:$B$2000,"yyyy-mm-dd")=TEXT(($B$4+11),"yyyy-mm-dd"))*('Daily Checklist'!$F$2:$F$2000="Done"))&amp;"/"&amp;SUMPRODUCT(('Daily Checklist'!$D$2:$D$2000=$A53)*(TEXT('Daily Checklist'!$B$2:$B$2000,"yyyy-mm-dd")=TEXT(($B$4+11),"yyyy-mm-dd"))))))</f>
        <v/>
      </c>
      <c r="N53" s="25" t="str">
        <f aca="false">IF($A53="","",IF(SUMPRODUCT(('Daily Checklist'!$D$2:$D$2000=$A53)*(TEXT('Daily Checklist'!$B$2:$B$2000,"yyyy-mm-dd")=TEXT(($B$4+12),"yyyy-mm-dd")))=0,"-",IF(SUMPRODUCT(('Daily Checklist'!$D$2:$D$2000=$A53)*(TEXT('Daily Checklist'!$B$2:$B$2000,"yyyy-mm-dd")=TEXT(($B$4+12),"yyyy-mm-dd"))*('Daily Checklist'!$L$2:$L$2000="Y"))&gt;0,SUMPRODUCT(('Daily Checklist'!$D$2:$D$2000=$A53)*(TEXT('Daily Checklist'!$B$2:$B$2000,"yyyy-mm-dd")=TEXT(($B$4+12),"yyyy-mm-dd"))*('Daily Checklist'!$F$2:$F$2000="Done"))&amp;"/"&amp;SUMPRODUCT(('Daily Checklist'!$D$2:$D$2000=$A53)*(TEXT('Daily Checklist'!$B$2:$B$2000,"yyyy-mm-dd")=TEXT(($B$4+12),"yyyy-mm-dd")))&amp;" ESC",SUMPRODUCT(('Daily Checklist'!$D$2:$D$2000=$A53)*(TEXT('Daily Checklist'!$B$2:$B$2000,"yyyy-mm-dd")=TEXT(($B$4+12),"yyyy-mm-dd"))*('Daily Checklist'!$F$2:$F$2000="Done"))&amp;"/"&amp;SUMPRODUCT(('Daily Checklist'!$D$2:$D$2000=$A53)*(TEXT('Daily Checklist'!$B$2:$B$2000,"yyyy-mm-dd")=TEXT(($B$4+12),"yyyy-mm-dd"))))))</f>
        <v/>
      </c>
      <c r="O53" s="25" t="str">
        <f aca="false">IF($A53="","",IF(SUMPRODUCT(('Daily Checklist'!$D$2:$D$2000=$A53)*(TEXT('Daily Checklist'!$B$2:$B$2000,"yyyy-mm-dd")=TEXT(($B$4+13),"yyyy-mm-dd")))=0,"-",IF(SUMPRODUCT(('Daily Checklist'!$D$2:$D$2000=$A53)*(TEXT('Daily Checklist'!$B$2:$B$2000,"yyyy-mm-dd")=TEXT(($B$4+13),"yyyy-mm-dd"))*('Daily Checklist'!$L$2:$L$2000="Y"))&gt;0,SUMPRODUCT(('Daily Checklist'!$D$2:$D$2000=$A53)*(TEXT('Daily Checklist'!$B$2:$B$2000,"yyyy-mm-dd")=TEXT(($B$4+13),"yyyy-mm-dd"))*('Daily Checklist'!$F$2:$F$2000="Done"))&amp;"/"&amp;SUMPRODUCT(('Daily Checklist'!$D$2:$D$2000=$A53)*(TEXT('Daily Checklist'!$B$2:$B$2000,"yyyy-mm-dd")=TEXT(($B$4+13),"yyyy-mm-dd")))&amp;" ESC",SUMPRODUCT(('Daily Checklist'!$D$2:$D$2000=$A53)*(TEXT('Daily Checklist'!$B$2:$B$2000,"yyyy-mm-dd")=TEXT(($B$4+13),"yyyy-mm-dd"))*('Daily Checklist'!$F$2:$F$2000="Done"))&amp;"/"&amp;SUMPRODUCT(('Daily Checklist'!$D$2:$D$2000=$A53)*(TEXT('Daily Checklist'!$B$2:$B$2000,"yyyy-mm-dd")=TEXT(($B$4+13),"yyyy-mm-dd"))))))</f>
        <v/>
      </c>
      <c r="P53" s="25" t="str">
        <f aca="false">IF($A53="","",IF(SUMPRODUCT(('Daily Checklist'!$D$2:$D$2000=$A53)*(TEXT('Daily Checklist'!$B$2:$B$2000,"yyyy-mm-dd")=TEXT(($B$4+14),"yyyy-mm-dd")))=0,"-",IF(SUMPRODUCT(('Daily Checklist'!$D$2:$D$2000=$A53)*(TEXT('Daily Checklist'!$B$2:$B$2000,"yyyy-mm-dd")=TEXT(($B$4+14),"yyyy-mm-dd"))*('Daily Checklist'!$L$2:$L$2000="Y"))&gt;0,SUMPRODUCT(('Daily Checklist'!$D$2:$D$2000=$A53)*(TEXT('Daily Checklist'!$B$2:$B$2000,"yyyy-mm-dd")=TEXT(($B$4+14),"yyyy-mm-dd"))*('Daily Checklist'!$F$2:$F$2000="Done"))&amp;"/"&amp;SUMPRODUCT(('Daily Checklist'!$D$2:$D$2000=$A53)*(TEXT('Daily Checklist'!$B$2:$B$2000,"yyyy-mm-dd")=TEXT(($B$4+14),"yyyy-mm-dd")))&amp;" ESC",SUMPRODUCT(('Daily Checklist'!$D$2:$D$2000=$A53)*(TEXT('Daily Checklist'!$B$2:$B$2000,"yyyy-mm-dd")=TEXT(($B$4+14),"yyyy-mm-dd"))*('Daily Checklist'!$F$2:$F$2000="Done"))&amp;"/"&amp;SUMPRODUCT(('Daily Checklist'!$D$2:$D$2000=$A53)*(TEXT('Daily Checklist'!$B$2:$B$2000,"yyyy-mm-dd")=TEXT(($B$4+14),"yyyy-mm-dd"))))))</f>
        <v/>
      </c>
      <c r="Q53" s="25" t="str">
        <f aca="false">IF($A53="","",IF(SUMPRODUCT(('Daily Checklist'!$D$2:$D$2000=$A53)*(TEXT('Daily Checklist'!$B$2:$B$2000,"yyyy-mm-dd")=TEXT(($B$4+15),"yyyy-mm-dd")))=0,"-",IF(SUMPRODUCT(('Daily Checklist'!$D$2:$D$2000=$A53)*(TEXT('Daily Checklist'!$B$2:$B$2000,"yyyy-mm-dd")=TEXT(($B$4+15),"yyyy-mm-dd"))*('Daily Checklist'!$L$2:$L$2000="Y"))&gt;0,SUMPRODUCT(('Daily Checklist'!$D$2:$D$2000=$A53)*(TEXT('Daily Checklist'!$B$2:$B$2000,"yyyy-mm-dd")=TEXT(($B$4+15),"yyyy-mm-dd"))*('Daily Checklist'!$F$2:$F$2000="Done"))&amp;"/"&amp;SUMPRODUCT(('Daily Checklist'!$D$2:$D$2000=$A53)*(TEXT('Daily Checklist'!$B$2:$B$2000,"yyyy-mm-dd")=TEXT(($B$4+15),"yyyy-mm-dd")))&amp;" ESC",SUMPRODUCT(('Daily Checklist'!$D$2:$D$2000=$A53)*(TEXT('Daily Checklist'!$B$2:$B$2000,"yyyy-mm-dd")=TEXT(($B$4+15),"yyyy-mm-dd"))*('Daily Checklist'!$F$2:$F$2000="Done"))&amp;"/"&amp;SUMPRODUCT(('Daily Checklist'!$D$2:$D$2000=$A53)*(TEXT('Daily Checklist'!$B$2:$B$2000,"yyyy-mm-dd")=TEXT(($B$4+15),"yyyy-mm-dd"))))))</f>
        <v/>
      </c>
      <c r="R53" s="25" t="str">
        <f aca="false">IF($A53="","",IF(SUMPRODUCT(('Daily Checklist'!$D$2:$D$2000=$A53)*(TEXT('Daily Checklist'!$B$2:$B$2000,"yyyy-mm-dd")=TEXT(($B$4+16),"yyyy-mm-dd")))=0,"-",IF(SUMPRODUCT(('Daily Checklist'!$D$2:$D$2000=$A53)*(TEXT('Daily Checklist'!$B$2:$B$2000,"yyyy-mm-dd")=TEXT(($B$4+16),"yyyy-mm-dd"))*('Daily Checklist'!$L$2:$L$2000="Y"))&gt;0,SUMPRODUCT(('Daily Checklist'!$D$2:$D$2000=$A53)*(TEXT('Daily Checklist'!$B$2:$B$2000,"yyyy-mm-dd")=TEXT(($B$4+16),"yyyy-mm-dd"))*('Daily Checklist'!$F$2:$F$2000="Done"))&amp;"/"&amp;SUMPRODUCT(('Daily Checklist'!$D$2:$D$2000=$A53)*(TEXT('Daily Checklist'!$B$2:$B$2000,"yyyy-mm-dd")=TEXT(($B$4+16),"yyyy-mm-dd")))&amp;" ESC",SUMPRODUCT(('Daily Checklist'!$D$2:$D$2000=$A53)*(TEXT('Daily Checklist'!$B$2:$B$2000,"yyyy-mm-dd")=TEXT(($B$4+16),"yyyy-mm-dd"))*('Daily Checklist'!$F$2:$F$2000="Done"))&amp;"/"&amp;SUMPRODUCT(('Daily Checklist'!$D$2:$D$2000=$A53)*(TEXT('Daily Checklist'!$B$2:$B$2000,"yyyy-mm-dd")=TEXT(($B$4+16),"yyyy-mm-dd"))))))</f>
        <v/>
      </c>
      <c r="S53" s="25" t="str">
        <f aca="false">IF($A53="","",IF(SUMPRODUCT(('Daily Checklist'!$D$2:$D$2000=$A53)*(TEXT('Daily Checklist'!$B$2:$B$2000,"yyyy-mm-dd")=TEXT(($B$4+17),"yyyy-mm-dd")))=0,"-",IF(SUMPRODUCT(('Daily Checklist'!$D$2:$D$2000=$A53)*(TEXT('Daily Checklist'!$B$2:$B$2000,"yyyy-mm-dd")=TEXT(($B$4+17),"yyyy-mm-dd"))*('Daily Checklist'!$L$2:$L$2000="Y"))&gt;0,SUMPRODUCT(('Daily Checklist'!$D$2:$D$2000=$A53)*(TEXT('Daily Checklist'!$B$2:$B$2000,"yyyy-mm-dd")=TEXT(($B$4+17),"yyyy-mm-dd"))*('Daily Checklist'!$F$2:$F$2000="Done"))&amp;"/"&amp;SUMPRODUCT(('Daily Checklist'!$D$2:$D$2000=$A53)*(TEXT('Daily Checklist'!$B$2:$B$2000,"yyyy-mm-dd")=TEXT(($B$4+17),"yyyy-mm-dd")))&amp;" ESC",SUMPRODUCT(('Daily Checklist'!$D$2:$D$2000=$A53)*(TEXT('Daily Checklist'!$B$2:$B$2000,"yyyy-mm-dd")=TEXT(($B$4+17),"yyyy-mm-dd"))*('Daily Checklist'!$F$2:$F$2000="Done"))&amp;"/"&amp;SUMPRODUCT(('Daily Checklist'!$D$2:$D$2000=$A53)*(TEXT('Daily Checklist'!$B$2:$B$2000,"yyyy-mm-dd")=TEXT(($B$4+17),"yyyy-mm-dd"))))))</f>
        <v/>
      </c>
      <c r="T53" s="25" t="str">
        <f aca="false">IF($A53="","",IF(SUMPRODUCT(('Daily Checklist'!$D$2:$D$2000=$A53)*(TEXT('Daily Checklist'!$B$2:$B$2000,"yyyy-mm-dd")=TEXT(($B$4+18),"yyyy-mm-dd")))=0,"-",IF(SUMPRODUCT(('Daily Checklist'!$D$2:$D$2000=$A53)*(TEXT('Daily Checklist'!$B$2:$B$2000,"yyyy-mm-dd")=TEXT(($B$4+18),"yyyy-mm-dd"))*('Daily Checklist'!$L$2:$L$2000="Y"))&gt;0,SUMPRODUCT(('Daily Checklist'!$D$2:$D$2000=$A53)*(TEXT('Daily Checklist'!$B$2:$B$2000,"yyyy-mm-dd")=TEXT(($B$4+18),"yyyy-mm-dd"))*('Daily Checklist'!$F$2:$F$2000="Done"))&amp;"/"&amp;SUMPRODUCT(('Daily Checklist'!$D$2:$D$2000=$A53)*(TEXT('Daily Checklist'!$B$2:$B$2000,"yyyy-mm-dd")=TEXT(($B$4+18),"yyyy-mm-dd")))&amp;" ESC",SUMPRODUCT(('Daily Checklist'!$D$2:$D$2000=$A53)*(TEXT('Daily Checklist'!$B$2:$B$2000,"yyyy-mm-dd")=TEXT(($B$4+18),"yyyy-mm-dd"))*('Daily Checklist'!$F$2:$F$2000="Done"))&amp;"/"&amp;SUMPRODUCT(('Daily Checklist'!$D$2:$D$2000=$A53)*(TEXT('Daily Checklist'!$B$2:$B$2000,"yyyy-mm-dd")=TEXT(($B$4+18),"yyyy-mm-dd"))))))</f>
        <v/>
      </c>
      <c r="U53" s="25" t="str">
        <f aca="false">IF($A53="","",IF(SUMPRODUCT(('Daily Checklist'!$D$2:$D$2000=$A53)*(TEXT('Daily Checklist'!$B$2:$B$2000,"yyyy-mm-dd")=TEXT(($B$4+19),"yyyy-mm-dd")))=0,"-",IF(SUMPRODUCT(('Daily Checklist'!$D$2:$D$2000=$A53)*(TEXT('Daily Checklist'!$B$2:$B$2000,"yyyy-mm-dd")=TEXT(($B$4+19),"yyyy-mm-dd"))*('Daily Checklist'!$L$2:$L$2000="Y"))&gt;0,SUMPRODUCT(('Daily Checklist'!$D$2:$D$2000=$A53)*(TEXT('Daily Checklist'!$B$2:$B$2000,"yyyy-mm-dd")=TEXT(($B$4+19),"yyyy-mm-dd"))*('Daily Checklist'!$F$2:$F$2000="Done"))&amp;"/"&amp;SUMPRODUCT(('Daily Checklist'!$D$2:$D$2000=$A53)*(TEXT('Daily Checklist'!$B$2:$B$2000,"yyyy-mm-dd")=TEXT(($B$4+19),"yyyy-mm-dd")))&amp;" ESC",SUMPRODUCT(('Daily Checklist'!$D$2:$D$2000=$A53)*(TEXT('Daily Checklist'!$B$2:$B$2000,"yyyy-mm-dd")=TEXT(($B$4+19),"yyyy-mm-dd"))*('Daily Checklist'!$F$2:$F$2000="Done"))&amp;"/"&amp;SUMPRODUCT(('Daily Checklist'!$D$2:$D$2000=$A53)*(TEXT('Daily Checklist'!$B$2:$B$2000,"yyyy-mm-dd")=TEXT(($B$4+19),"yyyy-mm-dd"))))))</f>
        <v/>
      </c>
      <c r="V53" s="25" t="str">
        <f aca="false">IF($A53="","",IF(SUMPRODUCT(('Daily Checklist'!$D$2:$D$2000=$A53)*(TEXT('Daily Checklist'!$B$2:$B$2000,"yyyy-mm-dd")=TEXT(($B$4+20),"yyyy-mm-dd")))=0,"-",IF(SUMPRODUCT(('Daily Checklist'!$D$2:$D$2000=$A53)*(TEXT('Daily Checklist'!$B$2:$B$2000,"yyyy-mm-dd")=TEXT(($B$4+20),"yyyy-mm-dd"))*('Daily Checklist'!$L$2:$L$2000="Y"))&gt;0,SUMPRODUCT(('Daily Checklist'!$D$2:$D$2000=$A53)*(TEXT('Daily Checklist'!$B$2:$B$2000,"yyyy-mm-dd")=TEXT(($B$4+20),"yyyy-mm-dd"))*('Daily Checklist'!$F$2:$F$2000="Done"))&amp;"/"&amp;SUMPRODUCT(('Daily Checklist'!$D$2:$D$2000=$A53)*(TEXT('Daily Checklist'!$B$2:$B$2000,"yyyy-mm-dd")=TEXT(($B$4+20),"yyyy-mm-dd")))&amp;" ESC",SUMPRODUCT(('Daily Checklist'!$D$2:$D$2000=$A53)*(TEXT('Daily Checklist'!$B$2:$B$2000,"yyyy-mm-dd")=TEXT(($B$4+20),"yyyy-mm-dd"))*('Daily Checklist'!$F$2:$F$2000="Done"))&amp;"/"&amp;SUMPRODUCT(('Daily Checklist'!$D$2:$D$2000=$A53)*(TEXT('Daily Checklist'!$B$2:$B$2000,"yyyy-mm-dd")=TEXT(($B$4+20),"yyyy-mm-dd"))))))</f>
        <v/>
      </c>
      <c r="W53" s="25" t="str">
        <f aca="false">IF($A53="","",IF(SUMPRODUCT(('Daily Checklist'!$D$2:$D$2000=$A53)*(TEXT('Daily Checklist'!$B$2:$B$2000,"yyyy-mm-dd")=TEXT(($B$4+21),"yyyy-mm-dd")))=0,"-",IF(SUMPRODUCT(('Daily Checklist'!$D$2:$D$2000=$A53)*(TEXT('Daily Checklist'!$B$2:$B$2000,"yyyy-mm-dd")=TEXT(($B$4+21),"yyyy-mm-dd"))*('Daily Checklist'!$L$2:$L$2000="Y"))&gt;0,SUMPRODUCT(('Daily Checklist'!$D$2:$D$2000=$A53)*(TEXT('Daily Checklist'!$B$2:$B$2000,"yyyy-mm-dd")=TEXT(($B$4+21),"yyyy-mm-dd"))*('Daily Checklist'!$F$2:$F$2000="Done"))&amp;"/"&amp;SUMPRODUCT(('Daily Checklist'!$D$2:$D$2000=$A53)*(TEXT('Daily Checklist'!$B$2:$B$2000,"yyyy-mm-dd")=TEXT(($B$4+21),"yyyy-mm-dd")))&amp;" ESC",SUMPRODUCT(('Daily Checklist'!$D$2:$D$2000=$A53)*(TEXT('Daily Checklist'!$B$2:$B$2000,"yyyy-mm-dd")=TEXT(($B$4+21),"yyyy-mm-dd"))*('Daily Checklist'!$F$2:$F$2000="Done"))&amp;"/"&amp;SUMPRODUCT(('Daily Checklist'!$D$2:$D$2000=$A53)*(TEXT('Daily Checklist'!$B$2:$B$2000,"yyyy-mm-dd")=TEXT(($B$4+21),"yyyy-mm-dd"))))))</f>
        <v/>
      </c>
      <c r="X53" s="25" t="str">
        <f aca="false">IF($A53="","",IF(SUMPRODUCT(('Daily Checklist'!$D$2:$D$2000=$A53)*(TEXT('Daily Checklist'!$B$2:$B$2000,"yyyy-mm-dd")=TEXT(($B$4+22),"yyyy-mm-dd")))=0,"-",IF(SUMPRODUCT(('Daily Checklist'!$D$2:$D$2000=$A53)*(TEXT('Daily Checklist'!$B$2:$B$2000,"yyyy-mm-dd")=TEXT(($B$4+22),"yyyy-mm-dd"))*('Daily Checklist'!$L$2:$L$2000="Y"))&gt;0,SUMPRODUCT(('Daily Checklist'!$D$2:$D$2000=$A53)*(TEXT('Daily Checklist'!$B$2:$B$2000,"yyyy-mm-dd")=TEXT(($B$4+22),"yyyy-mm-dd"))*('Daily Checklist'!$F$2:$F$2000="Done"))&amp;"/"&amp;SUMPRODUCT(('Daily Checklist'!$D$2:$D$2000=$A53)*(TEXT('Daily Checklist'!$B$2:$B$2000,"yyyy-mm-dd")=TEXT(($B$4+22),"yyyy-mm-dd")))&amp;" ESC",SUMPRODUCT(('Daily Checklist'!$D$2:$D$2000=$A53)*(TEXT('Daily Checklist'!$B$2:$B$2000,"yyyy-mm-dd")=TEXT(($B$4+22),"yyyy-mm-dd"))*('Daily Checklist'!$F$2:$F$2000="Done"))&amp;"/"&amp;SUMPRODUCT(('Daily Checklist'!$D$2:$D$2000=$A53)*(TEXT('Daily Checklist'!$B$2:$B$2000,"yyyy-mm-dd")=TEXT(($B$4+22),"yyyy-mm-dd"))))))</f>
        <v/>
      </c>
      <c r="Y53" s="25" t="str">
        <f aca="false">IF($A53="","",IF(SUMPRODUCT(('Daily Checklist'!$D$2:$D$2000=$A53)*(TEXT('Daily Checklist'!$B$2:$B$2000,"yyyy-mm-dd")=TEXT(($B$4+23),"yyyy-mm-dd")))=0,"-",IF(SUMPRODUCT(('Daily Checklist'!$D$2:$D$2000=$A53)*(TEXT('Daily Checklist'!$B$2:$B$2000,"yyyy-mm-dd")=TEXT(($B$4+23),"yyyy-mm-dd"))*('Daily Checklist'!$L$2:$L$2000="Y"))&gt;0,SUMPRODUCT(('Daily Checklist'!$D$2:$D$2000=$A53)*(TEXT('Daily Checklist'!$B$2:$B$2000,"yyyy-mm-dd")=TEXT(($B$4+23),"yyyy-mm-dd"))*('Daily Checklist'!$F$2:$F$2000="Done"))&amp;"/"&amp;SUMPRODUCT(('Daily Checklist'!$D$2:$D$2000=$A53)*(TEXT('Daily Checklist'!$B$2:$B$2000,"yyyy-mm-dd")=TEXT(($B$4+23),"yyyy-mm-dd")))&amp;" ESC",SUMPRODUCT(('Daily Checklist'!$D$2:$D$2000=$A53)*(TEXT('Daily Checklist'!$B$2:$B$2000,"yyyy-mm-dd")=TEXT(($B$4+23),"yyyy-mm-dd"))*('Daily Checklist'!$F$2:$F$2000="Done"))&amp;"/"&amp;SUMPRODUCT(('Daily Checklist'!$D$2:$D$2000=$A53)*(TEXT('Daily Checklist'!$B$2:$B$2000,"yyyy-mm-dd")=TEXT(($B$4+23),"yyyy-mm-dd"))))))</f>
        <v/>
      </c>
      <c r="Z53" s="25" t="str">
        <f aca="false">IF($A53="","",IF(SUMPRODUCT(('Daily Checklist'!$D$2:$D$2000=$A53)*(TEXT('Daily Checklist'!$B$2:$B$2000,"yyyy-mm-dd")=TEXT(($B$4+24),"yyyy-mm-dd")))=0,"-",IF(SUMPRODUCT(('Daily Checklist'!$D$2:$D$2000=$A53)*(TEXT('Daily Checklist'!$B$2:$B$2000,"yyyy-mm-dd")=TEXT(($B$4+24),"yyyy-mm-dd"))*('Daily Checklist'!$L$2:$L$2000="Y"))&gt;0,SUMPRODUCT(('Daily Checklist'!$D$2:$D$2000=$A53)*(TEXT('Daily Checklist'!$B$2:$B$2000,"yyyy-mm-dd")=TEXT(($B$4+24),"yyyy-mm-dd"))*('Daily Checklist'!$F$2:$F$2000="Done"))&amp;"/"&amp;SUMPRODUCT(('Daily Checklist'!$D$2:$D$2000=$A53)*(TEXT('Daily Checklist'!$B$2:$B$2000,"yyyy-mm-dd")=TEXT(($B$4+24),"yyyy-mm-dd")))&amp;" ESC",SUMPRODUCT(('Daily Checklist'!$D$2:$D$2000=$A53)*(TEXT('Daily Checklist'!$B$2:$B$2000,"yyyy-mm-dd")=TEXT(($B$4+24),"yyyy-mm-dd"))*('Daily Checklist'!$F$2:$F$2000="Done"))&amp;"/"&amp;SUMPRODUCT(('Daily Checklist'!$D$2:$D$2000=$A53)*(TEXT('Daily Checklist'!$B$2:$B$2000,"yyyy-mm-dd")=TEXT(($B$4+24),"yyyy-mm-dd"))))))</f>
        <v/>
      </c>
      <c r="AA53" s="25" t="str">
        <f aca="false">IF($A53="","",IF(SUMPRODUCT(('Daily Checklist'!$D$2:$D$2000=$A53)*(TEXT('Daily Checklist'!$B$2:$B$2000,"yyyy-mm-dd")=TEXT(($B$4+25),"yyyy-mm-dd")))=0,"-",IF(SUMPRODUCT(('Daily Checklist'!$D$2:$D$2000=$A53)*(TEXT('Daily Checklist'!$B$2:$B$2000,"yyyy-mm-dd")=TEXT(($B$4+25),"yyyy-mm-dd"))*('Daily Checklist'!$L$2:$L$2000="Y"))&gt;0,SUMPRODUCT(('Daily Checklist'!$D$2:$D$2000=$A53)*(TEXT('Daily Checklist'!$B$2:$B$2000,"yyyy-mm-dd")=TEXT(($B$4+25),"yyyy-mm-dd"))*('Daily Checklist'!$F$2:$F$2000="Done"))&amp;"/"&amp;SUMPRODUCT(('Daily Checklist'!$D$2:$D$2000=$A53)*(TEXT('Daily Checklist'!$B$2:$B$2000,"yyyy-mm-dd")=TEXT(($B$4+25),"yyyy-mm-dd")))&amp;" ESC",SUMPRODUCT(('Daily Checklist'!$D$2:$D$2000=$A53)*(TEXT('Daily Checklist'!$B$2:$B$2000,"yyyy-mm-dd")=TEXT(($B$4+25),"yyyy-mm-dd"))*('Daily Checklist'!$F$2:$F$2000="Done"))&amp;"/"&amp;SUMPRODUCT(('Daily Checklist'!$D$2:$D$2000=$A53)*(TEXT('Daily Checklist'!$B$2:$B$2000,"yyyy-mm-dd")=TEXT(($B$4+25),"yyyy-mm-dd"))))))</f>
        <v/>
      </c>
      <c r="AB53" s="25" t="str">
        <f aca="false">IF($A53="","",IF(SUMPRODUCT(('Daily Checklist'!$D$2:$D$2000=$A53)*(TEXT('Daily Checklist'!$B$2:$B$2000,"yyyy-mm-dd")=TEXT(($B$4+26),"yyyy-mm-dd")))=0,"-",IF(SUMPRODUCT(('Daily Checklist'!$D$2:$D$2000=$A53)*(TEXT('Daily Checklist'!$B$2:$B$2000,"yyyy-mm-dd")=TEXT(($B$4+26),"yyyy-mm-dd"))*('Daily Checklist'!$L$2:$L$2000="Y"))&gt;0,SUMPRODUCT(('Daily Checklist'!$D$2:$D$2000=$A53)*(TEXT('Daily Checklist'!$B$2:$B$2000,"yyyy-mm-dd")=TEXT(($B$4+26),"yyyy-mm-dd"))*('Daily Checklist'!$F$2:$F$2000="Done"))&amp;"/"&amp;SUMPRODUCT(('Daily Checklist'!$D$2:$D$2000=$A53)*(TEXT('Daily Checklist'!$B$2:$B$2000,"yyyy-mm-dd")=TEXT(($B$4+26),"yyyy-mm-dd")))&amp;" ESC",SUMPRODUCT(('Daily Checklist'!$D$2:$D$2000=$A53)*(TEXT('Daily Checklist'!$B$2:$B$2000,"yyyy-mm-dd")=TEXT(($B$4+26),"yyyy-mm-dd"))*('Daily Checklist'!$F$2:$F$2000="Done"))&amp;"/"&amp;SUMPRODUCT(('Daily Checklist'!$D$2:$D$2000=$A53)*(TEXT('Daily Checklist'!$B$2:$B$2000,"yyyy-mm-dd")=TEXT(($B$4+26),"yyyy-mm-dd"))))))</f>
        <v/>
      </c>
      <c r="AC53" s="25" t="str">
        <f aca="false">IF($A53="","",IF(SUMPRODUCT(('Daily Checklist'!$D$2:$D$2000=$A53)*(TEXT('Daily Checklist'!$B$2:$B$2000,"yyyy-mm-dd")=TEXT(($B$4+27),"yyyy-mm-dd")))=0,"-",IF(SUMPRODUCT(('Daily Checklist'!$D$2:$D$2000=$A53)*(TEXT('Daily Checklist'!$B$2:$B$2000,"yyyy-mm-dd")=TEXT(($B$4+27),"yyyy-mm-dd"))*('Daily Checklist'!$L$2:$L$2000="Y"))&gt;0,SUMPRODUCT(('Daily Checklist'!$D$2:$D$2000=$A53)*(TEXT('Daily Checklist'!$B$2:$B$2000,"yyyy-mm-dd")=TEXT(($B$4+27),"yyyy-mm-dd"))*('Daily Checklist'!$F$2:$F$2000="Done"))&amp;"/"&amp;SUMPRODUCT(('Daily Checklist'!$D$2:$D$2000=$A53)*(TEXT('Daily Checklist'!$B$2:$B$2000,"yyyy-mm-dd")=TEXT(($B$4+27),"yyyy-mm-dd")))&amp;" ESC",SUMPRODUCT(('Daily Checklist'!$D$2:$D$2000=$A53)*(TEXT('Daily Checklist'!$B$2:$B$2000,"yyyy-mm-dd")=TEXT(($B$4+27),"yyyy-mm-dd"))*('Daily Checklist'!$F$2:$F$2000="Done"))&amp;"/"&amp;SUMPRODUCT(('Daily Checklist'!$D$2:$D$2000=$A53)*(TEXT('Daily Checklist'!$B$2:$B$2000,"yyyy-mm-dd")=TEXT(($B$4+27),"yyyy-mm-dd"))))))</f>
        <v/>
      </c>
      <c r="AD53" s="25" t="str">
        <f aca="false">IF($A53="","",IF(SUMPRODUCT(('Daily Checklist'!$D$2:$D$2000=$A53)*(TEXT('Daily Checklist'!$B$2:$B$2000,"yyyy-mm-dd")=TEXT(($B$4+28),"yyyy-mm-dd")))=0,"-",IF(SUMPRODUCT(('Daily Checklist'!$D$2:$D$2000=$A53)*(TEXT('Daily Checklist'!$B$2:$B$2000,"yyyy-mm-dd")=TEXT(($B$4+28),"yyyy-mm-dd"))*('Daily Checklist'!$L$2:$L$2000="Y"))&gt;0,SUMPRODUCT(('Daily Checklist'!$D$2:$D$2000=$A53)*(TEXT('Daily Checklist'!$B$2:$B$2000,"yyyy-mm-dd")=TEXT(($B$4+28),"yyyy-mm-dd"))*('Daily Checklist'!$F$2:$F$2000="Done"))&amp;"/"&amp;SUMPRODUCT(('Daily Checklist'!$D$2:$D$2000=$A53)*(TEXT('Daily Checklist'!$B$2:$B$2000,"yyyy-mm-dd")=TEXT(($B$4+28),"yyyy-mm-dd")))&amp;" ESC",SUMPRODUCT(('Daily Checklist'!$D$2:$D$2000=$A53)*(TEXT('Daily Checklist'!$B$2:$B$2000,"yyyy-mm-dd")=TEXT(($B$4+28),"yyyy-mm-dd"))*('Daily Checklist'!$F$2:$F$2000="Done"))&amp;"/"&amp;SUMPRODUCT(('Daily Checklist'!$D$2:$D$2000=$A53)*(TEXT('Daily Checklist'!$B$2:$B$2000,"yyyy-mm-dd")=TEXT(($B$4+28),"yyyy-mm-dd"))))))</f>
        <v/>
      </c>
      <c r="AE53" s="25" t="str">
        <f aca="false">IF($A53="","",IF(SUMPRODUCT(('Daily Checklist'!$D$2:$D$2000=$A53)*(TEXT('Daily Checklist'!$B$2:$B$2000,"yyyy-mm-dd")=TEXT(($B$4+29),"yyyy-mm-dd")))=0,"-",IF(SUMPRODUCT(('Daily Checklist'!$D$2:$D$2000=$A53)*(TEXT('Daily Checklist'!$B$2:$B$2000,"yyyy-mm-dd")=TEXT(($B$4+29),"yyyy-mm-dd"))*('Daily Checklist'!$L$2:$L$2000="Y"))&gt;0,SUMPRODUCT(('Daily Checklist'!$D$2:$D$2000=$A53)*(TEXT('Daily Checklist'!$B$2:$B$2000,"yyyy-mm-dd")=TEXT(($B$4+29),"yyyy-mm-dd"))*('Daily Checklist'!$F$2:$F$2000="Done"))&amp;"/"&amp;SUMPRODUCT(('Daily Checklist'!$D$2:$D$2000=$A53)*(TEXT('Daily Checklist'!$B$2:$B$2000,"yyyy-mm-dd")=TEXT(($B$4+29),"yyyy-mm-dd")))&amp;" ESC",SUMPRODUCT(('Daily Checklist'!$D$2:$D$2000=$A53)*(TEXT('Daily Checklist'!$B$2:$B$2000,"yyyy-mm-dd")=TEXT(($B$4+29),"yyyy-mm-dd"))*('Daily Checklist'!$F$2:$F$2000="Done"))&amp;"/"&amp;SUMPRODUCT(('Daily Checklist'!$D$2:$D$2000=$A53)*(TEXT('Daily Checklist'!$B$2:$B$2000,"yyyy-mm-dd")=TEXT(($B$4+29),"yyyy-mm-dd"))))))</f>
        <v/>
      </c>
      <c r="AF53" s="25" t="str">
        <f aca="false">IF($A53="","",IF(SUMPRODUCT(('Daily Checklist'!$D$2:$D$2000=$A53)*(TEXT('Daily Checklist'!$B$2:$B$2000,"yyyy-mm-dd")=TEXT(($B$4+30),"yyyy-mm-dd")))=0,"-",IF(SUMPRODUCT(('Daily Checklist'!$D$2:$D$2000=$A53)*(TEXT('Daily Checklist'!$B$2:$B$2000,"yyyy-mm-dd")=TEXT(($B$4+30),"yyyy-mm-dd"))*('Daily Checklist'!$L$2:$L$2000="Y"))&gt;0,SUMPRODUCT(('Daily Checklist'!$D$2:$D$2000=$A53)*(TEXT('Daily Checklist'!$B$2:$B$2000,"yyyy-mm-dd")=TEXT(($B$4+30),"yyyy-mm-dd"))*('Daily Checklist'!$F$2:$F$2000="Done"))&amp;"/"&amp;SUMPRODUCT(('Daily Checklist'!$D$2:$D$2000=$A53)*(TEXT('Daily Checklist'!$B$2:$B$2000,"yyyy-mm-dd")=TEXT(($B$4+30),"yyyy-mm-dd")))&amp;" ESC",SUMPRODUCT(('Daily Checklist'!$D$2:$D$2000=$A53)*(TEXT('Daily Checklist'!$B$2:$B$2000,"yyyy-mm-dd")=TEXT(($B$4+30),"yyyy-mm-dd"))*('Daily Checklist'!$F$2:$F$2000="Done"))&amp;"/"&amp;SUMPRODUCT(('Daily Checklist'!$D$2:$D$2000=$A53)*(TEXT('Daily Checklist'!$B$2:$B$2000,"yyyy-mm-dd")=TEXT(($B$4+30),"yyyy-mm-dd"))))))</f>
        <v/>
      </c>
    </row>
    <row r="54" customFormat="false" ht="15" hidden="false" customHeight="true" outlineLevel="0" collapsed="false">
      <c r="A54" s="24" t="str">
        <f aca="false">IFERROR(IF(Employees!A49="","",Employees!A49),"")</f>
        <v/>
      </c>
      <c r="B54" s="25" t="str">
        <f aca="false">IF($A54="","",IF(SUMPRODUCT(('Daily Checklist'!$D$2:$D$2000=$A54)*(TEXT('Daily Checklist'!$B$2:$B$2000,"yyyy-mm-dd")=TEXT(($B$4+0),"yyyy-mm-dd")))=0,"-",IF(SUMPRODUCT(('Daily Checklist'!$D$2:$D$2000=$A54)*(TEXT('Daily Checklist'!$B$2:$B$2000,"yyyy-mm-dd")=TEXT(($B$4+0),"yyyy-mm-dd"))*('Daily Checklist'!$L$2:$L$2000="Y"))&gt;0,SUMPRODUCT(('Daily Checklist'!$D$2:$D$2000=$A54)*(TEXT('Daily Checklist'!$B$2:$B$2000,"yyyy-mm-dd")=TEXT(($B$4+0),"yyyy-mm-dd"))*('Daily Checklist'!$F$2:$F$2000="Done"))&amp;"/"&amp;SUMPRODUCT(('Daily Checklist'!$D$2:$D$2000=$A54)*(TEXT('Daily Checklist'!$B$2:$B$2000,"yyyy-mm-dd")=TEXT(($B$4+0),"yyyy-mm-dd")))&amp;" ESC",SUMPRODUCT(('Daily Checklist'!$D$2:$D$2000=$A54)*(TEXT('Daily Checklist'!$B$2:$B$2000,"yyyy-mm-dd")=TEXT(($B$4+0),"yyyy-mm-dd"))*('Daily Checklist'!$F$2:$F$2000="Done"))&amp;"/"&amp;SUMPRODUCT(('Daily Checklist'!$D$2:$D$2000=$A54)*(TEXT('Daily Checklist'!$B$2:$B$2000,"yyyy-mm-dd")=TEXT(($B$4+0),"yyyy-mm-dd"))))))</f>
        <v/>
      </c>
      <c r="C54" s="25" t="str">
        <f aca="false">IF($A54="","",IF(SUMPRODUCT(('Daily Checklist'!$D$2:$D$2000=$A54)*(TEXT('Daily Checklist'!$B$2:$B$2000,"yyyy-mm-dd")=TEXT(($B$4+1),"yyyy-mm-dd")))=0,"-",IF(SUMPRODUCT(('Daily Checklist'!$D$2:$D$2000=$A54)*(TEXT('Daily Checklist'!$B$2:$B$2000,"yyyy-mm-dd")=TEXT(($B$4+1),"yyyy-mm-dd"))*('Daily Checklist'!$L$2:$L$2000="Y"))&gt;0,SUMPRODUCT(('Daily Checklist'!$D$2:$D$2000=$A54)*(TEXT('Daily Checklist'!$B$2:$B$2000,"yyyy-mm-dd")=TEXT(($B$4+1),"yyyy-mm-dd"))*('Daily Checklist'!$F$2:$F$2000="Done"))&amp;"/"&amp;SUMPRODUCT(('Daily Checklist'!$D$2:$D$2000=$A54)*(TEXT('Daily Checklist'!$B$2:$B$2000,"yyyy-mm-dd")=TEXT(($B$4+1),"yyyy-mm-dd")))&amp;" ESC",SUMPRODUCT(('Daily Checklist'!$D$2:$D$2000=$A54)*(TEXT('Daily Checklist'!$B$2:$B$2000,"yyyy-mm-dd")=TEXT(($B$4+1),"yyyy-mm-dd"))*('Daily Checklist'!$F$2:$F$2000="Done"))&amp;"/"&amp;SUMPRODUCT(('Daily Checklist'!$D$2:$D$2000=$A54)*(TEXT('Daily Checklist'!$B$2:$B$2000,"yyyy-mm-dd")=TEXT(($B$4+1),"yyyy-mm-dd"))))))</f>
        <v/>
      </c>
      <c r="D54" s="25" t="str">
        <f aca="false">IF($A54="","",IF(SUMPRODUCT(('Daily Checklist'!$D$2:$D$2000=$A54)*(TEXT('Daily Checklist'!$B$2:$B$2000,"yyyy-mm-dd")=TEXT(($B$4+2),"yyyy-mm-dd")))=0,"-",IF(SUMPRODUCT(('Daily Checklist'!$D$2:$D$2000=$A54)*(TEXT('Daily Checklist'!$B$2:$B$2000,"yyyy-mm-dd")=TEXT(($B$4+2),"yyyy-mm-dd"))*('Daily Checklist'!$L$2:$L$2000="Y"))&gt;0,SUMPRODUCT(('Daily Checklist'!$D$2:$D$2000=$A54)*(TEXT('Daily Checklist'!$B$2:$B$2000,"yyyy-mm-dd")=TEXT(($B$4+2),"yyyy-mm-dd"))*('Daily Checklist'!$F$2:$F$2000="Done"))&amp;"/"&amp;SUMPRODUCT(('Daily Checklist'!$D$2:$D$2000=$A54)*(TEXT('Daily Checklist'!$B$2:$B$2000,"yyyy-mm-dd")=TEXT(($B$4+2),"yyyy-mm-dd")))&amp;" ESC",SUMPRODUCT(('Daily Checklist'!$D$2:$D$2000=$A54)*(TEXT('Daily Checklist'!$B$2:$B$2000,"yyyy-mm-dd")=TEXT(($B$4+2),"yyyy-mm-dd"))*('Daily Checklist'!$F$2:$F$2000="Done"))&amp;"/"&amp;SUMPRODUCT(('Daily Checklist'!$D$2:$D$2000=$A54)*(TEXT('Daily Checklist'!$B$2:$B$2000,"yyyy-mm-dd")=TEXT(($B$4+2),"yyyy-mm-dd"))))))</f>
        <v/>
      </c>
      <c r="E54" s="25" t="str">
        <f aca="false">IF($A54="","",IF(SUMPRODUCT(('Daily Checklist'!$D$2:$D$2000=$A54)*(TEXT('Daily Checklist'!$B$2:$B$2000,"yyyy-mm-dd")=TEXT(($B$4+3),"yyyy-mm-dd")))=0,"-",IF(SUMPRODUCT(('Daily Checklist'!$D$2:$D$2000=$A54)*(TEXT('Daily Checklist'!$B$2:$B$2000,"yyyy-mm-dd")=TEXT(($B$4+3),"yyyy-mm-dd"))*('Daily Checklist'!$L$2:$L$2000="Y"))&gt;0,SUMPRODUCT(('Daily Checklist'!$D$2:$D$2000=$A54)*(TEXT('Daily Checklist'!$B$2:$B$2000,"yyyy-mm-dd")=TEXT(($B$4+3),"yyyy-mm-dd"))*('Daily Checklist'!$F$2:$F$2000="Done"))&amp;"/"&amp;SUMPRODUCT(('Daily Checklist'!$D$2:$D$2000=$A54)*(TEXT('Daily Checklist'!$B$2:$B$2000,"yyyy-mm-dd")=TEXT(($B$4+3),"yyyy-mm-dd")))&amp;" ESC",SUMPRODUCT(('Daily Checklist'!$D$2:$D$2000=$A54)*(TEXT('Daily Checklist'!$B$2:$B$2000,"yyyy-mm-dd")=TEXT(($B$4+3),"yyyy-mm-dd"))*('Daily Checklist'!$F$2:$F$2000="Done"))&amp;"/"&amp;SUMPRODUCT(('Daily Checklist'!$D$2:$D$2000=$A54)*(TEXT('Daily Checklist'!$B$2:$B$2000,"yyyy-mm-dd")=TEXT(($B$4+3),"yyyy-mm-dd"))))))</f>
        <v/>
      </c>
      <c r="F54" s="25" t="str">
        <f aca="false">IF($A54="","",IF(SUMPRODUCT(('Daily Checklist'!$D$2:$D$2000=$A54)*(TEXT('Daily Checklist'!$B$2:$B$2000,"yyyy-mm-dd")=TEXT(($B$4+4),"yyyy-mm-dd")))=0,"-",IF(SUMPRODUCT(('Daily Checklist'!$D$2:$D$2000=$A54)*(TEXT('Daily Checklist'!$B$2:$B$2000,"yyyy-mm-dd")=TEXT(($B$4+4),"yyyy-mm-dd"))*('Daily Checklist'!$L$2:$L$2000="Y"))&gt;0,SUMPRODUCT(('Daily Checklist'!$D$2:$D$2000=$A54)*(TEXT('Daily Checklist'!$B$2:$B$2000,"yyyy-mm-dd")=TEXT(($B$4+4),"yyyy-mm-dd"))*('Daily Checklist'!$F$2:$F$2000="Done"))&amp;"/"&amp;SUMPRODUCT(('Daily Checklist'!$D$2:$D$2000=$A54)*(TEXT('Daily Checklist'!$B$2:$B$2000,"yyyy-mm-dd")=TEXT(($B$4+4),"yyyy-mm-dd")))&amp;" ESC",SUMPRODUCT(('Daily Checklist'!$D$2:$D$2000=$A54)*(TEXT('Daily Checklist'!$B$2:$B$2000,"yyyy-mm-dd")=TEXT(($B$4+4),"yyyy-mm-dd"))*('Daily Checklist'!$F$2:$F$2000="Done"))&amp;"/"&amp;SUMPRODUCT(('Daily Checklist'!$D$2:$D$2000=$A54)*(TEXT('Daily Checklist'!$B$2:$B$2000,"yyyy-mm-dd")=TEXT(($B$4+4),"yyyy-mm-dd"))))))</f>
        <v/>
      </c>
      <c r="G54" s="25" t="str">
        <f aca="false">IF($A54="","",IF(SUMPRODUCT(('Daily Checklist'!$D$2:$D$2000=$A54)*(TEXT('Daily Checklist'!$B$2:$B$2000,"yyyy-mm-dd")=TEXT(($B$4+5),"yyyy-mm-dd")))=0,"-",IF(SUMPRODUCT(('Daily Checklist'!$D$2:$D$2000=$A54)*(TEXT('Daily Checklist'!$B$2:$B$2000,"yyyy-mm-dd")=TEXT(($B$4+5),"yyyy-mm-dd"))*('Daily Checklist'!$L$2:$L$2000="Y"))&gt;0,SUMPRODUCT(('Daily Checklist'!$D$2:$D$2000=$A54)*(TEXT('Daily Checklist'!$B$2:$B$2000,"yyyy-mm-dd")=TEXT(($B$4+5),"yyyy-mm-dd"))*('Daily Checklist'!$F$2:$F$2000="Done"))&amp;"/"&amp;SUMPRODUCT(('Daily Checklist'!$D$2:$D$2000=$A54)*(TEXT('Daily Checklist'!$B$2:$B$2000,"yyyy-mm-dd")=TEXT(($B$4+5),"yyyy-mm-dd")))&amp;" ESC",SUMPRODUCT(('Daily Checklist'!$D$2:$D$2000=$A54)*(TEXT('Daily Checklist'!$B$2:$B$2000,"yyyy-mm-dd")=TEXT(($B$4+5),"yyyy-mm-dd"))*('Daily Checklist'!$F$2:$F$2000="Done"))&amp;"/"&amp;SUMPRODUCT(('Daily Checklist'!$D$2:$D$2000=$A54)*(TEXT('Daily Checklist'!$B$2:$B$2000,"yyyy-mm-dd")=TEXT(($B$4+5),"yyyy-mm-dd"))))))</f>
        <v/>
      </c>
      <c r="H54" s="25" t="str">
        <f aca="false">IF($A54="","",IF(SUMPRODUCT(('Daily Checklist'!$D$2:$D$2000=$A54)*(TEXT('Daily Checklist'!$B$2:$B$2000,"yyyy-mm-dd")=TEXT(($B$4+6),"yyyy-mm-dd")))=0,"-",IF(SUMPRODUCT(('Daily Checklist'!$D$2:$D$2000=$A54)*(TEXT('Daily Checklist'!$B$2:$B$2000,"yyyy-mm-dd")=TEXT(($B$4+6),"yyyy-mm-dd"))*('Daily Checklist'!$L$2:$L$2000="Y"))&gt;0,SUMPRODUCT(('Daily Checklist'!$D$2:$D$2000=$A54)*(TEXT('Daily Checklist'!$B$2:$B$2000,"yyyy-mm-dd")=TEXT(($B$4+6),"yyyy-mm-dd"))*('Daily Checklist'!$F$2:$F$2000="Done"))&amp;"/"&amp;SUMPRODUCT(('Daily Checklist'!$D$2:$D$2000=$A54)*(TEXT('Daily Checklist'!$B$2:$B$2000,"yyyy-mm-dd")=TEXT(($B$4+6),"yyyy-mm-dd")))&amp;" ESC",SUMPRODUCT(('Daily Checklist'!$D$2:$D$2000=$A54)*(TEXT('Daily Checklist'!$B$2:$B$2000,"yyyy-mm-dd")=TEXT(($B$4+6),"yyyy-mm-dd"))*('Daily Checklist'!$F$2:$F$2000="Done"))&amp;"/"&amp;SUMPRODUCT(('Daily Checklist'!$D$2:$D$2000=$A54)*(TEXT('Daily Checklist'!$B$2:$B$2000,"yyyy-mm-dd")=TEXT(($B$4+6),"yyyy-mm-dd"))))))</f>
        <v/>
      </c>
      <c r="I54" s="25" t="str">
        <f aca="false">IF($A54="","",IF(SUMPRODUCT(('Daily Checklist'!$D$2:$D$2000=$A54)*(TEXT('Daily Checklist'!$B$2:$B$2000,"yyyy-mm-dd")=TEXT(($B$4+7),"yyyy-mm-dd")))=0,"-",IF(SUMPRODUCT(('Daily Checklist'!$D$2:$D$2000=$A54)*(TEXT('Daily Checklist'!$B$2:$B$2000,"yyyy-mm-dd")=TEXT(($B$4+7),"yyyy-mm-dd"))*('Daily Checklist'!$L$2:$L$2000="Y"))&gt;0,SUMPRODUCT(('Daily Checklist'!$D$2:$D$2000=$A54)*(TEXT('Daily Checklist'!$B$2:$B$2000,"yyyy-mm-dd")=TEXT(($B$4+7),"yyyy-mm-dd"))*('Daily Checklist'!$F$2:$F$2000="Done"))&amp;"/"&amp;SUMPRODUCT(('Daily Checklist'!$D$2:$D$2000=$A54)*(TEXT('Daily Checklist'!$B$2:$B$2000,"yyyy-mm-dd")=TEXT(($B$4+7),"yyyy-mm-dd")))&amp;" ESC",SUMPRODUCT(('Daily Checklist'!$D$2:$D$2000=$A54)*(TEXT('Daily Checklist'!$B$2:$B$2000,"yyyy-mm-dd")=TEXT(($B$4+7),"yyyy-mm-dd"))*('Daily Checklist'!$F$2:$F$2000="Done"))&amp;"/"&amp;SUMPRODUCT(('Daily Checklist'!$D$2:$D$2000=$A54)*(TEXT('Daily Checklist'!$B$2:$B$2000,"yyyy-mm-dd")=TEXT(($B$4+7),"yyyy-mm-dd"))))))</f>
        <v/>
      </c>
      <c r="J54" s="25" t="str">
        <f aca="false">IF($A54="","",IF(SUMPRODUCT(('Daily Checklist'!$D$2:$D$2000=$A54)*(TEXT('Daily Checklist'!$B$2:$B$2000,"yyyy-mm-dd")=TEXT(($B$4+8),"yyyy-mm-dd")))=0,"-",IF(SUMPRODUCT(('Daily Checklist'!$D$2:$D$2000=$A54)*(TEXT('Daily Checklist'!$B$2:$B$2000,"yyyy-mm-dd")=TEXT(($B$4+8),"yyyy-mm-dd"))*('Daily Checklist'!$L$2:$L$2000="Y"))&gt;0,SUMPRODUCT(('Daily Checklist'!$D$2:$D$2000=$A54)*(TEXT('Daily Checklist'!$B$2:$B$2000,"yyyy-mm-dd")=TEXT(($B$4+8),"yyyy-mm-dd"))*('Daily Checklist'!$F$2:$F$2000="Done"))&amp;"/"&amp;SUMPRODUCT(('Daily Checklist'!$D$2:$D$2000=$A54)*(TEXT('Daily Checklist'!$B$2:$B$2000,"yyyy-mm-dd")=TEXT(($B$4+8),"yyyy-mm-dd")))&amp;" ESC",SUMPRODUCT(('Daily Checklist'!$D$2:$D$2000=$A54)*(TEXT('Daily Checklist'!$B$2:$B$2000,"yyyy-mm-dd")=TEXT(($B$4+8),"yyyy-mm-dd"))*('Daily Checklist'!$F$2:$F$2000="Done"))&amp;"/"&amp;SUMPRODUCT(('Daily Checklist'!$D$2:$D$2000=$A54)*(TEXT('Daily Checklist'!$B$2:$B$2000,"yyyy-mm-dd")=TEXT(($B$4+8),"yyyy-mm-dd"))))))</f>
        <v/>
      </c>
      <c r="K54" s="25" t="str">
        <f aca="false">IF($A54="","",IF(SUMPRODUCT(('Daily Checklist'!$D$2:$D$2000=$A54)*(TEXT('Daily Checklist'!$B$2:$B$2000,"yyyy-mm-dd")=TEXT(($B$4+9),"yyyy-mm-dd")))=0,"-",IF(SUMPRODUCT(('Daily Checklist'!$D$2:$D$2000=$A54)*(TEXT('Daily Checklist'!$B$2:$B$2000,"yyyy-mm-dd")=TEXT(($B$4+9),"yyyy-mm-dd"))*('Daily Checklist'!$L$2:$L$2000="Y"))&gt;0,SUMPRODUCT(('Daily Checklist'!$D$2:$D$2000=$A54)*(TEXT('Daily Checklist'!$B$2:$B$2000,"yyyy-mm-dd")=TEXT(($B$4+9),"yyyy-mm-dd"))*('Daily Checklist'!$F$2:$F$2000="Done"))&amp;"/"&amp;SUMPRODUCT(('Daily Checklist'!$D$2:$D$2000=$A54)*(TEXT('Daily Checklist'!$B$2:$B$2000,"yyyy-mm-dd")=TEXT(($B$4+9),"yyyy-mm-dd")))&amp;" ESC",SUMPRODUCT(('Daily Checklist'!$D$2:$D$2000=$A54)*(TEXT('Daily Checklist'!$B$2:$B$2000,"yyyy-mm-dd")=TEXT(($B$4+9),"yyyy-mm-dd"))*('Daily Checklist'!$F$2:$F$2000="Done"))&amp;"/"&amp;SUMPRODUCT(('Daily Checklist'!$D$2:$D$2000=$A54)*(TEXT('Daily Checklist'!$B$2:$B$2000,"yyyy-mm-dd")=TEXT(($B$4+9),"yyyy-mm-dd"))))))</f>
        <v/>
      </c>
      <c r="L54" s="25" t="str">
        <f aca="false">IF($A54="","",IF(SUMPRODUCT(('Daily Checklist'!$D$2:$D$2000=$A54)*(TEXT('Daily Checklist'!$B$2:$B$2000,"yyyy-mm-dd")=TEXT(($B$4+10),"yyyy-mm-dd")))=0,"-",IF(SUMPRODUCT(('Daily Checklist'!$D$2:$D$2000=$A54)*(TEXT('Daily Checklist'!$B$2:$B$2000,"yyyy-mm-dd")=TEXT(($B$4+10),"yyyy-mm-dd"))*('Daily Checklist'!$L$2:$L$2000="Y"))&gt;0,SUMPRODUCT(('Daily Checklist'!$D$2:$D$2000=$A54)*(TEXT('Daily Checklist'!$B$2:$B$2000,"yyyy-mm-dd")=TEXT(($B$4+10),"yyyy-mm-dd"))*('Daily Checklist'!$F$2:$F$2000="Done"))&amp;"/"&amp;SUMPRODUCT(('Daily Checklist'!$D$2:$D$2000=$A54)*(TEXT('Daily Checklist'!$B$2:$B$2000,"yyyy-mm-dd")=TEXT(($B$4+10),"yyyy-mm-dd")))&amp;" ESC",SUMPRODUCT(('Daily Checklist'!$D$2:$D$2000=$A54)*(TEXT('Daily Checklist'!$B$2:$B$2000,"yyyy-mm-dd")=TEXT(($B$4+10),"yyyy-mm-dd"))*('Daily Checklist'!$F$2:$F$2000="Done"))&amp;"/"&amp;SUMPRODUCT(('Daily Checklist'!$D$2:$D$2000=$A54)*(TEXT('Daily Checklist'!$B$2:$B$2000,"yyyy-mm-dd")=TEXT(($B$4+10),"yyyy-mm-dd"))))))</f>
        <v/>
      </c>
      <c r="M54" s="25" t="str">
        <f aca="false">IF($A54="","",IF(SUMPRODUCT(('Daily Checklist'!$D$2:$D$2000=$A54)*(TEXT('Daily Checklist'!$B$2:$B$2000,"yyyy-mm-dd")=TEXT(($B$4+11),"yyyy-mm-dd")))=0,"-",IF(SUMPRODUCT(('Daily Checklist'!$D$2:$D$2000=$A54)*(TEXT('Daily Checklist'!$B$2:$B$2000,"yyyy-mm-dd")=TEXT(($B$4+11),"yyyy-mm-dd"))*('Daily Checklist'!$L$2:$L$2000="Y"))&gt;0,SUMPRODUCT(('Daily Checklist'!$D$2:$D$2000=$A54)*(TEXT('Daily Checklist'!$B$2:$B$2000,"yyyy-mm-dd")=TEXT(($B$4+11),"yyyy-mm-dd"))*('Daily Checklist'!$F$2:$F$2000="Done"))&amp;"/"&amp;SUMPRODUCT(('Daily Checklist'!$D$2:$D$2000=$A54)*(TEXT('Daily Checklist'!$B$2:$B$2000,"yyyy-mm-dd")=TEXT(($B$4+11),"yyyy-mm-dd")))&amp;" ESC",SUMPRODUCT(('Daily Checklist'!$D$2:$D$2000=$A54)*(TEXT('Daily Checklist'!$B$2:$B$2000,"yyyy-mm-dd")=TEXT(($B$4+11),"yyyy-mm-dd"))*('Daily Checklist'!$F$2:$F$2000="Done"))&amp;"/"&amp;SUMPRODUCT(('Daily Checklist'!$D$2:$D$2000=$A54)*(TEXT('Daily Checklist'!$B$2:$B$2000,"yyyy-mm-dd")=TEXT(($B$4+11),"yyyy-mm-dd"))))))</f>
        <v/>
      </c>
      <c r="N54" s="25" t="str">
        <f aca="false">IF($A54="","",IF(SUMPRODUCT(('Daily Checklist'!$D$2:$D$2000=$A54)*(TEXT('Daily Checklist'!$B$2:$B$2000,"yyyy-mm-dd")=TEXT(($B$4+12),"yyyy-mm-dd")))=0,"-",IF(SUMPRODUCT(('Daily Checklist'!$D$2:$D$2000=$A54)*(TEXT('Daily Checklist'!$B$2:$B$2000,"yyyy-mm-dd")=TEXT(($B$4+12),"yyyy-mm-dd"))*('Daily Checklist'!$L$2:$L$2000="Y"))&gt;0,SUMPRODUCT(('Daily Checklist'!$D$2:$D$2000=$A54)*(TEXT('Daily Checklist'!$B$2:$B$2000,"yyyy-mm-dd")=TEXT(($B$4+12),"yyyy-mm-dd"))*('Daily Checklist'!$F$2:$F$2000="Done"))&amp;"/"&amp;SUMPRODUCT(('Daily Checklist'!$D$2:$D$2000=$A54)*(TEXT('Daily Checklist'!$B$2:$B$2000,"yyyy-mm-dd")=TEXT(($B$4+12),"yyyy-mm-dd")))&amp;" ESC",SUMPRODUCT(('Daily Checklist'!$D$2:$D$2000=$A54)*(TEXT('Daily Checklist'!$B$2:$B$2000,"yyyy-mm-dd")=TEXT(($B$4+12),"yyyy-mm-dd"))*('Daily Checklist'!$F$2:$F$2000="Done"))&amp;"/"&amp;SUMPRODUCT(('Daily Checklist'!$D$2:$D$2000=$A54)*(TEXT('Daily Checklist'!$B$2:$B$2000,"yyyy-mm-dd")=TEXT(($B$4+12),"yyyy-mm-dd"))))))</f>
        <v/>
      </c>
      <c r="O54" s="25" t="str">
        <f aca="false">IF($A54="","",IF(SUMPRODUCT(('Daily Checklist'!$D$2:$D$2000=$A54)*(TEXT('Daily Checklist'!$B$2:$B$2000,"yyyy-mm-dd")=TEXT(($B$4+13),"yyyy-mm-dd")))=0,"-",IF(SUMPRODUCT(('Daily Checklist'!$D$2:$D$2000=$A54)*(TEXT('Daily Checklist'!$B$2:$B$2000,"yyyy-mm-dd")=TEXT(($B$4+13),"yyyy-mm-dd"))*('Daily Checklist'!$L$2:$L$2000="Y"))&gt;0,SUMPRODUCT(('Daily Checklist'!$D$2:$D$2000=$A54)*(TEXT('Daily Checklist'!$B$2:$B$2000,"yyyy-mm-dd")=TEXT(($B$4+13),"yyyy-mm-dd"))*('Daily Checklist'!$F$2:$F$2000="Done"))&amp;"/"&amp;SUMPRODUCT(('Daily Checklist'!$D$2:$D$2000=$A54)*(TEXT('Daily Checklist'!$B$2:$B$2000,"yyyy-mm-dd")=TEXT(($B$4+13),"yyyy-mm-dd")))&amp;" ESC",SUMPRODUCT(('Daily Checklist'!$D$2:$D$2000=$A54)*(TEXT('Daily Checklist'!$B$2:$B$2000,"yyyy-mm-dd")=TEXT(($B$4+13),"yyyy-mm-dd"))*('Daily Checklist'!$F$2:$F$2000="Done"))&amp;"/"&amp;SUMPRODUCT(('Daily Checklist'!$D$2:$D$2000=$A54)*(TEXT('Daily Checklist'!$B$2:$B$2000,"yyyy-mm-dd")=TEXT(($B$4+13),"yyyy-mm-dd"))))))</f>
        <v/>
      </c>
      <c r="P54" s="25" t="str">
        <f aca="false">IF($A54="","",IF(SUMPRODUCT(('Daily Checklist'!$D$2:$D$2000=$A54)*(TEXT('Daily Checklist'!$B$2:$B$2000,"yyyy-mm-dd")=TEXT(($B$4+14),"yyyy-mm-dd")))=0,"-",IF(SUMPRODUCT(('Daily Checklist'!$D$2:$D$2000=$A54)*(TEXT('Daily Checklist'!$B$2:$B$2000,"yyyy-mm-dd")=TEXT(($B$4+14),"yyyy-mm-dd"))*('Daily Checklist'!$L$2:$L$2000="Y"))&gt;0,SUMPRODUCT(('Daily Checklist'!$D$2:$D$2000=$A54)*(TEXT('Daily Checklist'!$B$2:$B$2000,"yyyy-mm-dd")=TEXT(($B$4+14),"yyyy-mm-dd"))*('Daily Checklist'!$F$2:$F$2000="Done"))&amp;"/"&amp;SUMPRODUCT(('Daily Checklist'!$D$2:$D$2000=$A54)*(TEXT('Daily Checklist'!$B$2:$B$2000,"yyyy-mm-dd")=TEXT(($B$4+14),"yyyy-mm-dd")))&amp;" ESC",SUMPRODUCT(('Daily Checklist'!$D$2:$D$2000=$A54)*(TEXT('Daily Checklist'!$B$2:$B$2000,"yyyy-mm-dd")=TEXT(($B$4+14),"yyyy-mm-dd"))*('Daily Checklist'!$F$2:$F$2000="Done"))&amp;"/"&amp;SUMPRODUCT(('Daily Checklist'!$D$2:$D$2000=$A54)*(TEXT('Daily Checklist'!$B$2:$B$2000,"yyyy-mm-dd")=TEXT(($B$4+14),"yyyy-mm-dd"))))))</f>
        <v/>
      </c>
      <c r="Q54" s="25" t="str">
        <f aca="false">IF($A54="","",IF(SUMPRODUCT(('Daily Checklist'!$D$2:$D$2000=$A54)*(TEXT('Daily Checklist'!$B$2:$B$2000,"yyyy-mm-dd")=TEXT(($B$4+15),"yyyy-mm-dd")))=0,"-",IF(SUMPRODUCT(('Daily Checklist'!$D$2:$D$2000=$A54)*(TEXT('Daily Checklist'!$B$2:$B$2000,"yyyy-mm-dd")=TEXT(($B$4+15),"yyyy-mm-dd"))*('Daily Checklist'!$L$2:$L$2000="Y"))&gt;0,SUMPRODUCT(('Daily Checklist'!$D$2:$D$2000=$A54)*(TEXT('Daily Checklist'!$B$2:$B$2000,"yyyy-mm-dd")=TEXT(($B$4+15),"yyyy-mm-dd"))*('Daily Checklist'!$F$2:$F$2000="Done"))&amp;"/"&amp;SUMPRODUCT(('Daily Checklist'!$D$2:$D$2000=$A54)*(TEXT('Daily Checklist'!$B$2:$B$2000,"yyyy-mm-dd")=TEXT(($B$4+15),"yyyy-mm-dd")))&amp;" ESC",SUMPRODUCT(('Daily Checklist'!$D$2:$D$2000=$A54)*(TEXT('Daily Checklist'!$B$2:$B$2000,"yyyy-mm-dd")=TEXT(($B$4+15),"yyyy-mm-dd"))*('Daily Checklist'!$F$2:$F$2000="Done"))&amp;"/"&amp;SUMPRODUCT(('Daily Checklist'!$D$2:$D$2000=$A54)*(TEXT('Daily Checklist'!$B$2:$B$2000,"yyyy-mm-dd")=TEXT(($B$4+15),"yyyy-mm-dd"))))))</f>
        <v/>
      </c>
      <c r="R54" s="25" t="str">
        <f aca="false">IF($A54="","",IF(SUMPRODUCT(('Daily Checklist'!$D$2:$D$2000=$A54)*(TEXT('Daily Checklist'!$B$2:$B$2000,"yyyy-mm-dd")=TEXT(($B$4+16),"yyyy-mm-dd")))=0,"-",IF(SUMPRODUCT(('Daily Checklist'!$D$2:$D$2000=$A54)*(TEXT('Daily Checklist'!$B$2:$B$2000,"yyyy-mm-dd")=TEXT(($B$4+16),"yyyy-mm-dd"))*('Daily Checklist'!$L$2:$L$2000="Y"))&gt;0,SUMPRODUCT(('Daily Checklist'!$D$2:$D$2000=$A54)*(TEXT('Daily Checklist'!$B$2:$B$2000,"yyyy-mm-dd")=TEXT(($B$4+16),"yyyy-mm-dd"))*('Daily Checklist'!$F$2:$F$2000="Done"))&amp;"/"&amp;SUMPRODUCT(('Daily Checklist'!$D$2:$D$2000=$A54)*(TEXT('Daily Checklist'!$B$2:$B$2000,"yyyy-mm-dd")=TEXT(($B$4+16),"yyyy-mm-dd")))&amp;" ESC",SUMPRODUCT(('Daily Checklist'!$D$2:$D$2000=$A54)*(TEXT('Daily Checklist'!$B$2:$B$2000,"yyyy-mm-dd")=TEXT(($B$4+16),"yyyy-mm-dd"))*('Daily Checklist'!$F$2:$F$2000="Done"))&amp;"/"&amp;SUMPRODUCT(('Daily Checklist'!$D$2:$D$2000=$A54)*(TEXT('Daily Checklist'!$B$2:$B$2000,"yyyy-mm-dd")=TEXT(($B$4+16),"yyyy-mm-dd"))))))</f>
        <v/>
      </c>
      <c r="S54" s="25" t="str">
        <f aca="false">IF($A54="","",IF(SUMPRODUCT(('Daily Checklist'!$D$2:$D$2000=$A54)*(TEXT('Daily Checklist'!$B$2:$B$2000,"yyyy-mm-dd")=TEXT(($B$4+17),"yyyy-mm-dd")))=0,"-",IF(SUMPRODUCT(('Daily Checklist'!$D$2:$D$2000=$A54)*(TEXT('Daily Checklist'!$B$2:$B$2000,"yyyy-mm-dd")=TEXT(($B$4+17),"yyyy-mm-dd"))*('Daily Checklist'!$L$2:$L$2000="Y"))&gt;0,SUMPRODUCT(('Daily Checklist'!$D$2:$D$2000=$A54)*(TEXT('Daily Checklist'!$B$2:$B$2000,"yyyy-mm-dd")=TEXT(($B$4+17),"yyyy-mm-dd"))*('Daily Checklist'!$F$2:$F$2000="Done"))&amp;"/"&amp;SUMPRODUCT(('Daily Checklist'!$D$2:$D$2000=$A54)*(TEXT('Daily Checklist'!$B$2:$B$2000,"yyyy-mm-dd")=TEXT(($B$4+17),"yyyy-mm-dd")))&amp;" ESC",SUMPRODUCT(('Daily Checklist'!$D$2:$D$2000=$A54)*(TEXT('Daily Checklist'!$B$2:$B$2000,"yyyy-mm-dd")=TEXT(($B$4+17),"yyyy-mm-dd"))*('Daily Checklist'!$F$2:$F$2000="Done"))&amp;"/"&amp;SUMPRODUCT(('Daily Checklist'!$D$2:$D$2000=$A54)*(TEXT('Daily Checklist'!$B$2:$B$2000,"yyyy-mm-dd")=TEXT(($B$4+17),"yyyy-mm-dd"))))))</f>
        <v/>
      </c>
      <c r="T54" s="25" t="str">
        <f aca="false">IF($A54="","",IF(SUMPRODUCT(('Daily Checklist'!$D$2:$D$2000=$A54)*(TEXT('Daily Checklist'!$B$2:$B$2000,"yyyy-mm-dd")=TEXT(($B$4+18),"yyyy-mm-dd")))=0,"-",IF(SUMPRODUCT(('Daily Checklist'!$D$2:$D$2000=$A54)*(TEXT('Daily Checklist'!$B$2:$B$2000,"yyyy-mm-dd")=TEXT(($B$4+18),"yyyy-mm-dd"))*('Daily Checklist'!$L$2:$L$2000="Y"))&gt;0,SUMPRODUCT(('Daily Checklist'!$D$2:$D$2000=$A54)*(TEXT('Daily Checklist'!$B$2:$B$2000,"yyyy-mm-dd")=TEXT(($B$4+18),"yyyy-mm-dd"))*('Daily Checklist'!$F$2:$F$2000="Done"))&amp;"/"&amp;SUMPRODUCT(('Daily Checklist'!$D$2:$D$2000=$A54)*(TEXT('Daily Checklist'!$B$2:$B$2000,"yyyy-mm-dd")=TEXT(($B$4+18),"yyyy-mm-dd")))&amp;" ESC",SUMPRODUCT(('Daily Checklist'!$D$2:$D$2000=$A54)*(TEXT('Daily Checklist'!$B$2:$B$2000,"yyyy-mm-dd")=TEXT(($B$4+18),"yyyy-mm-dd"))*('Daily Checklist'!$F$2:$F$2000="Done"))&amp;"/"&amp;SUMPRODUCT(('Daily Checklist'!$D$2:$D$2000=$A54)*(TEXT('Daily Checklist'!$B$2:$B$2000,"yyyy-mm-dd")=TEXT(($B$4+18),"yyyy-mm-dd"))))))</f>
        <v/>
      </c>
      <c r="U54" s="25" t="str">
        <f aca="false">IF($A54="","",IF(SUMPRODUCT(('Daily Checklist'!$D$2:$D$2000=$A54)*(TEXT('Daily Checklist'!$B$2:$B$2000,"yyyy-mm-dd")=TEXT(($B$4+19),"yyyy-mm-dd")))=0,"-",IF(SUMPRODUCT(('Daily Checklist'!$D$2:$D$2000=$A54)*(TEXT('Daily Checklist'!$B$2:$B$2000,"yyyy-mm-dd")=TEXT(($B$4+19),"yyyy-mm-dd"))*('Daily Checklist'!$L$2:$L$2000="Y"))&gt;0,SUMPRODUCT(('Daily Checklist'!$D$2:$D$2000=$A54)*(TEXT('Daily Checklist'!$B$2:$B$2000,"yyyy-mm-dd")=TEXT(($B$4+19),"yyyy-mm-dd"))*('Daily Checklist'!$F$2:$F$2000="Done"))&amp;"/"&amp;SUMPRODUCT(('Daily Checklist'!$D$2:$D$2000=$A54)*(TEXT('Daily Checklist'!$B$2:$B$2000,"yyyy-mm-dd")=TEXT(($B$4+19),"yyyy-mm-dd")))&amp;" ESC",SUMPRODUCT(('Daily Checklist'!$D$2:$D$2000=$A54)*(TEXT('Daily Checklist'!$B$2:$B$2000,"yyyy-mm-dd")=TEXT(($B$4+19),"yyyy-mm-dd"))*('Daily Checklist'!$F$2:$F$2000="Done"))&amp;"/"&amp;SUMPRODUCT(('Daily Checklist'!$D$2:$D$2000=$A54)*(TEXT('Daily Checklist'!$B$2:$B$2000,"yyyy-mm-dd")=TEXT(($B$4+19),"yyyy-mm-dd"))))))</f>
        <v/>
      </c>
      <c r="V54" s="25" t="str">
        <f aca="false">IF($A54="","",IF(SUMPRODUCT(('Daily Checklist'!$D$2:$D$2000=$A54)*(TEXT('Daily Checklist'!$B$2:$B$2000,"yyyy-mm-dd")=TEXT(($B$4+20),"yyyy-mm-dd")))=0,"-",IF(SUMPRODUCT(('Daily Checklist'!$D$2:$D$2000=$A54)*(TEXT('Daily Checklist'!$B$2:$B$2000,"yyyy-mm-dd")=TEXT(($B$4+20),"yyyy-mm-dd"))*('Daily Checklist'!$L$2:$L$2000="Y"))&gt;0,SUMPRODUCT(('Daily Checklist'!$D$2:$D$2000=$A54)*(TEXT('Daily Checklist'!$B$2:$B$2000,"yyyy-mm-dd")=TEXT(($B$4+20),"yyyy-mm-dd"))*('Daily Checklist'!$F$2:$F$2000="Done"))&amp;"/"&amp;SUMPRODUCT(('Daily Checklist'!$D$2:$D$2000=$A54)*(TEXT('Daily Checklist'!$B$2:$B$2000,"yyyy-mm-dd")=TEXT(($B$4+20),"yyyy-mm-dd")))&amp;" ESC",SUMPRODUCT(('Daily Checklist'!$D$2:$D$2000=$A54)*(TEXT('Daily Checklist'!$B$2:$B$2000,"yyyy-mm-dd")=TEXT(($B$4+20),"yyyy-mm-dd"))*('Daily Checklist'!$F$2:$F$2000="Done"))&amp;"/"&amp;SUMPRODUCT(('Daily Checklist'!$D$2:$D$2000=$A54)*(TEXT('Daily Checklist'!$B$2:$B$2000,"yyyy-mm-dd")=TEXT(($B$4+20),"yyyy-mm-dd"))))))</f>
        <v/>
      </c>
      <c r="W54" s="25" t="str">
        <f aca="false">IF($A54="","",IF(SUMPRODUCT(('Daily Checklist'!$D$2:$D$2000=$A54)*(TEXT('Daily Checklist'!$B$2:$B$2000,"yyyy-mm-dd")=TEXT(($B$4+21),"yyyy-mm-dd")))=0,"-",IF(SUMPRODUCT(('Daily Checklist'!$D$2:$D$2000=$A54)*(TEXT('Daily Checklist'!$B$2:$B$2000,"yyyy-mm-dd")=TEXT(($B$4+21),"yyyy-mm-dd"))*('Daily Checklist'!$L$2:$L$2000="Y"))&gt;0,SUMPRODUCT(('Daily Checklist'!$D$2:$D$2000=$A54)*(TEXT('Daily Checklist'!$B$2:$B$2000,"yyyy-mm-dd")=TEXT(($B$4+21),"yyyy-mm-dd"))*('Daily Checklist'!$F$2:$F$2000="Done"))&amp;"/"&amp;SUMPRODUCT(('Daily Checklist'!$D$2:$D$2000=$A54)*(TEXT('Daily Checklist'!$B$2:$B$2000,"yyyy-mm-dd")=TEXT(($B$4+21),"yyyy-mm-dd")))&amp;" ESC",SUMPRODUCT(('Daily Checklist'!$D$2:$D$2000=$A54)*(TEXT('Daily Checklist'!$B$2:$B$2000,"yyyy-mm-dd")=TEXT(($B$4+21),"yyyy-mm-dd"))*('Daily Checklist'!$F$2:$F$2000="Done"))&amp;"/"&amp;SUMPRODUCT(('Daily Checklist'!$D$2:$D$2000=$A54)*(TEXT('Daily Checklist'!$B$2:$B$2000,"yyyy-mm-dd")=TEXT(($B$4+21),"yyyy-mm-dd"))))))</f>
        <v/>
      </c>
      <c r="X54" s="25" t="str">
        <f aca="false">IF($A54="","",IF(SUMPRODUCT(('Daily Checklist'!$D$2:$D$2000=$A54)*(TEXT('Daily Checklist'!$B$2:$B$2000,"yyyy-mm-dd")=TEXT(($B$4+22),"yyyy-mm-dd")))=0,"-",IF(SUMPRODUCT(('Daily Checklist'!$D$2:$D$2000=$A54)*(TEXT('Daily Checklist'!$B$2:$B$2000,"yyyy-mm-dd")=TEXT(($B$4+22),"yyyy-mm-dd"))*('Daily Checklist'!$L$2:$L$2000="Y"))&gt;0,SUMPRODUCT(('Daily Checklist'!$D$2:$D$2000=$A54)*(TEXT('Daily Checklist'!$B$2:$B$2000,"yyyy-mm-dd")=TEXT(($B$4+22),"yyyy-mm-dd"))*('Daily Checklist'!$F$2:$F$2000="Done"))&amp;"/"&amp;SUMPRODUCT(('Daily Checklist'!$D$2:$D$2000=$A54)*(TEXT('Daily Checklist'!$B$2:$B$2000,"yyyy-mm-dd")=TEXT(($B$4+22),"yyyy-mm-dd")))&amp;" ESC",SUMPRODUCT(('Daily Checklist'!$D$2:$D$2000=$A54)*(TEXT('Daily Checklist'!$B$2:$B$2000,"yyyy-mm-dd")=TEXT(($B$4+22),"yyyy-mm-dd"))*('Daily Checklist'!$F$2:$F$2000="Done"))&amp;"/"&amp;SUMPRODUCT(('Daily Checklist'!$D$2:$D$2000=$A54)*(TEXT('Daily Checklist'!$B$2:$B$2000,"yyyy-mm-dd")=TEXT(($B$4+22),"yyyy-mm-dd"))))))</f>
        <v/>
      </c>
      <c r="Y54" s="25" t="str">
        <f aca="false">IF($A54="","",IF(SUMPRODUCT(('Daily Checklist'!$D$2:$D$2000=$A54)*(TEXT('Daily Checklist'!$B$2:$B$2000,"yyyy-mm-dd")=TEXT(($B$4+23),"yyyy-mm-dd")))=0,"-",IF(SUMPRODUCT(('Daily Checklist'!$D$2:$D$2000=$A54)*(TEXT('Daily Checklist'!$B$2:$B$2000,"yyyy-mm-dd")=TEXT(($B$4+23),"yyyy-mm-dd"))*('Daily Checklist'!$L$2:$L$2000="Y"))&gt;0,SUMPRODUCT(('Daily Checklist'!$D$2:$D$2000=$A54)*(TEXT('Daily Checklist'!$B$2:$B$2000,"yyyy-mm-dd")=TEXT(($B$4+23),"yyyy-mm-dd"))*('Daily Checklist'!$F$2:$F$2000="Done"))&amp;"/"&amp;SUMPRODUCT(('Daily Checklist'!$D$2:$D$2000=$A54)*(TEXT('Daily Checklist'!$B$2:$B$2000,"yyyy-mm-dd")=TEXT(($B$4+23),"yyyy-mm-dd")))&amp;" ESC",SUMPRODUCT(('Daily Checklist'!$D$2:$D$2000=$A54)*(TEXT('Daily Checklist'!$B$2:$B$2000,"yyyy-mm-dd")=TEXT(($B$4+23),"yyyy-mm-dd"))*('Daily Checklist'!$F$2:$F$2000="Done"))&amp;"/"&amp;SUMPRODUCT(('Daily Checklist'!$D$2:$D$2000=$A54)*(TEXT('Daily Checklist'!$B$2:$B$2000,"yyyy-mm-dd")=TEXT(($B$4+23),"yyyy-mm-dd"))))))</f>
        <v/>
      </c>
      <c r="Z54" s="25" t="str">
        <f aca="false">IF($A54="","",IF(SUMPRODUCT(('Daily Checklist'!$D$2:$D$2000=$A54)*(TEXT('Daily Checklist'!$B$2:$B$2000,"yyyy-mm-dd")=TEXT(($B$4+24),"yyyy-mm-dd")))=0,"-",IF(SUMPRODUCT(('Daily Checklist'!$D$2:$D$2000=$A54)*(TEXT('Daily Checklist'!$B$2:$B$2000,"yyyy-mm-dd")=TEXT(($B$4+24),"yyyy-mm-dd"))*('Daily Checklist'!$L$2:$L$2000="Y"))&gt;0,SUMPRODUCT(('Daily Checklist'!$D$2:$D$2000=$A54)*(TEXT('Daily Checklist'!$B$2:$B$2000,"yyyy-mm-dd")=TEXT(($B$4+24),"yyyy-mm-dd"))*('Daily Checklist'!$F$2:$F$2000="Done"))&amp;"/"&amp;SUMPRODUCT(('Daily Checklist'!$D$2:$D$2000=$A54)*(TEXT('Daily Checklist'!$B$2:$B$2000,"yyyy-mm-dd")=TEXT(($B$4+24),"yyyy-mm-dd")))&amp;" ESC",SUMPRODUCT(('Daily Checklist'!$D$2:$D$2000=$A54)*(TEXT('Daily Checklist'!$B$2:$B$2000,"yyyy-mm-dd")=TEXT(($B$4+24),"yyyy-mm-dd"))*('Daily Checklist'!$F$2:$F$2000="Done"))&amp;"/"&amp;SUMPRODUCT(('Daily Checklist'!$D$2:$D$2000=$A54)*(TEXT('Daily Checklist'!$B$2:$B$2000,"yyyy-mm-dd")=TEXT(($B$4+24),"yyyy-mm-dd"))))))</f>
        <v/>
      </c>
      <c r="AA54" s="25" t="str">
        <f aca="false">IF($A54="","",IF(SUMPRODUCT(('Daily Checklist'!$D$2:$D$2000=$A54)*(TEXT('Daily Checklist'!$B$2:$B$2000,"yyyy-mm-dd")=TEXT(($B$4+25),"yyyy-mm-dd")))=0,"-",IF(SUMPRODUCT(('Daily Checklist'!$D$2:$D$2000=$A54)*(TEXT('Daily Checklist'!$B$2:$B$2000,"yyyy-mm-dd")=TEXT(($B$4+25),"yyyy-mm-dd"))*('Daily Checklist'!$L$2:$L$2000="Y"))&gt;0,SUMPRODUCT(('Daily Checklist'!$D$2:$D$2000=$A54)*(TEXT('Daily Checklist'!$B$2:$B$2000,"yyyy-mm-dd")=TEXT(($B$4+25),"yyyy-mm-dd"))*('Daily Checklist'!$F$2:$F$2000="Done"))&amp;"/"&amp;SUMPRODUCT(('Daily Checklist'!$D$2:$D$2000=$A54)*(TEXT('Daily Checklist'!$B$2:$B$2000,"yyyy-mm-dd")=TEXT(($B$4+25),"yyyy-mm-dd")))&amp;" ESC",SUMPRODUCT(('Daily Checklist'!$D$2:$D$2000=$A54)*(TEXT('Daily Checklist'!$B$2:$B$2000,"yyyy-mm-dd")=TEXT(($B$4+25),"yyyy-mm-dd"))*('Daily Checklist'!$F$2:$F$2000="Done"))&amp;"/"&amp;SUMPRODUCT(('Daily Checklist'!$D$2:$D$2000=$A54)*(TEXT('Daily Checklist'!$B$2:$B$2000,"yyyy-mm-dd")=TEXT(($B$4+25),"yyyy-mm-dd"))))))</f>
        <v/>
      </c>
      <c r="AB54" s="25" t="str">
        <f aca="false">IF($A54="","",IF(SUMPRODUCT(('Daily Checklist'!$D$2:$D$2000=$A54)*(TEXT('Daily Checklist'!$B$2:$B$2000,"yyyy-mm-dd")=TEXT(($B$4+26),"yyyy-mm-dd")))=0,"-",IF(SUMPRODUCT(('Daily Checklist'!$D$2:$D$2000=$A54)*(TEXT('Daily Checklist'!$B$2:$B$2000,"yyyy-mm-dd")=TEXT(($B$4+26),"yyyy-mm-dd"))*('Daily Checklist'!$L$2:$L$2000="Y"))&gt;0,SUMPRODUCT(('Daily Checklist'!$D$2:$D$2000=$A54)*(TEXT('Daily Checklist'!$B$2:$B$2000,"yyyy-mm-dd")=TEXT(($B$4+26),"yyyy-mm-dd"))*('Daily Checklist'!$F$2:$F$2000="Done"))&amp;"/"&amp;SUMPRODUCT(('Daily Checklist'!$D$2:$D$2000=$A54)*(TEXT('Daily Checklist'!$B$2:$B$2000,"yyyy-mm-dd")=TEXT(($B$4+26),"yyyy-mm-dd")))&amp;" ESC",SUMPRODUCT(('Daily Checklist'!$D$2:$D$2000=$A54)*(TEXT('Daily Checklist'!$B$2:$B$2000,"yyyy-mm-dd")=TEXT(($B$4+26),"yyyy-mm-dd"))*('Daily Checklist'!$F$2:$F$2000="Done"))&amp;"/"&amp;SUMPRODUCT(('Daily Checklist'!$D$2:$D$2000=$A54)*(TEXT('Daily Checklist'!$B$2:$B$2000,"yyyy-mm-dd")=TEXT(($B$4+26),"yyyy-mm-dd"))))))</f>
        <v/>
      </c>
      <c r="AC54" s="25" t="str">
        <f aca="false">IF($A54="","",IF(SUMPRODUCT(('Daily Checklist'!$D$2:$D$2000=$A54)*(TEXT('Daily Checklist'!$B$2:$B$2000,"yyyy-mm-dd")=TEXT(($B$4+27),"yyyy-mm-dd")))=0,"-",IF(SUMPRODUCT(('Daily Checklist'!$D$2:$D$2000=$A54)*(TEXT('Daily Checklist'!$B$2:$B$2000,"yyyy-mm-dd")=TEXT(($B$4+27),"yyyy-mm-dd"))*('Daily Checklist'!$L$2:$L$2000="Y"))&gt;0,SUMPRODUCT(('Daily Checklist'!$D$2:$D$2000=$A54)*(TEXT('Daily Checklist'!$B$2:$B$2000,"yyyy-mm-dd")=TEXT(($B$4+27),"yyyy-mm-dd"))*('Daily Checklist'!$F$2:$F$2000="Done"))&amp;"/"&amp;SUMPRODUCT(('Daily Checklist'!$D$2:$D$2000=$A54)*(TEXT('Daily Checklist'!$B$2:$B$2000,"yyyy-mm-dd")=TEXT(($B$4+27),"yyyy-mm-dd")))&amp;" ESC",SUMPRODUCT(('Daily Checklist'!$D$2:$D$2000=$A54)*(TEXT('Daily Checklist'!$B$2:$B$2000,"yyyy-mm-dd")=TEXT(($B$4+27),"yyyy-mm-dd"))*('Daily Checklist'!$F$2:$F$2000="Done"))&amp;"/"&amp;SUMPRODUCT(('Daily Checklist'!$D$2:$D$2000=$A54)*(TEXT('Daily Checklist'!$B$2:$B$2000,"yyyy-mm-dd")=TEXT(($B$4+27),"yyyy-mm-dd"))))))</f>
        <v/>
      </c>
      <c r="AD54" s="25" t="str">
        <f aca="false">IF($A54="","",IF(SUMPRODUCT(('Daily Checklist'!$D$2:$D$2000=$A54)*(TEXT('Daily Checklist'!$B$2:$B$2000,"yyyy-mm-dd")=TEXT(($B$4+28),"yyyy-mm-dd")))=0,"-",IF(SUMPRODUCT(('Daily Checklist'!$D$2:$D$2000=$A54)*(TEXT('Daily Checklist'!$B$2:$B$2000,"yyyy-mm-dd")=TEXT(($B$4+28),"yyyy-mm-dd"))*('Daily Checklist'!$L$2:$L$2000="Y"))&gt;0,SUMPRODUCT(('Daily Checklist'!$D$2:$D$2000=$A54)*(TEXT('Daily Checklist'!$B$2:$B$2000,"yyyy-mm-dd")=TEXT(($B$4+28),"yyyy-mm-dd"))*('Daily Checklist'!$F$2:$F$2000="Done"))&amp;"/"&amp;SUMPRODUCT(('Daily Checklist'!$D$2:$D$2000=$A54)*(TEXT('Daily Checklist'!$B$2:$B$2000,"yyyy-mm-dd")=TEXT(($B$4+28),"yyyy-mm-dd")))&amp;" ESC",SUMPRODUCT(('Daily Checklist'!$D$2:$D$2000=$A54)*(TEXT('Daily Checklist'!$B$2:$B$2000,"yyyy-mm-dd")=TEXT(($B$4+28),"yyyy-mm-dd"))*('Daily Checklist'!$F$2:$F$2000="Done"))&amp;"/"&amp;SUMPRODUCT(('Daily Checklist'!$D$2:$D$2000=$A54)*(TEXT('Daily Checklist'!$B$2:$B$2000,"yyyy-mm-dd")=TEXT(($B$4+28),"yyyy-mm-dd"))))))</f>
        <v/>
      </c>
      <c r="AE54" s="25" t="str">
        <f aca="false">IF($A54="","",IF(SUMPRODUCT(('Daily Checklist'!$D$2:$D$2000=$A54)*(TEXT('Daily Checklist'!$B$2:$B$2000,"yyyy-mm-dd")=TEXT(($B$4+29),"yyyy-mm-dd")))=0,"-",IF(SUMPRODUCT(('Daily Checklist'!$D$2:$D$2000=$A54)*(TEXT('Daily Checklist'!$B$2:$B$2000,"yyyy-mm-dd")=TEXT(($B$4+29),"yyyy-mm-dd"))*('Daily Checklist'!$L$2:$L$2000="Y"))&gt;0,SUMPRODUCT(('Daily Checklist'!$D$2:$D$2000=$A54)*(TEXT('Daily Checklist'!$B$2:$B$2000,"yyyy-mm-dd")=TEXT(($B$4+29),"yyyy-mm-dd"))*('Daily Checklist'!$F$2:$F$2000="Done"))&amp;"/"&amp;SUMPRODUCT(('Daily Checklist'!$D$2:$D$2000=$A54)*(TEXT('Daily Checklist'!$B$2:$B$2000,"yyyy-mm-dd")=TEXT(($B$4+29),"yyyy-mm-dd")))&amp;" ESC",SUMPRODUCT(('Daily Checklist'!$D$2:$D$2000=$A54)*(TEXT('Daily Checklist'!$B$2:$B$2000,"yyyy-mm-dd")=TEXT(($B$4+29),"yyyy-mm-dd"))*('Daily Checklist'!$F$2:$F$2000="Done"))&amp;"/"&amp;SUMPRODUCT(('Daily Checklist'!$D$2:$D$2000=$A54)*(TEXT('Daily Checklist'!$B$2:$B$2000,"yyyy-mm-dd")=TEXT(($B$4+29),"yyyy-mm-dd"))))))</f>
        <v/>
      </c>
      <c r="AF54" s="25" t="str">
        <f aca="false">IF($A54="","",IF(SUMPRODUCT(('Daily Checklist'!$D$2:$D$2000=$A54)*(TEXT('Daily Checklist'!$B$2:$B$2000,"yyyy-mm-dd")=TEXT(($B$4+30),"yyyy-mm-dd")))=0,"-",IF(SUMPRODUCT(('Daily Checklist'!$D$2:$D$2000=$A54)*(TEXT('Daily Checklist'!$B$2:$B$2000,"yyyy-mm-dd")=TEXT(($B$4+30),"yyyy-mm-dd"))*('Daily Checklist'!$L$2:$L$2000="Y"))&gt;0,SUMPRODUCT(('Daily Checklist'!$D$2:$D$2000=$A54)*(TEXT('Daily Checklist'!$B$2:$B$2000,"yyyy-mm-dd")=TEXT(($B$4+30),"yyyy-mm-dd"))*('Daily Checklist'!$F$2:$F$2000="Done"))&amp;"/"&amp;SUMPRODUCT(('Daily Checklist'!$D$2:$D$2000=$A54)*(TEXT('Daily Checklist'!$B$2:$B$2000,"yyyy-mm-dd")=TEXT(($B$4+30),"yyyy-mm-dd")))&amp;" ESC",SUMPRODUCT(('Daily Checklist'!$D$2:$D$2000=$A54)*(TEXT('Daily Checklist'!$B$2:$B$2000,"yyyy-mm-dd")=TEXT(($B$4+30),"yyyy-mm-dd"))*('Daily Checklist'!$F$2:$F$2000="Done"))&amp;"/"&amp;SUMPRODUCT(('Daily Checklist'!$D$2:$D$2000=$A54)*(TEXT('Daily Checklist'!$B$2:$B$2000,"yyyy-mm-dd")=TEXT(($B$4+30),"yyyy-mm-dd"))))))</f>
        <v/>
      </c>
    </row>
    <row r="55" customFormat="false" ht="15" hidden="false" customHeight="true" outlineLevel="0" collapsed="false">
      <c r="A55" s="24" t="str">
        <f aca="false">IFERROR(IF(Employees!A50="","",Employees!A50),"")</f>
        <v/>
      </c>
      <c r="B55" s="25" t="str">
        <f aca="false">IF($A55="","",IF(SUMPRODUCT(('Daily Checklist'!$D$2:$D$2000=$A55)*(TEXT('Daily Checklist'!$B$2:$B$2000,"yyyy-mm-dd")=TEXT(($B$4+0),"yyyy-mm-dd")))=0,"-",IF(SUMPRODUCT(('Daily Checklist'!$D$2:$D$2000=$A55)*(TEXT('Daily Checklist'!$B$2:$B$2000,"yyyy-mm-dd")=TEXT(($B$4+0),"yyyy-mm-dd"))*('Daily Checklist'!$L$2:$L$2000="Y"))&gt;0,SUMPRODUCT(('Daily Checklist'!$D$2:$D$2000=$A55)*(TEXT('Daily Checklist'!$B$2:$B$2000,"yyyy-mm-dd")=TEXT(($B$4+0),"yyyy-mm-dd"))*('Daily Checklist'!$F$2:$F$2000="Done"))&amp;"/"&amp;SUMPRODUCT(('Daily Checklist'!$D$2:$D$2000=$A55)*(TEXT('Daily Checklist'!$B$2:$B$2000,"yyyy-mm-dd")=TEXT(($B$4+0),"yyyy-mm-dd")))&amp;" ESC",SUMPRODUCT(('Daily Checklist'!$D$2:$D$2000=$A55)*(TEXT('Daily Checklist'!$B$2:$B$2000,"yyyy-mm-dd")=TEXT(($B$4+0),"yyyy-mm-dd"))*('Daily Checklist'!$F$2:$F$2000="Done"))&amp;"/"&amp;SUMPRODUCT(('Daily Checklist'!$D$2:$D$2000=$A55)*(TEXT('Daily Checklist'!$B$2:$B$2000,"yyyy-mm-dd")=TEXT(($B$4+0),"yyyy-mm-dd"))))))</f>
        <v/>
      </c>
      <c r="C55" s="25" t="str">
        <f aca="false">IF($A55="","",IF(SUMPRODUCT(('Daily Checklist'!$D$2:$D$2000=$A55)*(TEXT('Daily Checklist'!$B$2:$B$2000,"yyyy-mm-dd")=TEXT(($B$4+1),"yyyy-mm-dd")))=0,"-",IF(SUMPRODUCT(('Daily Checklist'!$D$2:$D$2000=$A55)*(TEXT('Daily Checklist'!$B$2:$B$2000,"yyyy-mm-dd")=TEXT(($B$4+1),"yyyy-mm-dd"))*('Daily Checklist'!$L$2:$L$2000="Y"))&gt;0,SUMPRODUCT(('Daily Checklist'!$D$2:$D$2000=$A55)*(TEXT('Daily Checklist'!$B$2:$B$2000,"yyyy-mm-dd")=TEXT(($B$4+1),"yyyy-mm-dd"))*('Daily Checklist'!$F$2:$F$2000="Done"))&amp;"/"&amp;SUMPRODUCT(('Daily Checklist'!$D$2:$D$2000=$A55)*(TEXT('Daily Checklist'!$B$2:$B$2000,"yyyy-mm-dd")=TEXT(($B$4+1),"yyyy-mm-dd")))&amp;" ESC",SUMPRODUCT(('Daily Checklist'!$D$2:$D$2000=$A55)*(TEXT('Daily Checklist'!$B$2:$B$2000,"yyyy-mm-dd")=TEXT(($B$4+1),"yyyy-mm-dd"))*('Daily Checklist'!$F$2:$F$2000="Done"))&amp;"/"&amp;SUMPRODUCT(('Daily Checklist'!$D$2:$D$2000=$A55)*(TEXT('Daily Checklist'!$B$2:$B$2000,"yyyy-mm-dd")=TEXT(($B$4+1),"yyyy-mm-dd"))))))</f>
        <v/>
      </c>
      <c r="D55" s="25" t="str">
        <f aca="false">IF($A55="","",IF(SUMPRODUCT(('Daily Checklist'!$D$2:$D$2000=$A55)*(TEXT('Daily Checklist'!$B$2:$B$2000,"yyyy-mm-dd")=TEXT(($B$4+2),"yyyy-mm-dd")))=0,"-",IF(SUMPRODUCT(('Daily Checklist'!$D$2:$D$2000=$A55)*(TEXT('Daily Checklist'!$B$2:$B$2000,"yyyy-mm-dd")=TEXT(($B$4+2),"yyyy-mm-dd"))*('Daily Checklist'!$L$2:$L$2000="Y"))&gt;0,SUMPRODUCT(('Daily Checklist'!$D$2:$D$2000=$A55)*(TEXT('Daily Checklist'!$B$2:$B$2000,"yyyy-mm-dd")=TEXT(($B$4+2),"yyyy-mm-dd"))*('Daily Checklist'!$F$2:$F$2000="Done"))&amp;"/"&amp;SUMPRODUCT(('Daily Checklist'!$D$2:$D$2000=$A55)*(TEXT('Daily Checklist'!$B$2:$B$2000,"yyyy-mm-dd")=TEXT(($B$4+2),"yyyy-mm-dd")))&amp;" ESC",SUMPRODUCT(('Daily Checklist'!$D$2:$D$2000=$A55)*(TEXT('Daily Checklist'!$B$2:$B$2000,"yyyy-mm-dd")=TEXT(($B$4+2),"yyyy-mm-dd"))*('Daily Checklist'!$F$2:$F$2000="Done"))&amp;"/"&amp;SUMPRODUCT(('Daily Checklist'!$D$2:$D$2000=$A55)*(TEXT('Daily Checklist'!$B$2:$B$2000,"yyyy-mm-dd")=TEXT(($B$4+2),"yyyy-mm-dd"))))))</f>
        <v/>
      </c>
      <c r="E55" s="25" t="str">
        <f aca="false">IF($A55="","",IF(SUMPRODUCT(('Daily Checklist'!$D$2:$D$2000=$A55)*(TEXT('Daily Checklist'!$B$2:$B$2000,"yyyy-mm-dd")=TEXT(($B$4+3),"yyyy-mm-dd")))=0,"-",IF(SUMPRODUCT(('Daily Checklist'!$D$2:$D$2000=$A55)*(TEXT('Daily Checklist'!$B$2:$B$2000,"yyyy-mm-dd")=TEXT(($B$4+3),"yyyy-mm-dd"))*('Daily Checklist'!$L$2:$L$2000="Y"))&gt;0,SUMPRODUCT(('Daily Checklist'!$D$2:$D$2000=$A55)*(TEXT('Daily Checklist'!$B$2:$B$2000,"yyyy-mm-dd")=TEXT(($B$4+3),"yyyy-mm-dd"))*('Daily Checklist'!$F$2:$F$2000="Done"))&amp;"/"&amp;SUMPRODUCT(('Daily Checklist'!$D$2:$D$2000=$A55)*(TEXT('Daily Checklist'!$B$2:$B$2000,"yyyy-mm-dd")=TEXT(($B$4+3),"yyyy-mm-dd")))&amp;" ESC",SUMPRODUCT(('Daily Checklist'!$D$2:$D$2000=$A55)*(TEXT('Daily Checklist'!$B$2:$B$2000,"yyyy-mm-dd")=TEXT(($B$4+3),"yyyy-mm-dd"))*('Daily Checklist'!$F$2:$F$2000="Done"))&amp;"/"&amp;SUMPRODUCT(('Daily Checklist'!$D$2:$D$2000=$A55)*(TEXT('Daily Checklist'!$B$2:$B$2000,"yyyy-mm-dd")=TEXT(($B$4+3),"yyyy-mm-dd"))))))</f>
        <v/>
      </c>
      <c r="F55" s="25" t="str">
        <f aca="false">IF($A55="","",IF(SUMPRODUCT(('Daily Checklist'!$D$2:$D$2000=$A55)*(TEXT('Daily Checklist'!$B$2:$B$2000,"yyyy-mm-dd")=TEXT(($B$4+4),"yyyy-mm-dd")))=0,"-",IF(SUMPRODUCT(('Daily Checklist'!$D$2:$D$2000=$A55)*(TEXT('Daily Checklist'!$B$2:$B$2000,"yyyy-mm-dd")=TEXT(($B$4+4),"yyyy-mm-dd"))*('Daily Checklist'!$L$2:$L$2000="Y"))&gt;0,SUMPRODUCT(('Daily Checklist'!$D$2:$D$2000=$A55)*(TEXT('Daily Checklist'!$B$2:$B$2000,"yyyy-mm-dd")=TEXT(($B$4+4),"yyyy-mm-dd"))*('Daily Checklist'!$F$2:$F$2000="Done"))&amp;"/"&amp;SUMPRODUCT(('Daily Checklist'!$D$2:$D$2000=$A55)*(TEXT('Daily Checklist'!$B$2:$B$2000,"yyyy-mm-dd")=TEXT(($B$4+4),"yyyy-mm-dd")))&amp;" ESC",SUMPRODUCT(('Daily Checklist'!$D$2:$D$2000=$A55)*(TEXT('Daily Checklist'!$B$2:$B$2000,"yyyy-mm-dd")=TEXT(($B$4+4),"yyyy-mm-dd"))*('Daily Checklist'!$F$2:$F$2000="Done"))&amp;"/"&amp;SUMPRODUCT(('Daily Checklist'!$D$2:$D$2000=$A55)*(TEXT('Daily Checklist'!$B$2:$B$2000,"yyyy-mm-dd")=TEXT(($B$4+4),"yyyy-mm-dd"))))))</f>
        <v/>
      </c>
      <c r="G55" s="25" t="str">
        <f aca="false">IF($A55="","",IF(SUMPRODUCT(('Daily Checklist'!$D$2:$D$2000=$A55)*(TEXT('Daily Checklist'!$B$2:$B$2000,"yyyy-mm-dd")=TEXT(($B$4+5),"yyyy-mm-dd")))=0,"-",IF(SUMPRODUCT(('Daily Checklist'!$D$2:$D$2000=$A55)*(TEXT('Daily Checklist'!$B$2:$B$2000,"yyyy-mm-dd")=TEXT(($B$4+5),"yyyy-mm-dd"))*('Daily Checklist'!$L$2:$L$2000="Y"))&gt;0,SUMPRODUCT(('Daily Checklist'!$D$2:$D$2000=$A55)*(TEXT('Daily Checklist'!$B$2:$B$2000,"yyyy-mm-dd")=TEXT(($B$4+5),"yyyy-mm-dd"))*('Daily Checklist'!$F$2:$F$2000="Done"))&amp;"/"&amp;SUMPRODUCT(('Daily Checklist'!$D$2:$D$2000=$A55)*(TEXT('Daily Checklist'!$B$2:$B$2000,"yyyy-mm-dd")=TEXT(($B$4+5),"yyyy-mm-dd")))&amp;" ESC",SUMPRODUCT(('Daily Checklist'!$D$2:$D$2000=$A55)*(TEXT('Daily Checklist'!$B$2:$B$2000,"yyyy-mm-dd")=TEXT(($B$4+5),"yyyy-mm-dd"))*('Daily Checklist'!$F$2:$F$2000="Done"))&amp;"/"&amp;SUMPRODUCT(('Daily Checklist'!$D$2:$D$2000=$A55)*(TEXT('Daily Checklist'!$B$2:$B$2000,"yyyy-mm-dd")=TEXT(($B$4+5),"yyyy-mm-dd"))))))</f>
        <v/>
      </c>
      <c r="H55" s="25" t="str">
        <f aca="false">IF($A55="","",IF(SUMPRODUCT(('Daily Checklist'!$D$2:$D$2000=$A55)*(TEXT('Daily Checklist'!$B$2:$B$2000,"yyyy-mm-dd")=TEXT(($B$4+6),"yyyy-mm-dd")))=0,"-",IF(SUMPRODUCT(('Daily Checklist'!$D$2:$D$2000=$A55)*(TEXT('Daily Checklist'!$B$2:$B$2000,"yyyy-mm-dd")=TEXT(($B$4+6),"yyyy-mm-dd"))*('Daily Checklist'!$L$2:$L$2000="Y"))&gt;0,SUMPRODUCT(('Daily Checklist'!$D$2:$D$2000=$A55)*(TEXT('Daily Checklist'!$B$2:$B$2000,"yyyy-mm-dd")=TEXT(($B$4+6),"yyyy-mm-dd"))*('Daily Checklist'!$F$2:$F$2000="Done"))&amp;"/"&amp;SUMPRODUCT(('Daily Checklist'!$D$2:$D$2000=$A55)*(TEXT('Daily Checklist'!$B$2:$B$2000,"yyyy-mm-dd")=TEXT(($B$4+6),"yyyy-mm-dd")))&amp;" ESC",SUMPRODUCT(('Daily Checklist'!$D$2:$D$2000=$A55)*(TEXT('Daily Checklist'!$B$2:$B$2000,"yyyy-mm-dd")=TEXT(($B$4+6),"yyyy-mm-dd"))*('Daily Checklist'!$F$2:$F$2000="Done"))&amp;"/"&amp;SUMPRODUCT(('Daily Checklist'!$D$2:$D$2000=$A55)*(TEXT('Daily Checklist'!$B$2:$B$2000,"yyyy-mm-dd")=TEXT(($B$4+6),"yyyy-mm-dd"))))))</f>
        <v/>
      </c>
      <c r="I55" s="25" t="str">
        <f aca="false">IF($A55="","",IF(SUMPRODUCT(('Daily Checklist'!$D$2:$D$2000=$A55)*(TEXT('Daily Checklist'!$B$2:$B$2000,"yyyy-mm-dd")=TEXT(($B$4+7),"yyyy-mm-dd")))=0,"-",IF(SUMPRODUCT(('Daily Checklist'!$D$2:$D$2000=$A55)*(TEXT('Daily Checklist'!$B$2:$B$2000,"yyyy-mm-dd")=TEXT(($B$4+7),"yyyy-mm-dd"))*('Daily Checklist'!$L$2:$L$2000="Y"))&gt;0,SUMPRODUCT(('Daily Checklist'!$D$2:$D$2000=$A55)*(TEXT('Daily Checklist'!$B$2:$B$2000,"yyyy-mm-dd")=TEXT(($B$4+7),"yyyy-mm-dd"))*('Daily Checklist'!$F$2:$F$2000="Done"))&amp;"/"&amp;SUMPRODUCT(('Daily Checklist'!$D$2:$D$2000=$A55)*(TEXT('Daily Checklist'!$B$2:$B$2000,"yyyy-mm-dd")=TEXT(($B$4+7),"yyyy-mm-dd")))&amp;" ESC",SUMPRODUCT(('Daily Checklist'!$D$2:$D$2000=$A55)*(TEXT('Daily Checklist'!$B$2:$B$2000,"yyyy-mm-dd")=TEXT(($B$4+7),"yyyy-mm-dd"))*('Daily Checklist'!$F$2:$F$2000="Done"))&amp;"/"&amp;SUMPRODUCT(('Daily Checklist'!$D$2:$D$2000=$A55)*(TEXT('Daily Checklist'!$B$2:$B$2000,"yyyy-mm-dd")=TEXT(($B$4+7),"yyyy-mm-dd"))))))</f>
        <v/>
      </c>
      <c r="J55" s="25" t="str">
        <f aca="false">IF($A55="","",IF(SUMPRODUCT(('Daily Checklist'!$D$2:$D$2000=$A55)*(TEXT('Daily Checklist'!$B$2:$B$2000,"yyyy-mm-dd")=TEXT(($B$4+8),"yyyy-mm-dd")))=0,"-",IF(SUMPRODUCT(('Daily Checklist'!$D$2:$D$2000=$A55)*(TEXT('Daily Checklist'!$B$2:$B$2000,"yyyy-mm-dd")=TEXT(($B$4+8),"yyyy-mm-dd"))*('Daily Checklist'!$L$2:$L$2000="Y"))&gt;0,SUMPRODUCT(('Daily Checklist'!$D$2:$D$2000=$A55)*(TEXT('Daily Checklist'!$B$2:$B$2000,"yyyy-mm-dd")=TEXT(($B$4+8),"yyyy-mm-dd"))*('Daily Checklist'!$F$2:$F$2000="Done"))&amp;"/"&amp;SUMPRODUCT(('Daily Checklist'!$D$2:$D$2000=$A55)*(TEXT('Daily Checklist'!$B$2:$B$2000,"yyyy-mm-dd")=TEXT(($B$4+8),"yyyy-mm-dd")))&amp;" ESC",SUMPRODUCT(('Daily Checklist'!$D$2:$D$2000=$A55)*(TEXT('Daily Checklist'!$B$2:$B$2000,"yyyy-mm-dd")=TEXT(($B$4+8),"yyyy-mm-dd"))*('Daily Checklist'!$F$2:$F$2000="Done"))&amp;"/"&amp;SUMPRODUCT(('Daily Checklist'!$D$2:$D$2000=$A55)*(TEXT('Daily Checklist'!$B$2:$B$2000,"yyyy-mm-dd")=TEXT(($B$4+8),"yyyy-mm-dd"))))))</f>
        <v/>
      </c>
      <c r="K55" s="25" t="str">
        <f aca="false">IF($A55="","",IF(SUMPRODUCT(('Daily Checklist'!$D$2:$D$2000=$A55)*(TEXT('Daily Checklist'!$B$2:$B$2000,"yyyy-mm-dd")=TEXT(($B$4+9),"yyyy-mm-dd")))=0,"-",IF(SUMPRODUCT(('Daily Checklist'!$D$2:$D$2000=$A55)*(TEXT('Daily Checklist'!$B$2:$B$2000,"yyyy-mm-dd")=TEXT(($B$4+9),"yyyy-mm-dd"))*('Daily Checklist'!$L$2:$L$2000="Y"))&gt;0,SUMPRODUCT(('Daily Checklist'!$D$2:$D$2000=$A55)*(TEXT('Daily Checklist'!$B$2:$B$2000,"yyyy-mm-dd")=TEXT(($B$4+9),"yyyy-mm-dd"))*('Daily Checklist'!$F$2:$F$2000="Done"))&amp;"/"&amp;SUMPRODUCT(('Daily Checklist'!$D$2:$D$2000=$A55)*(TEXT('Daily Checklist'!$B$2:$B$2000,"yyyy-mm-dd")=TEXT(($B$4+9),"yyyy-mm-dd")))&amp;" ESC",SUMPRODUCT(('Daily Checklist'!$D$2:$D$2000=$A55)*(TEXT('Daily Checklist'!$B$2:$B$2000,"yyyy-mm-dd")=TEXT(($B$4+9),"yyyy-mm-dd"))*('Daily Checklist'!$F$2:$F$2000="Done"))&amp;"/"&amp;SUMPRODUCT(('Daily Checklist'!$D$2:$D$2000=$A55)*(TEXT('Daily Checklist'!$B$2:$B$2000,"yyyy-mm-dd")=TEXT(($B$4+9),"yyyy-mm-dd"))))))</f>
        <v/>
      </c>
      <c r="L55" s="25" t="str">
        <f aca="false">IF($A55="","",IF(SUMPRODUCT(('Daily Checklist'!$D$2:$D$2000=$A55)*(TEXT('Daily Checklist'!$B$2:$B$2000,"yyyy-mm-dd")=TEXT(($B$4+10),"yyyy-mm-dd")))=0,"-",IF(SUMPRODUCT(('Daily Checklist'!$D$2:$D$2000=$A55)*(TEXT('Daily Checklist'!$B$2:$B$2000,"yyyy-mm-dd")=TEXT(($B$4+10),"yyyy-mm-dd"))*('Daily Checklist'!$L$2:$L$2000="Y"))&gt;0,SUMPRODUCT(('Daily Checklist'!$D$2:$D$2000=$A55)*(TEXT('Daily Checklist'!$B$2:$B$2000,"yyyy-mm-dd")=TEXT(($B$4+10),"yyyy-mm-dd"))*('Daily Checklist'!$F$2:$F$2000="Done"))&amp;"/"&amp;SUMPRODUCT(('Daily Checklist'!$D$2:$D$2000=$A55)*(TEXT('Daily Checklist'!$B$2:$B$2000,"yyyy-mm-dd")=TEXT(($B$4+10),"yyyy-mm-dd")))&amp;" ESC",SUMPRODUCT(('Daily Checklist'!$D$2:$D$2000=$A55)*(TEXT('Daily Checklist'!$B$2:$B$2000,"yyyy-mm-dd")=TEXT(($B$4+10),"yyyy-mm-dd"))*('Daily Checklist'!$F$2:$F$2000="Done"))&amp;"/"&amp;SUMPRODUCT(('Daily Checklist'!$D$2:$D$2000=$A55)*(TEXT('Daily Checklist'!$B$2:$B$2000,"yyyy-mm-dd")=TEXT(($B$4+10),"yyyy-mm-dd"))))))</f>
        <v/>
      </c>
      <c r="M55" s="25" t="str">
        <f aca="false">IF($A55="","",IF(SUMPRODUCT(('Daily Checklist'!$D$2:$D$2000=$A55)*(TEXT('Daily Checklist'!$B$2:$B$2000,"yyyy-mm-dd")=TEXT(($B$4+11),"yyyy-mm-dd")))=0,"-",IF(SUMPRODUCT(('Daily Checklist'!$D$2:$D$2000=$A55)*(TEXT('Daily Checklist'!$B$2:$B$2000,"yyyy-mm-dd")=TEXT(($B$4+11),"yyyy-mm-dd"))*('Daily Checklist'!$L$2:$L$2000="Y"))&gt;0,SUMPRODUCT(('Daily Checklist'!$D$2:$D$2000=$A55)*(TEXT('Daily Checklist'!$B$2:$B$2000,"yyyy-mm-dd")=TEXT(($B$4+11),"yyyy-mm-dd"))*('Daily Checklist'!$F$2:$F$2000="Done"))&amp;"/"&amp;SUMPRODUCT(('Daily Checklist'!$D$2:$D$2000=$A55)*(TEXT('Daily Checklist'!$B$2:$B$2000,"yyyy-mm-dd")=TEXT(($B$4+11),"yyyy-mm-dd")))&amp;" ESC",SUMPRODUCT(('Daily Checklist'!$D$2:$D$2000=$A55)*(TEXT('Daily Checklist'!$B$2:$B$2000,"yyyy-mm-dd")=TEXT(($B$4+11),"yyyy-mm-dd"))*('Daily Checklist'!$F$2:$F$2000="Done"))&amp;"/"&amp;SUMPRODUCT(('Daily Checklist'!$D$2:$D$2000=$A55)*(TEXT('Daily Checklist'!$B$2:$B$2000,"yyyy-mm-dd")=TEXT(($B$4+11),"yyyy-mm-dd"))))))</f>
        <v/>
      </c>
      <c r="N55" s="25" t="str">
        <f aca="false">IF($A55="","",IF(SUMPRODUCT(('Daily Checklist'!$D$2:$D$2000=$A55)*(TEXT('Daily Checklist'!$B$2:$B$2000,"yyyy-mm-dd")=TEXT(($B$4+12),"yyyy-mm-dd")))=0,"-",IF(SUMPRODUCT(('Daily Checklist'!$D$2:$D$2000=$A55)*(TEXT('Daily Checklist'!$B$2:$B$2000,"yyyy-mm-dd")=TEXT(($B$4+12),"yyyy-mm-dd"))*('Daily Checklist'!$L$2:$L$2000="Y"))&gt;0,SUMPRODUCT(('Daily Checklist'!$D$2:$D$2000=$A55)*(TEXT('Daily Checklist'!$B$2:$B$2000,"yyyy-mm-dd")=TEXT(($B$4+12),"yyyy-mm-dd"))*('Daily Checklist'!$F$2:$F$2000="Done"))&amp;"/"&amp;SUMPRODUCT(('Daily Checklist'!$D$2:$D$2000=$A55)*(TEXT('Daily Checklist'!$B$2:$B$2000,"yyyy-mm-dd")=TEXT(($B$4+12),"yyyy-mm-dd")))&amp;" ESC",SUMPRODUCT(('Daily Checklist'!$D$2:$D$2000=$A55)*(TEXT('Daily Checklist'!$B$2:$B$2000,"yyyy-mm-dd")=TEXT(($B$4+12),"yyyy-mm-dd"))*('Daily Checklist'!$F$2:$F$2000="Done"))&amp;"/"&amp;SUMPRODUCT(('Daily Checklist'!$D$2:$D$2000=$A55)*(TEXT('Daily Checklist'!$B$2:$B$2000,"yyyy-mm-dd")=TEXT(($B$4+12),"yyyy-mm-dd"))))))</f>
        <v/>
      </c>
      <c r="O55" s="25" t="str">
        <f aca="false">IF($A55="","",IF(SUMPRODUCT(('Daily Checklist'!$D$2:$D$2000=$A55)*(TEXT('Daily Checklist'!$B$2:$B$2000,"yyyy-mm-dd")=TEXT(($B$4+13),"yyyy-mm-dd")))=0,"-",IF(SUMPRODUCT(('Daily Checklist'!$D$2:$D$2000=$A55)*(TEXT('Daily Checklist'!$B$2:$B$2000,"yyyy-mm-dd")=TEXT(($B$4+13),"yyyy-mm-dd"))*('Daily Checklist'!$L$2:$L$2000="Y"))&gt;0,SUMPRODUCT(('Daily Checklist'!$D$2:$D$2000=$A55)*(TEXT('Daily Checklist'!$B$2:$B$2000,"yyyy-mm-dd")=TEXT(($B$4+13),"yyyy-mm-dd"))*('Daily Checklist'!$F$2:$F$2000="Done"))&amp;"/"&amp;SUMPRODUCT(('Daily Checklist'!$D$2:$D$2000=$A55)*(TEXT('Daily Checklist'!$B$2:$B$2000,"yyyy-mm-dd")=TEXT(($B$4+13),"yyyy-mm-dd")))&amp;" ESC",SUMPRODUCT(('Daily Checklist'!$D$2:$D$2000=$A55)*(TEXT('Daily Checklist'!$B$2:$B$2000,"yyyy-mm-dd")=TEXT(($B$4+13),"yyyy-mm-dd"))*('Daily Checklist'!$F$2:$F$2000="Done"))&amp;"/"&amp;SUMPRODUCT(('Daily Checklist'!$D$2:$D$2000=$A55)*(TEXT('Daily Checklist'!$B$2:$B$2000,"yyyy-mm-dd")=TEXT(($B$4+13),"yyyy-mm-dd"))))))</f>
        <v/>
      </c>
      <c r="P55" s="25" t="str">
        <f aca="false">IF($A55="","",IF(SUMPRODUCT(('Daily Checklist'!$D$2:$D$2000=$A55)*(TEXT('Daily Checklist'!$B$2:$B$2000,"yyyy-mm-dd")=TEXT(($B$4+14),"yyyy-mm-dd")))=0,"-",IF(SUMPRODUCT(('Daily Checklist'!$D$2:$D$2000=$A55)*(TEXT('Daily Checklist'!$B$2:$B$2000,"yyyy-mm-dd")=TEXT(($B$4+14),"yyyy-mm-dd"))*('Daily Checklist'!$L$2:$L$2000="Y"))&gt;0,SUMPRODUCT(('Daily Checklist'!$D$2:$D$2000=$A55)*(TEXT('Daily Checklist'!$B$2:$B$2000,"yyyy-mm-dd")=TEXT(($B$4+14),"yyyy-mm-dd"))*('Daily Checklist'!$F$2:$F$2000="Done"))&amp;"/"&amp;SUMPRODUCT(('Daily Checklist'!$D$2:$D$2000=$A55)*(TEXT('Daily Checklist'!$B$2:$B$2000,"yyyy-mm-dd")=TEXT(($B$4+14),"yyyy-mm-dd")))&amp;" ESC",SUMPRODUCT(('Daily Checklist'!$D$2:$D$2000=$A55)*(TEXT('Daily Checklist'!$B$2:$B$2000,"yyyy-mm-dd")=TEXT(($B$4+14),"yyyy-mm-dd"))*('Daily Checklist'!$F$2:$F$2000="Done"))&amp;"/"&amp;SUMPRODUCT(('Daily Checklist'!$D$2:$D$2000=$A55)*(TEXT('Daily Checklist'!$B$2:$B$2000,"yyyy-mm-dd")=TEXT(($B$4+14),"yyyy-mm-dd"))))))</f>
        <v/>
      </c>
      <c r="Q55" s="25" t="str">
        <f aca="false">IF($A55="","",IF(SUMPRODUCT(('Daily Checklist'!$D$2:$D$2000=$A55)*(TEXT('Daily Checklist'!$B$2:$B$2000,"yyyy-mm-dd")=TEXT(($B$4+15),"yyyy-mm-dd")))=0,"-",IF(SUMPRODUCT(('Daily Checklist'!$D$2:$D$2000=$A55)*(TEXT('Daily Checklist'!$B$2:$B$2000,"yyyy-mm-dd")=TEXT(($B$4+15),"yyyy-mm-dd"))*('Daily Checklist'!$L$2:$L$2000="Y"))&gt;0,SUMPRODUCT(('Daily Checklist'!$D$2:$D$2000=$A55)*(TEXT('Daily Checklist'!$B$2:$B$2000,"yyyy-mm-dd")=TEXT(($B$4+15),"yyyy-mm-dd"))*('Daily Checklist'!$F$2:$F$2000="Done"))&amp;"/"&amp;SUMPRODUCT(('Daily Checklist'!$D$2:$D$2000=$A55)*(TEXT('Daily Checklist'!$B$2:$B$2000,"yyyy-mm-dd")=TEXT(($B$4+15),"yyyy-mm-dd")))&amp;" ESC",SUMPRODUCT(('Daily Checklist'!$D$2:$D$2000=$A55)*(TEXT('Daily Checklist'!$B$2:$B$2000,"yyyy-mm-dd")=TEXT(($B$4+15),"yyyy-mm-dd"))*('Daily Checklist'!$F$2:$F$2000="Done"))&amp;"/"&amp;SUMPRODUCT(('Daily Checklist'!$D$2:$D$2000=$A55)*(TEXT('Daily Checklist'!$B$2:$B$2000,"yyyy-mm-dd")=TEXT(($B$4+15),"yyyy-mm-dd"))))))</f>
        <v/>
      </c>
      <c r="R55" s="25" t="str">
        <f aca="false">IF($A55="","",IF(SUMPRODUCT(('Daily Checklist'!$D$2:$D$2000=$A55)*(TEXT('Daily Checklist'!$B$2:$B$2000,"yyyy-mm-dd")=TEXT(($B$4+16),"yyyy-mm-dd")))=0,"-",IF(SUMPRODUCT(('Daily Checklist'!$D$2:$D$2000=$A55)*(TEXT('Daily Checklist'!$B$2:$B$2000,"yyyy-mm-dd")=TEXT(($B$4+16),"yyyy-mm-dd"))*('Daily Checklist'!$L$2:$L$2000="Y"))&gt;0,SUMPRODUCT(('Daily Checklist'!$D$2:$D$2000=$A55)*(TEXT('Daily Checklist'!$B$2:$B$2000,"yyyy-mm-dd")=TEXT(($B$4+16),"yyyy-mm-dd"))*('Daily Checklist'!$F$2:$F$2000="Done"))&amp;"/"&amp;SUMPRODUCT(('Daily Checklist'!$D$2:$D$2000=$A55)*(TEXT('Daily Checklist'!$B$2:$B$2000,"yyyy-mm-dd")=TEXT(($B$4+16),"yyyy-mm-dd")))&amp;" ESC",SUMPRODUCT(('Daily Checklist'!$D$2:$D$2000=$A55)*(TEXT('Daily Checklist'!$B$2:$B$2000,"yyyy-mm-dd")=TEXT(($B$4+16),"yyyy-mm-dd"))*('Daily Checklist'!$F$2:$F$2000="Done"))&amp;"/"&amp;SUMPRODUCT(('Daily Checklist'!$D$2:$D$2000=$A55)*(TEXT('Daily Checklist'!$B$2:$B$2000,"yyyy-mm-dd")=TEXT(($B$4+16),"yyyy-mm-dd"))))))</f>
        <v/>
      </c>
      <c r="S55" s="25" t="str">
        <f aca="false">IF($A55="","",IF(SUMPRODUCT(('Daily Checklist'!$D$2:$D$2000=$A55)*(TEXT('Daily Checklist'!$B$2:$B$2000,"yyyy-mm-dd")=TEXT(($B$4+17),"yyyy-mm-dd")))=0,"-",IF(SUMPRODUCT(('Daily Checklist'!$D$2:$D$2000=$A55)*(TEXT('Daily Checklist'!$B$2:$B$2000,"yyyy-mm-dd")=TEXT(($B$4+17),"yyyy-mm-dd"))*('Daily Checklist'!$L$2:$L$2000="Y"))&gt;0,SUMPRODUCT(('Daily Checklist'!$D$2:$D$2000=$A55)*(TEXT('Daily Checklist'!$B$2:$B$2000,"yyyy-mm-dd")=TEXT(($B$4+17),"yyyy-mm-dd"))*('Daily Checklist'!$F$2:$F$2000="Done"))&amp;"/"&amp;SUMPRODUCT(('Daily Checklist'!$D$2:$D$2000=$A55)*(TEXT('Daily Checklist'!$B$2:$B$2000,"yyyy-mm-dd")=TEXT(($B$4+17),"yyyy-mm-dd")))&amp;" ESC",SUMPRODUCT(('Daily Checklist'!$D$2:$D$2000=$A55)*(TEXT('Daily Checklist'!$B$2:$B$2000,"yyyy-mm-dd")=TEXT(($B$4+17),"yyyy-mm-dd"))*('Daily Checklist'!$F$2:$F$2000="Done"))&amp;"/"&amp;SUMPRODUCT(('Daily Checklist'!$D$2:$D$2000=$A55)*(TEXT('Daily Checklist'!$B$2:$B$2000,"yyyy-mm-dd")=TEXT(($B$4+17),"yyyy-mm-dd"))))))</f>
        <v/>
      </c>
      <c r="T55" s="25" t="str">
        <f aca="false">IF($A55="","",IF(SUMPRODUCT(('Daily Checklist'!$D$2:$D$2000=$A55)*(TEXT('Daily Checklist'!$B$2:$B$2000,"yyyy-mm-dd")=TEXT(($B$4+18),"yyyy-mm-dd")))=0,"-",IF(SUMPRODUCT(('Daily Checklist'!$D$2:$D$2000=$A55)*(TEXT('Daily Checklist'!$B$2:$B$2000,"yyyy-mm-dd")=TEXT(($B$4+18),"yyyy-mm-dd"))*('Daily Checklist'!$L$2:$L$2000="Y"))&gt;0,SUMPRODUCT(('Daily Checklist'!$D$2:$D$2000=$A55)*(TEXT('Daily Checklist'!$B$2:$B$2000,"yyyy-mm-dd")=TEXT(($B$4+18),"yyyy-mm-dd"))*('Daily Checklist'!$F$2:$F$2000="Done"))&amp;"/"&amp;SUMPRODUCT(('Daily Checklist'!$D$2:$D$2000=$A55)*(TEXT('Daily Checklist'!$B$2:$B$2000,"yyyy-mm-dd")=TEXT(($B$4+18),"yyyy-mm-dd")))&amp;" ESC",SUMPRODUCT(('Daily Checklist'!$D$2:$D$2000=$A55)*(TEXT('Daily Checklist'!$B$2:$B$2000,"yyyy-mm-dd")=TEXT(($B$4+18),"yyyy-mm-dd"))*('Daily Checklist'!$F$2:$F$2000="Done"))&amp;"/"&amp;SUMPRODUCT(('Daily Checklist'!$D$2:$D$2000=$A55)*(TEXT('Daily Checklist'!$B$2:$B$2000,"yyyy-mm-dd")=TEXT(($B$4+18),"yyyy-mm-dd"))))))</f>
        <v/>
      </c>
      <c r="U55" s="25" t="str">
        <f aca="false">IF($A55="","",IF(SUMPRODUCT(('Daily Checklist'!$D$2:$D$2000=$A55)*(TEXT('Daily Checklist'!$B$2:$B$2000,"yyyy-mm-dd")=TEXT(($B$4+19),"yyyy-mm-dd")))=0,"-",IF(SUMPRODUCT(('Daily Checklist'!$D$2:$D$2000=$A55)*(TEXT('Daily Checklist'!$B$2:$B$2000,"yyyy-mm-dd")=TEXT(($B$4+19),"yyyy-mm-dd"))*('Daily Checklist'!$L$2:$L$2000="Y"))&gt;0,SUMPRODUCT(('Daily Checklist'!$D$2:$D$2000=$A55)*(TEXT('Daily Checklist'!$B$2:$B$2000,"yyyy-mm-dd")=TEXT(($B$4+19),"yyyy-mm-dd"))*('Daily Checklist'!$F$2:$F$2000="Done"))&amp;"/"&amp;SUMPRODUCT(('Daily Checklist'!$D$2:$D$2000=$A55)*(TEXT('Daily Checklist'!$B$2:$B$2000,"yyyy-mm-dd")=TEXT(($B$4+19),"yyyy-mm-dd")))&amp;" ESC",SUMPRODUCT(('Daily Checklist'!$D$2:$D$2000=$A55)*(TEXT('Daily Checklist'!$B$2:$B$2000,"yyyy-mm-dd")=TEXT(($B$4+19),"yyyy-mm-dd"))*('Daily Checklist'!$F$2:$F$2000="Done"))&amp;"/"&amp;SUMPRODUCT(('Daily Checklist'!$D$2:$D$2000=$A55)*(TEXT('Daily Checklist'!$B$2:$B$2000,"yyyy-mm-dd")=TEXT(($B$4+19),"yyyy-mm-dd"))))))</f>
        <v/>
      </c>
      <c r="V55" s="25" t="str">
        <f aca="false">IF($A55="","",IF(SUMPRODUCT(('Daily Checklist'!$D$2:$D$2000=$A55)*(TEXT('Daily Checklist'!$B$2:$B$2000,"yyyy-mm-dd")=TEXT(($B$4+20),"yyyy-mm-dd")))=0,"-",IF(SUMPRODUCT(('Daily Checklist'!$D$2:$D$2000=$A55)*(TEXT('Daily Checklist'!$B$2:$B$2000,"yyyy-mm-dd")=TEXT(($B$4+20),"yyyy-mm-dd"))*('Daily Checklist'!$L$2:$L$2000="Y"))&gt;0,SUMPRODUCT(('Daily Checklist'!$D$2:$D$2000=$A55)*(TEXT('Daily Checklist'!$B$2:$B$2000,"yyyy-mm-dd")=TEXT(($B$4+20),"yyyy-mm-dd"))*('Daily Checklist'!$F$2:$F$2000="Done"))&amp;"/"&amp;SUMPRODUCT(('Daily Checklist'!$D$2:$D$2000=$A55)*(TEXT('Daily Checklist'!$B$2:$B$2000,"yyyy-mm-dd")=TEXT(($B$4+20),"yyyy-mm-dd")))&amp;" ESC",SUMPRODUCT(('Daily Checklist'!$D$2:$D$2000=$A55)*(TEXT('Daily Checklist'!$B$2:$B$2000,"yyyy-mm-dd")=TEXT(($B$4+20),"yyyy-mm-dd"))*('Daily Checklist'!$F$2:$F$2000="Done"))&amp;"/"&amp;SUMPRODUCT(('Daily Checklist'!$D$2:$D$2000=$A55)*(TEXT('Daily Checklist'!$B$2:$B$2000,"yyyy-mm-dd")=TEXT(($B$4+20),"yyyy-mm-dd"))))))</f>
        <v/>
      </c>
      <c r="W55" s="25" t="str">
        <f aca="false">IF($A55="","",IF(SUMPRODUCT(('Daily Checklist'!$D$2:$D$2000=$A55)*(TEXT('Daily Checklist'!$B$2:$B$2000,"yyyy-mm-dd")=TEXT(($B$4+21),"yyyy-mm-dd")))=0,"-",IF(SUMPRODUCT(('Daily Checklist'!$D$2:$D$2000=$A55)*(TEXT('Daily Checklist'!$B$2:$B$2000,"yyyy-mm-dd")=TEXT(($B$4+21),"yyyy-mm-dd"))*('Daily Checklist'!$L$2:$L$2000="Y"))&gt;0,SUMPRODUCT(('Daily Checklist'!$D$2:$D$2000=$A55)*(TEXT('Daily Checklist'!$B$2:$B$2000,"yyyy-mm-dd")=TEXT(($B$4+21),"yyyy-mm-dd"))*('Daily Checklist'!$F$2:$F$2000="Done"))&amp;"/"&amp;SUMPRODUCT(('Daily Checklist'!$D$2:$D$2000=$A55)*(TEXT('Daily Checklist'!$B$2:$B$2000,"yyyy-mm-dd")=TEXT(($B$4+21),"yyyy-mm-dd")))&amp;" ESC",SUMPRODUCT(('Daily Checklist'!$D$2:$D$2000=$A55)*(TEXT('Daily Checklist'!$B$2:$B$2000,"yyyy-mm-dd")=TEXT(($B$4+21),"yyyy-mm-dd"))*('Daily Checklist'!$F$2:$F$2000="Done"))&amp;"/"&amp;SUMPRODUCT(('Daily Checklist'!$D$2:$D$2000=$A55)*(TEXT('Daily Checklist'!$B$2:$B$2000,"yyyy-mm-dd")=TEXT(($B$4+21),"yyyy-mm-dd"))))))</f>
        <v/>
      </c>
      <c r="X55" s="25" t="str">
        <f aca="false">IF($A55="","",IF(SUMPRODUCT(('Daily Checklist'!$D$2:$D$2000=$A55)*(TEXT('Daily Checklist'!$B$2:$B$2000,"yyyy-mm-dd")=TEXT(($B$4+22),"yyyy-mm-dd")))=0,"-",IF(SUMPRODUCT(('Daily Checklist'!$D$2:$D$2000=$A55)*(TEXT('Daily Checklist'!$B$2:$B$2000,"yyyy-mm-dd")=TEXT(($B$4+22),"yyyy-mm-dd"))*('Daily Checklist'!$L$2:$L$2000="Y"))&gt;0,SUMPRODUCT(('Daily Checklist'!$D$2:$D$2000=$A55)*(TEXT('Daily Checklist'!$B$2:$B$2000,"yyyy-mm-dd")=TEXT(($B$4+22),"yyyy-mm-dd"))*('Daily Checklist'!$F$2:$F$2000="Done"))&amp;"/"&amp;SUMPRODUCT(('Daily Checklist'!$D$2:$D$2000=$A55)*(TEXT('Daily Checklist'!$B$2:$B$2000,"yyyy-mm-dd")=TEXT(($B$4+22),"yyyy-mm-dd")))&amp;" ESC",SUMPRODUCT(('Daily Checklist'!$D$2:$D$2000=$A55)*(TEXT('Daily Checklist'!$B$2:$B$2000,"yyyy-mm-dd")=TEXT(($B$4+22),"yyyy-mm-dd"))*('Daily Checklist'!$F$2:$F$2000="Done"))&amp;"/"&amp;SUMPRODUCT(('Daily Checklist'!$D$2:$D$2000=$A55)*(TEXT('Daily Checklist'!$B$2:$B$2000,"yyyy-mm-dd")=TEXT(($B$4+22),"yyyy-mm-dd"))))))</f>
        <v/>
      </c>
      <c r="Y55" s="25" t="str">
        <f aca="false">IF($A55="","",IF(SUMPRODUCT(('Daily Checklist'!$D$2:$D$2000=$A55)*(TEXT('Daily Checklist'!$B$2:$B$2000,"yyyy-mm-dd")=TEXT(($B$4+23),"yyyy-mm-dd")))=0,"-",IF(SUMPRODUCT(('Daily Checklist'!$D$2:$D$2000=$A55)*(TEXT('Daily Checklist'!$B$2:$B$2000,"yyyy-mm-dd")=TEXT(($B$4+23),"yyyy-mm-dd"))*('Daily Checklist'!$L$2:$L$2000="Y"))&gt;0,SUMPRODUCT(('Daily Checklist'!$D$2:$D$2000=$A55)*(TEXT('Daily Checklist'!$B$2:$B$2000,"yyyy-mm-dd")=TEXT(($B$4+23),"yyyy-mm-dd"))*('Daily Checklist'!$F$2:$F$2000="Done"))&amp;"/"&amp;SUMPRODUCT(('Daily Checklist'!$D$2:$D$2000=$A55)*(TEXT('Daily Checklist'!$B$2:$B$2000,"yyyy-mm-dd")=TEXT(($B$4+23),"yyyy-mm-dd")))&amp;" ESC",SUMPRODUCT(('Daily Checklist'!$D$2:$D$2000=$A55)*(TEXT('Daily Checklist'!$B$2:$B$2000,"yyyy-mm-dd")=TEXT(($B$4+23),"yyyy-mm-dd"))*('Daily Checklist'!$F$2:$F$2000="Done"))&amp;"/"&amp;SUMPRODUCT(('Daily Checklist'!$D$2:$D$2000=$A55)*(TEXT('Daily Checklist'!$B$2:$B$2000,"yyyy-mm-dd")=TEXT(($B$4+23),"yyyy-mm-dd"))))))</f>
        <v/>
      </c>
      <c r="Z55" s="25" t="str">
        <f aca="false">IF($A55="","",IF(SUMPRODUCT(('Daily Checklist'!$D$2:$D$2000=$A55)*(TEXT('Daily Checklist'!$B$2:$B$2000,"yyyy-mm-dd")=TEXT(($B$4+24),"yyyy-mm-dd")))=0,"-",IF(SUMPRODUCT(('Daily Checklist'!$D$2:$D$2000=$A55)*(TEXT('Daily Checklist'!$B$2:$B$2000,"yyyy-mm-dd")=TEXT(($B$4+24),"yyyy-mm-dd"))*('Daily Checklist'!$L$2:$L$2000="Y"))&gt;0,SUMPRODUCT(('Daily Checklist'!$D$2:$D$2000=$A55)*(TEXT('Daily Checklist'!$B$2:$B$2000,"yyyy-mm-dd")=TEXT(($B$4+24),"yyyy-mm-dd"))*('Daily Checklist'!$F$2:$F$2000="Done"))&amp;"/"&amp;SUMPRODUCT(('Daily Checklist'!$D$2:$D$2000=$A55)*(TEXT('Daily Checklist'!$B$2:$B$2000,"yyyy-mm-dd")=TEXT(($B$4+24),"yyyy-mm-dd")))&amp;" ESC",SUMPRODUCT(('Daily Checklist'!$D$2:$D$2000=$A55)*(TEXT('Daily Checklist'!$B$2:$B$2000,"yyyy-mm-dd")=TEXT(($B$4+24),"yyyy-mm-dd"))*('Daily Checklist'!$F$2:$F$2000="Done"))&amp;"/"&amp;SUMPRODUCT(('Daily Checklist'!$D$2:$D$2000=$A55)*(TEXT('Daily Checklist'!$B$2:$B$2000,"yyyy-mm-dd")=TEXT(($B$4+24),"yyyy-mm-dd"))))))</f>
        <v/>
      </c>
      <c r="AA55" s="25" t="str">
        <f aca="false">IF($A55="","",IF(SUMPRODUCT(('Daily Checklist'!$D$2:$D$2000=$A55)*(TEXT('Daily Checklist'!$B$2:$B$2000,"yyyy-mm-dd")=TEXT(($B$4+25),"yyyy-mm-dd")))=0,"-",IF(SUMPRODUCT(('Daily Checklist'!$D$2:$D$2000=$A55)*(TEXT('Daily Checklist'!$B$2:$B$2000,"yyyy-mm-dd")=TEXT(($B$4+25),"yyyy-mm-dd"))*('Daily Checklist'!$L$2:$L$2000="Y"))&gt;0,SUMPRODUCT(('Daily Checklist'!$D$2:$D$2000=$A55)*(TEXT('Daily Checklist'!$B$2:$B$2000,"yyyy-mm-dd")=TEXT(($B$4+25),"yyyy-mm-dd"))*('Daily Checklist'!$F$2:$F$2000="Done"))&amp;"/"&amp;SUMPRODUCT(('Daily Checklist'!$D$2:$D$2000=$A55)*(TEXT('Daily Checklist'!$B$2:$B$2000,"yyyy-mm-dd")=TEXT(($B$4+25),"yyyy-mm-dd")))&amp;" ESC",SUMPRODUCT(('Daily Checklist'!$D$2:$D$2000=$A55)*(TEXT('Daily Checklist'!$B$2:$B$2000,"yyyy-mm-dd")=TEXT(($B$4+25),"yyyy-mm-dd"))*('Daily Checklist'!$F$2:$F$2000="Done"))&amp;"/"&amp;SUMPRODUCT(('Daily Checklist'!$D$2:$D$2000=$A55)*(TEXT('Daily Checklist'!$B$2:$B$2000,"yyyy-mm-dd")=TEXT(($B$4+25),"yyyy-mm-dd"))))))</f>
        <v/>
      </c>
      <c r="AB55" s="25" t="str">
        <f aca="false">IF($A55="","",IF(SUMPRODUCT(('Daily Checklist'!$D$2:$D$2000=$A55)*(TEXT('Daily Checklist'!$B$2:$B$2000,"yyyy-mm-dd")=TEXT(($B$4+26),"yyyy-mm-dd")))=0,"-",IF(SUMPRODUCT(('Daily Checklist'!$D$2:$D$2000=$A55)*(TEXT('Daily Checklist'!$B$2:$B$2000,"yyyy-mm-dd")=TEXT(($B$4+26),"yyyy-mm-dd"))*('Daily Checklist'!$L$2:$L$2000="Y"))&gt;0,SUMPRODUCT(('Daily Checklist'!$D$2:$D$2000=$A55)*(TEXT('Daily Checklist'!$B$2:$B$2000,"yyyy-mm-dd")=TEXT(($B$4+26),"yyyy-mm-dd"))*('Daily Checklist'!$F$2:$F$2000="Done"))&amp;"/"&amp;SUMPRODUCT(('Daily Checklist'!$D$2:$D$2000=$A55)*(TEXT('Daily Checklist'!$B$2:$B$2000,"yyyy-mm-dd")=TEXT(($B$4+26),"yyyy-mm-dd")))&amp;" ESC",SUMPRODUCT(('Daily Checklist'!$D$2:$D$2000=$A55)*(TEXT('Daily Checklist'!$B$2:$B$2000,"yyyy-mm-dd")=TEXT(($B$4+26),"yyyy-mm-dd"))*('Daily Checklist'!$F$2:$F$2000="Done"))&amp;"/"&amp;SUMPRODUCT(('Daily Checklist'!$D$2:$D$2000=$A55)*(TEXT('Daily Checklist'!$B$2:$B$2000,"yyyy-mm-dd")=TEXT(($B$4+26),"yyyy-mm-dd"))))))</f>
        <v/>
      </c>
      <c r="AC55" s="25" t="str">
        <f aca="false">IF($A55="","",IF(SUMPRODUCT(('Daily Checklist'!$D$2:$D$2000=$A55)*(TEXT('Daily Checklist'!$B$2:$B$2000,"yyyy-mm-dd")=TEXT(($B$4+27),"yyyy-mm-dd")))=0,"-",IF(SUMPRODUCT(('Daily Checklist'!$D$2:$D$2000=$A55)*(TEXT('Daily Checklist'!$B$2:$B$2000,"yyyy-mm-dd")=TEXT(($B$4+27),"yyyy-mm-dd"))*('Daily Checklist'!$L$2:$L$2000="Y"))&gt;0,SUMPRODUCT(('Daily Checklist'!$D$2:$D$2000=$A55)*(TEXT('Daily Checklist'!$B$2:$B$2000,"yyyy-mm-dd")=TEXT(($B$4+27),"yyyy-mm-dd"))*('Daily Checklist'!$F$2:$F$2000="Done"))&amp;"/"&amp;SUMPRODUCT(('Daily Checklist'!$D$2:$D$2000=$A55)*(TEXT('Daily Checklist'!$B$2:$B$2000,"yyyy-mm-dd")=TEXT(($B$4+27),"yyyy-mm-dd")))&amp;" ESC",SUMPRODUCT(('Daily Checklist'!$D$2:$D$2000=$A55)*(TEXT('Daily Checklist'!$B$2:$B$2000,"yyyy-mm-dd")=TEXT(($B$4+27),"yyyy-mm-dd"))*('Daily Checklist'!$F$2:$F$2000="Done"))&amp;"/"&amp;SUMPRODUCT(('Daily Checklist'!$D$2:$D$2000=$A55)*(TEXT('Daily Checklist'!$B$2:$B$2000,"yyyy-mm-dd")=TEXT(($B$4+27),"yyyy-mm-dd"))))))</f>
        <v/>
      </c>
      <c r="AD55" s="25" t="str">
        <f aca="false">IF($A55="","",IF(SUMPRODUCT(('Daily Checklist'!$D$2:$D$2000=$A55)*(TEXT('Daily Checklist'!$B$2:$B$2000,"yyyy-mm-dd")=TEXT(($B$4+28),"yyyy-mm-dd")))=0,"-",IF(SUMPRODUCT(('Daily Checklist'!$D$2:$D$2000=$A55)*(TEXT('Daily Checklist'!$B$2:$B$2000,"yyyy-mm-dd")=TEXT(($B$4+28),"yyyy-mm-dd"))*('Daily Checklist'!$L$2:$L$2000="Y"))&gt;0,SUMPRODUCT(('Daily Checklist'!$D$2:$D$2000=$A55)*(TEXT('Daily Checklist'!$B$2:$B$2000,"yyyy-mm-dd")=TEXT(($B$4+28),"yyyy-mm-dd"))*('Daily Checklist'!$F$2:$F$2000="Done"))&amp;"/"&amp;SUMPRODUCT(('Daily Checklist'!$D$2:$D$2000=$A55)*(TEXT('Daily Checklist'!$B$2:$B$2000,"yyyy-mm-dd")=TEXT(($B$4+28),"yyyy-mm-dd")))&amp;" ESC",SUMPRODUCT(('Daily Checklist'!$D$2:$D$2000=$A55)*(TEXT('Daily Checklist'!$B$2:$B$2000,"yyyy-mm-dd")=TEXT(($B$4+28),"yyyy-mm-dd"))*('Daily Checklist'!$F$2:$F$2000="Done"))&amp;"/"&amp;SUMPRODUCT(('Daily Checklist'!$D$2:$D$2000=$A55)*(TEXT('Daily Checklist'!$B$2:$B$2000,"yyyy-mm-dd")=TEXT(($B$4+28),"yyyy-mm-dd"))))))</f>
        <v/>
      </c>
      <c r="AE55" s="25" t="str">
        <f aca="false">IF($A55="","",IF(SUMPRODUCT(('Daily Checklist'!$D$2:$D$2000=$A55)*(TEXT('Daily Checklist'!$B$2:$B$2000,"yyyy-mm-dd")=TEXT(($B$4+29),"yyyy-mm-dd")))=0,"-",IF(SUMPRODUCT(('Daily Checklist'!$D$2:$D$2000=$A55)*(TEXT('Daily Checklist'!$B$2:$B$2000,"yyyy-mm-dd")=TEXT(($B$4+29),"yyyy-mm-dd"))*('Daily Checklist'!$L$2:$L$2000="Y"))&gt;0,SUMPRODUCT(('Daily Checklist'!$D$2:$D$2000=$A55)*(TEXT('Daily Checklist'!$B$2:$B$2000,"yyyy-mm-dd")=TEXT(($B$4+29),"yyyy-mm-dd"))*('Daily Checklist'!$F$2:$F$2000="Done"))&amp;"/"&amp;SUMPRODUCT(('Daily Checklist'!$D$2:$D$2000=$A55)*(TEXT('Daily Checklist'!$B$2:$B$2000,"yyyy-mm-dd")=TEXT(($B$4+29),"yyyy-mm-dd")))&amp;" ESC",SUMPRODUCT(('Daily Checklist'!$D$2:$D$2000=$A55)*(TEXT('Daily Checklist'!$B$2:$B$2000,"yyyy-mm-dd")=TEXT(($B$4+29),"yyyy-mm-dd"))*('Daily Checklist'!$F$2:$F$2000="Done"))&amp;"/"&amp;SUMPRODUCT(('Daily Checklist'!$D$2:$D$2000=$A55)*(TEXT('Daily Checklist'!$B$2:$B$2000,"yyyy-mm-dd")=TEXT(($B$4+29),"yyyy-mm-dd"))))))</f>
        <v/>
      </c>
      <c r="AF55" s="25" t="str">
        <f aca="false">IF($A55="","",IF(SUMPRODUCT(('Daily Checklist'!$D$2:$D$2000=$A55)*(TEXT('Daily Checklist'!$B$2:$B$2000,"yyyy-mm-dd")=TEXT(($B$4+30),"yyyy-mm-dd")))=0,"-",IF(SUMPRODUCT(('Daily Checklist'!$D$2:$D$2000=$A55)*(TEXT('Daily Checklist'!$B$2:$B$2000,"yyyy-mm-dd")=TEXT(($B$4+30),"yyyy-mm-dd"))*('Daily Checklist'!$L$2:$L$2000="Y"))&gt;0,SUMPRODUCT(('Daily Checklist'!$D$2:$D$2000=$A55)*(TEXT('Daily Checklist'!$B$2:$B$2000,"yyyy-mm-dd")=TEXT(($B$4+30),"yyyy-mm-dd"))*('Daily Checklist'!$F$2:$F$2000="Done"))&amp;"/"&amp;SUMPRODUCT(('Daily Checklist'!$D$2:$D$2000=$A55)*(TEXT('Daily Checklist'!$B$2:$B$2000,"yyyy-mm-dd")=TEXT(($B$4+30),"yyyy-mm-dd")))&amp;" ESC",SUMPRODUCT(('Daily Checklist'!$D$2:$D$2000=$A55)*(TEXT('Daily Checklist'!$B$2:$B$2000,"yyyy-mm-dd")=TEXT(($B$4+30),"yyyy-mm-dd"))*('Daily Checklist'!$F$2:$F$2000="Done"))&amp;"/"&amp;SUMPRODUCT(('Daily Checklist'!$D$2:$D$2000=$A55)*(TEXT('Daily Checklist'!$B$2:$B$2000,"yyyy-mm-dd")=TEXT(($B$4+30),"yyyy-mm-dd"))))))</f>
        <v/>
      </c>
    </row>
    <row r="56" customFormat="false" ht="15" hidden="false" customHeight="true" outlineLevel="0" collapsed="false">
      <c r="A56" s="24" t="str">
        <f aca="false">IFERROR(IF(Employees!A51="","",Employees!A51),"")</f>
        <v/>
      </c>
      <c r="B56" s="25" t="str">
        <f aca="false">IF($A56="","",IF(SUMPRODUCT(('Daily Checklist'!$D$2:$D$2000=$A56)*(TEXT('Daily Checklist'!$B$2:$B$2000,"yyyy-mm-dd")=TEXT(($B$4+0),"yyyy-mm-dd")))=0,"-",IF(SUMPRODUCT(('Daily Checklist'!$D$2:$D$2000=$A56)*(TEXT('Daily Checklist'!$B$2:$B$2000,"yyyy-mm-dd")=TEXT(($B$4+0),"yyyy-mm-dd"))*('Daily Checklist'!$L$2:$L$2000="Y"))&gt;0,SUMPRODUCT(('Daily Checklist'!$D$2:$D$2000=$A56)*(TEXT('Daily Checklist'!$B$2:$B$2000,"yyyy-mm-dd")=TEXT(($B$4+0),"yyyy-mm-dd"))*('Daily Checklist'!$F$2:$F$2000="Done"))&amp;"/"&amp;SUMPRODUCT(('Daily Checklist'!$D$2:$D$2000=$A56)*(TEXT('Daily Checklist'!$B$2:$B$2000,"yyyy-mm-dd")=TEXT(($B$4+0),"yyyy-mm-dd")))&amp;" ESC",SUMPRODUCT(('Daily Checklist'!$D$2:$D$2000=$A56)*(TEXT('Daily Checklist'!$B$2:$B$2000,"yyyy-mm-dd")=TEXT(($B$4+0),"yyyy-mm-dd"))*('Daily Checklist'!$F$2:$F$2000="Done"))&amp;"/"&amp;SUMPRODUCT(('Daily Checklist'!$D$2:$D$2000=$A56)*(TEXT('Daily Checklist'!$B$2:$B$2000,"yyyy-mm-dd")=TEXT(($B$4+0),"yyyy-mm-dd"))))))</f>
        <v/>
      </c>
      <c r="C56" s="25" t="str">
        <f aca="false">IF($A56="","",IF(SUMPRODUCT(('Daily Checklist'!$D$2:$D$2000=$A56)*(TEXT('Daily Checklist'!$B$2:$B$2000,"yyyy-mm-dd")=TEXT(($B$4+1),"yyyy-mm-dd")))=0,"-",IF(SUMPRODUCT(('Daily Checklist'!$D$2:$D$2000=$A56)*(TEXT('Daily Checklist'!$B$2:$B$2000,"yyyy-mm-dd")=TEXT(($B$4+1),"yyyy-mm-dd"))*('Daily Checklist'!$L$2:$L$2000="Y"))&gt;0,SUMPRODUCT(('Daily Checklist'!$D$2:$D$2000=$A56)*(TEXT('Daily Checklist'!$B$2:$B$2000,"yyyy-mm-dd")=TEXT(($B$4+1),"yyyy-mm-dd"))*('Daily Checklist'!$F$2:$F$2000="Done"))&amp;"/"&amp;SUMPRODUCT(('Daily Checklist'!$D$2:$D$2000=$A56)*(TEXT('Daily Checklist'!$B$2:$B$2000,"yyyy-mm-dd")=TEXT(($B$4+1),"yyyy-mm-dd")))&amp;" ESC",SUMPRODUCT(('Daily Checklist'!$D$2:$D$2000=$A56)*(TEXT('Daily Checklist'!$B$2:$B$2000,"yyyy-mm-dd")=TEXT(($B$4+1),"yyyy-mm-dd"))*('Daily Checklist'!$F$2:$F$2000="Done"))&amp;"/"&amp;SUMPRODUCT(('Daily Checklist'!$D$2:$D$2000=$A56)*(TEXT('Daily Checklist'!$B$2:$B$2000,"yyyy-mm-dd")=TEXT(($B$4+1),"yyyy-mm-dd"))))))</f>
        <v/>
      </c>
      <c r="D56" s="25" t="str">
        <f aca="false">IF($A56="","",IF(SUMPRODUCT(('Daily Checklist'!$D$2:$D$2000=$A56)*(TEXT('Daily Checklist'!$B$2:$B$2000,"yyyy-mm-dd")=TEXT(($B$4+2),"yyyy-mm-dd")))=0,"-",IF(SUMPRODUCT(('Daily Checklist'!$D$2:$D$2000=$A56)*(TEXT('Daily Checklist'!$B$2:$B$2000,"yyyy-mm-dd")=TEXT(($B$4+2),"yyyy-mm-dd"))*('Daily Checklist'!$L$2:$L$2000="Y"))&gt;0,SUMPRODUCT(('Daily Checklist'!$D$2:$D$2000=$A56)*(TEXT('Daily Checklist'!$B$2:$B$2000,"yyyy-mm-dd")=TEXT(($B$4+2),"yyyy-mm-dd"))*('Daily Checklist'!$F$2:$F$2000="Done"))&amp;"/"&amp;SUMPRODUCT(('Daily Checklist'!$D$2:$D$2000=$A56)*(TEXT('Daily Checklist'!$B$2:$B$2000,"yyyy-mm-dd")=TEXT(($B$4+2),"yyyy-mm-dd")))&amp;" ESC",SUMPRODUCT(('Daily Checklist'!$D$2:$D$2000=$A56)*(TEXT('Daily Checklist'!$B$2:$B$2000,"yyyy-mm-dd")=TEXT(($B$4+2),"yyyy-mm-dd"))*('Daily Checklist'!$F$2:$F$2000="Done"))&amp;"/"&amp;SUMPRODUCT(('Daily Checklist'!$D$2:$D$2000=$A56)*(TEXT('Daily Checklist'!$B$2:$B$2000,"yyyy-mm-dd")=TEXT(($B$4+2),"yyyy-mm-dd"))))))</f>
        <v/>
      </c>
      <c r="E56" s="25" t="str">
        <f aca="false">IF($A56="","",IF(SUMPRODUCT(('Daily Checklist'!$D$2:$D$2000=$A56)*(TEXT('Daily Checklist'!$B$2:$B$2000,"yyyy-mm-dd")=TEXT(($B$4+3),"yyyy-mm-dd")))=0,"-",IF(SUMPRODUCT(('Daily Checklist'!$D$2:$D$2000=$A56)*(TEXT('Daily Checklist'!$B$2:$B$2000,"yyyy-mm-dd")=TEXT(($B$4+3),"yyyy-mm-dd"))*('Daily Checklist'!$L$2:$L$2000="Y"))&gt;0,SUMPRODUCT(('Daily Checklist'!$D$2:$D$2000=$A56)*(TEXT('Daily Checklist'!$B$2:$B$2000,"yyyy-mm-dd")=TEXT(($B$4+3),"yyyy-mm-dd"))*('Daily Checklist'!$F$2:$F$2000="Done"))&amp;"/"&amp;SUMPRODUCT(('Daily Checklist'!$D$2:$D$2000=$A56)*(TEXT('Daily Checklist'!$B$2:$B$2000,"yyyy-mm-dd")=TEXT(($B$4+3),"yyyy-mm-dd")))&amp;" ESC",SUMPRODUCT(('Daily Checklist'!$D$2:$D$2000=$A56)*(TEXT('Daily Checklist'!$B$2:$B$2000,"yyyy-mm-dd")=TEXT(($B$4+3),"yyyy-mm-dd"))*('Daily Checklist'!$F$2:$F$2000="Done"))&amp;"/"&amp;SUMPRODUCT(('Daily Checklist'!$D$2:$D$2000=$A56)*(TEXT('Daily Checklist'!$B$2:$B$2000,"yyyy-mm-dd")=TEXT(($B$4+3),"yyyy-mm-dd"))))))</f>
        <v/>
      </c>
      <c r="F56" s="25" t="str">
        <f aca="false">IF($A56="","",IF(SUMPRODUCT(('Daily Checklist'!$D$2:$D$2000=$A56)*(TEXT('Daily Checklist'!$B$2:$B$2000,"yyyy-mm-dd")=TEXT(($B$4+4),"yyyy-mm-dd")))=0,"-",IF(SUMPRODUCT(('Daily Checklist'!$D$2:$D$2000=$A56)*(TEXT('Daily Checklist'!$B$2:$B$2000,"yyyy-mm-dd")=TEXT(($B$4+4),"yyyy-mm-dd"))*('Daily Checklist'!$L$2:$L$2000="Y"))&gt;0,SUMPRODUCT(('Daily Checklist'!$D$2:$D$2000=$A56)*(TEXT('Daily Checklist'!$B$2:$B$2000,"yyyy-mm-dd")=TEXT(($B$4+4),"yyyy-mm-dd"))*('Daily Checklist'!$F$2:$F$2000="Done"))&amp;"/"&amp;SUMPRODUCT(('Daily Checklist'!$D$2:$D$2000=$A56)*(TEXT('Daily Checklist'!$B$2:$B$2000,"yyyy-mm-dd")=TEXT(($B$4+4),"yyyy-mm-dd")))&amp;" ESC",SUMPRODUCT(('Daily Checklist'!$D$2:$D$2000=$A56)*(TEXT('Daily Checklist'!$B$2:$B$2000,"yyyy-mm-dd")=TEXT(($B$4+4),"yyyy-mm-dd"))*('Daily Checklist'!$F$2:$F$2000="Done"))&amp;"/"&amp;SUMPRODUCT(('Daily Checklist'!$D$2:$D$2000=$A56)*(TEXT('Daily Checklist'!$B$2:$B$2000,"yyyy-mm-dd")=TEXT(($B$4+4),"yyyy-mm-dd"))))))</f>
        <v/>
      </c>
      <c r="G56" s="25" t="str">
        <f aca="false">IF($A56="","",IF(SUMPRODUCT(('Daily Checklist'!$D$2:$D$2000=$A56)*(TEXT('Daily Checklist'!$B$2:$B$2000,"yyyy-mm-dd")=TEXT(($B$4+5),"yyyy-mm-dd")))=0,"-",IF(SUMPRODUCT(('Daily Checklist'!$D$2:$D$2000=$A56)*(TEXT('Daily Checklist'!$B$2:$B$2000,"yyyy-mm-dd")=TEXT(($B$4+5),"yyyy-mm-dd"))*('Daily Checklist'!$L$2:$L$2000="Y"))&gt;0,SUMPRODUCT(('Daily Checklist'!$D$2:$D$2000=$A56)*(TEXT('Daily Checklist'!$B$2:$B$2000,"yyyy-mm-dd")=TEXT(($B$4+5),"yyyy-mm-dd"))*('Daily Checklist'!$F$2:$F$2000="Done"))&amp;"/"&amp;SUMPRODUCT(('Daily Checklist'!$D$2:$D$2000=$A56)*(TEXT('Daily Checklist'!$B$2:$B$2000,"yyyy-mm-dd")=TEXT(($B$4+5),"yyyy-mm-dd")))&amp;" ESC",SUMPRODUCT(('Daily Checklist'!$D$2:$D$2000=$A56)*(TEXT('Daily Checklist'!$B$2:$B$2000,"yyyy-mm-dd")=TEXT(($B$4+5),"yyyy-mm-dd"))*('Daily Checklist'!$F$2:$F$2000="Done"))&amp;"/"&amp;SUMPRODUCT(('Daily Checklist'!$D$2:$D$2000=$A56)*(TEXT('Daily Checklist'!$B$2:$B$2000,"yyyy-mm-dd")=TEXT(($B$4+5),"yyyy-mm-dd"))))))</f>
        <v/>
      </c>
      <c r="H56" s="25" t="str">
        <f aca="false">IF($A56="","",IF(SUMPRODUCT(('Daily Checklist'!$D$2:$D$2000=$A56)*(TEXT('Daily Checklist'!$B$2:$B$2000,"yyyy-mm-dd")=TEXT(($B$4+6),"yyyy-mm-dd")))=0,"-",IF(SUMPRODUCT(('Daily Checklist'!$D$2:$D$2000=$A56)*(TEXT('Daily Checklist'!$B$2:$B$2000,"yyyy-mm-dd")=TEXT(($B$4+6),"yyyy-mm-dd"))*('Daily Checklist'!$L$2:$L$2000="Y"))&gt;0,SUMPRODUCT(('Daily Checklist'!$D$2:$D$2000=$A56)*(TEXT('Daily Checklist'!$B$2:$B$2000,"yyyy-mm-dd")=TEXT(($B$4+6),"yyyy-mm-dd"))*('Daily Checklist'!$F$2:$F$2000="Done"))&amp;"/"&amp;SUMPRODUCT(('Daily Checklist'!$D$2:$D$2000=$A56)*(TEXT('Daily Checklist'!$B$2:$B$2000,"yyyy-mm-dd")=TEXT(($B$4+6),"yyyy-mm-dd")))&amp;" ESC",SUMPRODUCT(('Daily Checklist'!$D$2:$D$2000=$A56)*(TEXT('Daily Checklist'!$B$2:$B$2000,"yyyy-mm-dd")=TEXT(($B$4+6),"yyyy-mm-dd"))*('Daily Checklist'!$F$2:$F$2000="Done"))&amp;"/"&amp;SUMPRODUCT(('Daily Checklist'!$D$2:$D$2000=$A56)*(TEXT('Daily Checklist'!$B$2:$B$2000,"yyyy-mm-dd")=TEXT(($B$4+6),"yyyy-mm-dd"))))))</f>
        <v/>
      </c>
      <c r="I56" s="25" t="str">
        <f aca="false">IF($A56="","",IF(SUMPRODUCT(('Daily Checklist'!$D$2:$D$2000=$A56)*(TEXT('Daily Checklist'!$B$2:$B$2000,"yyyy-mm-dd")=TEXT(($B$4+7),"yyyy-mm-dd")))=0,"-",IF(SUMPRODUCT(('Daily Checklist'!$D$2:$D$2000=$A56)*(TEXT('Daily Checklist'!$B$2:$B$2000,"yyyy-mm-dd")=TEXT(($B$4+7),"yyyy-mm-dd"))*('Daily Checklist'!$L$2:$L$2000="Y"))&gt;0,SUMPRODUCT(('Daily Checklist'!$D$2:$D$2000=$A56)*(TEXT('Daily Checklist'!$B$2:$B$2000,"yyyy-mm-dd")=TEXT(($B$4+7),"yyyy-mm-dd"))*('Daily Checklist'!$F$2:$F$2000="Done"))&amp;"/"&amp;SUMPRODUCT(('Daily Checklist'!$D$2:$D$2000=$A56)*(TEXT('Daily Checklist'!$B$2:$B$2000,"yyyy-mm-dd")=TEXT(($B$4+7),"yyyy-mm-dd")))&amp;" ESC",SUMPRODUCT(('Daily Checklist'!$D$2:$D$2000=$A56)*(TEXT('Daily Checklist'!$B$2:$B$2000,"yyyy-mm-dd")=TEXT(($B$4+7),"yyyy-mm-dd"))*('Daily Checklist'!$F$2:$F$2000="Done"))&amp;"/"&amp;SUMPRODUCT(('Daily Checklist'!$D$2:$D$2000=$A56)*(TEXT('Daily Checklist'!$B$2:$B$2000,"yyyy-mm-dd")=TEXT(($B$4+7),"yyyy-mm-dd"))))))</f>
        <v/>
      </c>
      <c r="J56" s="25" t="str">
        <f aca="false">IF($A56="","",IF(SUMPRODUCT(('Daily Checklist'!$D$2:$D$2000=$A56)*(TEXT('Daily Checklist'!$B$2:$B$2000,"yyyy-mm-dd")=TEXT(($B$4+8),"yyyy-mm-dd")))=0,"-",IF(SUMPRODUCT(('Daily Checklist'!$D$2:$D$2000=$A56)*(TEXT('Daily Checklist'!$B$2:$B$2000,"yyyy-mm-dd")=TEXT(($B$4+8),"yyyy-mm-dd"))*('Daily Checklist'!$L$2:$L$2000="Y"))&gt;0,SUMPRODUCT(('Daily Checklist'!$D$2:$D$2000=$A56)*(TEXT('Daily Checklist'!$B$2:$B$2000,"yyyy-mm-dd")=TEXT(($B$4+8),"yyyy-mm-dd"))*('Daily Checklist'!$F$2:$F$2000="Done"))&amp;"/"&amp;SUMPRODUCT(('Daily Checklist'!$D$2:$D$2000=$A56)*(TEXT('Daily Checklist'!$B$2:$B$2000,"yyyy-mm-dd")=TEXT(($B$4+8),"yyyy-mm-dd")))&amp;" ESC",SUMPRODUCT(('Daily Checklist'!$D$2:$D$2000=$A56)*(TEXT('Daily Checklist'!$B$2:$B$2000,"yyyy-mm-dd")=TEXT(($B$4+8),"yyyy-mm-dd"))*('Daily Checklist'!$F$2:$F$2000="Done"))&amp;"/"&amp;SUMPRODUCT(('Daily Checklist'!$D$2:$D$2000=$A56)*(TEXT('Daily Checklist'!$B$2:$B$2000,"yyyy-mm-dd")=TEXT(($B$4+8),"yyyy-mm-dd"))))))</f>
        <v/>
      </c>
      <c r="K56" s="25" t="str">
        <f aca="false">IF($A56="","",IF(SUMPRODUCT(('Daily Checklist'!$D$2:$D$2000=$A56)*(TEXT('Daily Checklist'!$B$2:$B$2000,"yyyy-mm-dd")=TEXT(($B$4+9),"yyyy-mm-dd")))=0,"-",IF(SUMPRODUCT(('Daily Checklist'!$D$2:$D$2000=$A56)*(TEXT('Daily Checklist'!$B$2:$B$2000,"yyyy-mm-dd")=TEXT(($B$4+9),"yyyy-mm-dd"))*('Daily Checklist'!$L$2:$L$2000="Y"))&gt;0,SUMPRODUCT(('Daily Checklist'!$D$2:$D$2000=$A56)*(TEXT('Daily Checklist'!$B$2:$B$2000,"yyyy-mm-dd")=TEXT(($B$4+9),"yyyy-mm-dd"))*('Daily Checklist'!$F$2:$F$2000="Done"))&amp;"/"&amp;SUMPRODUCT(('Daily Checklist'!$D$2:$D$2000=$A56)*(TEXT('Daily Checklist'!$B$2:$B$2000,"yyyy-mm-dd")=TEXT(($B$4+9),"yyyy-mm-dd")))&amp;" ESC",SUMPRODUCT(('Daily Checklist'!$D$2:$D$2000=$A56)*(TEXT('Daily Checklist'!$B$2:$B$2000,"yyyy-mm-dd")=TEXT(($B$4+9),"yyyy-mm-dd"))*('Daily Checklist'!$F$2:$F$2000="Done"))&amp;"/"&amp;SUMPRODUCT(('Daily Checklist'!$D$2:$D$2000=$A56)*(TEXT('Daily Checklist'!$B$2:$B$2000,"yyyy-mm-dd")=TEXT(($B$4+9),"yyyy-mm-dd"))))))</f>
        <v/>
      </c>
      <c r="L56" s="25" t="str">
        <f aca="false">IF($A56="","",IF(SUMPRODUCT(('Daily Checklist'!$D$2:$D$2000=$A56)*(TEXT('Daily Checklist'!$B$2:$B$2000,"yyyy-mm-dd")=TEXT(($B$4+10),"yyyy-mm-dd")))=0,"-",IF(SUMPRODUCT(('Daily Checklist'!$D$2:$D$2000=$A56)*(TEXT('Daily Checklist'!$B$2:$B$2000,"yyyy-mm-dd")=TEXT(($B$4+10),"yyyy-mm-dd"))*('Daily Checklist'!$L$2:$L$2000="Y"))&gt;0,SUMPRODUCT(('Daily Checklist'!$D$2:$D$2000=$A56)*(TEXT('Daily Checklist'!$B$2:$B$2000,"yyyy-mm-dd")=TEXT(($B$4+10),"yyyy-mm-dd"))*('Daily Checklist'!$F$2:$F$2000="Done"))&amp;"/"&amp;SUMPRODUCT(('Daily Checklist'!$D$2:$D$2000=$A56)*(TEXT('Daily Checklist'!$B$2:$B$2000,"yyyy-mm-dd")=TEXT(($B$4+10),"yyyy-mm-dd")))&amp;" ESC",SUMPRODUCT(('Daily Checklist'!$D$2:$D$2000=$A56)*(TEXT('Daily Checklist'!$B$2:$B$2000,"yyyy-mm-dd")=TEXT(($B$4+10),"yyyy-mm-dd"))*('Daily Checklist'!$F$2:$F$2000="Done"))&amp;"/"&amp;SUMPRODUCT(('Daily Checklist'!$D$2:$D$2000=$A56)*(TEXT('Daily Checklist'!$B$2:$B$2000,"yyyy-mm-dd")=TEXT(($B$4+10),"yyyy-mm-dd"))))))</f>
        <v/>
      </c>
      <c r="M56" s="25" t="str">
        <f aca="false">IF($A56="","",IF(SUMPRODUCT(('Daily Checklist'!$D$2:$D$2000=$A56)*(TEXT('Daily Checklist'!$B$2:$B$2000,"yyyy-mm-dd")=TEXT(($B$4+11),"yyyy-mm-dd")))=0,"-",IF(SUMPRODUCT(('Daily Checklist'!$D$2:$D$2000=$A56)*(TEXT('Daily Checklist'!$B$2:$B$2000,"yyyy-mm-dd")=TEXT(($B$4+11),"yyyy-mm-dd"))*('Daily Checklist'!$L$2:$L$2000="Y"))&gt;0,SUMPRODUCT(('Daily Checklist'!$D$2:$D$2000=$A56)*(TEXT('Daily Checklist'!$B$2:$B$2000,"yyyy-mm-dd")=TEXT(($B$4+11),"yyyy-mm-dd"))*('Daily Checklist'!$F$2:$F$2000="Done"))&amp;"/"&amp;SUMPRODUCT(('Daily Checklist'!$D$2:$D$2000=$A56)*(TEXT('Daily Checklist'!$B$2:$B$2000,"yyyy-mm-dd")=TEXT(($B$4+11),"yyyy-mm-dd")))&amp;" ESC",SUMPRODUCT(('Daily Checklist'!$D$2:$D$2000=$A56)*(TEXT('Daily Checklist'!$B$2:$B$2000,"yyyy-mm-dd")=TEXT(($B$4+11),"yyyy-mm-dd"))*('Daily Checklist'!$F$2:$F$2000="Done"))&amp;"/"&amp;SUMPRODUCT(('Daily Checklist'!$D$2:$D$2000=$A56)*(TEXT('Daily Checklist'!$B$2:$B$2000,"yyyy-mm-dd")=TEXT(($B$4+11),"yyyy-mm-dd"))))))</f>
        <v/>
      </c>
      <c r="N56" s="25" t="str">
        <f aca="false">IF($A56="","",IF(SUMPRODUCT(('Daily Checklist'!$D$2:$D$2000=$A56)*(TEXT('Daily Checklist'!$B$2:$B$2000,"yyyy-mm-dd")=TEXT(($B$4+12),"yyyy-mm-dd")))=0,"-",IF(SUMPRODUCT(('Daily Checklist'!$D$2:$D$2000=$A56)*(TEXT('Daily Checklist'!$B$2:$B$2000,"yyyy-mm-dd")=TEXT(($B$4+12),"yyyy-mm-dd"))*('Daily Checklist'!$L$2:$L$2000="Y"))&gt;0,SUMPRODUCT(('Daily Checklist'!$D$2:$D$2000=$A56)*(TEXT('Daily Checklist'!$B$2:$B$2000,"yyyy-mm-dd")=TEXT(($B$4+12),"yyyy-mm-dd"))*('Daily Checklist'!$F$2:$F$2000="Done"))&amp;"/"&amp;SUMPRODUCT(('Daily Checklist'!$D$2:$D$2000=$A56)*(TEXT('Daily Checklist'!$B$2:$B$2000,"yyyy-mm-dd")=TEXT(($B$4+12),"yyyy-mm-dd")))&amp;" ESC",SUMPRODUCT(('Daily Checklist'!$D$2:$D$2000=$A56)*(TEXT('Daily Checklist'!$B$2:$B$2000,"yyyy-mm-dd")=TEXT(($B$4+12),"yyyy-mm-dd"))*('Daily Checklist'!$F$2:$F$2000="Done"))&amp;"/"&amp;SUMPRODUCT(('Daily Checklist'!$D$2:$D$2000=$A56)*(TEXT('Daily Checklist'!$B$2:$B$2000,"yyyy-mm-dd")=TEXT(($B$4+12),"yyyy-mm-dd"))))))</f>
        <v/>
      </c>
      <c r="O56" s="25" t="str">
        <f aca="false">IF($A56="","",IF(SUMPRODUCT(('Daily Checklist'!$D$2:$D$2000=$A56)*(TEXT('Daily Checklist'!$B$2:$B$2000,"yyyy-mm-dd")=TEXT(($B$4+13),"yyyy-mm-dd")))=0,"-",IF(SUMPRODUCT(('Daily Checklist'!$D$2:$D$2000=$A56)*(TEXT('Daily Checklist'!$B$2:$B$2000,"yyyy-mm-dd")=TEXT(($B$4+13),"yyyy-mm-dd"))*('Daily Checklist'!$L$2:$L$2000="Y"))&gt;0,SUMPRODUCT(('Daily Checklist'!$D$2:$D$2000=$A56)*(TEXT('Daily Checklist'!$B$2:$B$2000,"yyyy-mm-dd")=TEXT(($B$4+13),"yyyy-mm-dd"))*('Daily Checklist'!$F$2:$F$2000="Done"))&amp;"/"&amp;SUMPRODUCT(('Daily Checklist'!$D$2:$D$2000=$A56)*(TEXT('Daily Checklist'!$B$2:$B$2000,"yyyy-mm-dd")=TEXT(($B$4+13),"yyyy-mm-dd")))&amp;" ESC",SUMPRODUCT(('Daily Checklist'!$D$2:$D$2000=$A56)*(TEXT('Daily Checklist'!$B$2:$B$2000,"yyyy-mm-dd")=TEXT(($B$4+13),"yyyy-mm-dd"))*('Daily Checklist'!$F$2:$F$2000="Done"))&amp;"/"&amp;SUMPRODUCT(('Daily Checklist'!$D$2:$D$2000=$A56)*(TEXT('Daily Checklist'!$B$2:$B$2000,"yyyy-mm-dd")=TEXT(($B$4+13),"yyyy-mm-dd"))))))</f>
        <v/>
      </c>
      <c r="P56" s="25" t="str">
        <f aca="false">IF($A56="","",IF(SUMPRODUCT(('Daily Checklist'!$D$2:$D$2000=$A56)*(TEXT('Daily Checklist'!$B$2:$B$2000,"yyyy-mm-dd")=TEXT(($B$4+14),"yyyy-mm-dd")))=0,"-",IF(SUMPRODUCT(('Daily Checklist'!$D$2:$D$2000=$A56)*(TEXT('Daily Checklist'!$B$2:$B$2000,"yyyy-mm-dd")=TEXT(($B$4+14),"yyyy-mm-dd"))*('Daily Checklist'!$L$2:$L$2000="Y"))&gt;0,SUMPRODUCT(('Daily Checklist'!$D$2:$D$2000=$A56)*(TEXT('Daily Checklist'!$B$2:$B$2000,"yyyy-mm-dd")=TEXT(($B$4+14),"yyyy-mm-dd"))*('Daily Checklist'!$F$2:$F$2000="Done"))&amp;"/"&amp;SUMPRODUCT(('Daily Checklist'!$D$2:$D$2000=$A56)*(TEXT('Daily Checklist'!$B$2:$B$2000,"yyyy-mm-dd")=TEXT(($B$4+14),"yyyy-mm-dd")))&amp;" ESC",SUMPRODUCT(('Daily Checklist'!$D$2:$D$2000=$A56)*(TEXT('Daily Checklist'!$B$2:$B$2000,"yyyy-mm-dd")=TEXT(($B$4+14),"yyyy-mm-dd"))*('Daily Checklist'!$F$2:$F$2000="Done"))&amp;"/"&amp;SUMPRODUCT(('Daily Checklist'!$D$2:$D$2000=$A56)*(TEXT('Daily Checklist'!$B$2:$B$2000,"yyyy-mm-dd")=TEXT(($B$4+14),"yyyy-mm-dd"))))))</f>
        <v/>
      </c>
      <c r="Q56" s="25" t="str">
        <f aca="false">IF($A56="","",IF(SUMPRODUCT(('Daily Checklist'!$D$2:$D$2000=$A56)*(TEXT('Daily Checklist'!$B$2:$B$2000,"yyyy-mm-dd")=TEXT(($B$4+15),"yyyy-mm-dd")))=0,"-",IF(SUMPRODUCT(('Daily Checklist'!$D$2:$D$2000=$A56)*(TEXT('Daily Checklist'!$B$2:$B$2000,"yyyy-mm-dd")=TEXT(($B$4+15),"yyyy-mm-dd"))*('Daily Checklist'!$L$2:$L$2000="Y"))&gt;0,SUMPRODUCT(('Daily Checklist'!$D$2:$D$2000=$A56)*(TEXT('Daily Checklist'!$B$2:$B$2000,"yyyy-mm-dd")=TEXT(($B$4+15),"yyyy-mm-dd"))*('Daily Checklist'!$F$2:$F$2000="Done"))&amp;"/"&amp;SUMPRODUCT(('Daily Checklist'!$D$2:$D$2000=$A56)*(TEXT('Daily Checklist'!$B$2:$B$2000,"yyyy-mm-dd")=TEXT(($B$4+15),"yyyy-mm-dd")))&amp;" ESC",SUMPRODUCT(('Daily Checklist'!$D$2:$D$2000=$A56)*(TEXT('Daily Checklist'!$B$2:$B$2000,"yyyy-mm-dd")=TEXT(($B$4+15),"yyyy-mm-dd"))*('Daily Checklist'!$F$2:$F$2000="Done"))&amp;"/"&amp;SUMPRODUCT(('Daily Checklist'!$D$2:$D$2000=$A56)*(TEXT('Daily Checklist'!$B$2:$B$2000,"yyyy-mm-dd")=TEXT(($B$4+15),"yyyy-mm-dd"))))))</f>
        <v/>
      </c>
      <c r="R56" s="25" t="str">
        <f aca="false">IF($A56="","",IF(SUMPRODUCT(('Daily Checklist'!$D$2:$D$2000=$A56)*(TEXT('Daily Checklist'!$B$2:$B$2000,"yyyy-mm-dd")=TEXT(($B$4+16),"yyyy-mm-dd")))=0,"-",IF(SUMPRODUCT(('Daily Checklist'!$D$2:$D$2000=$A56)*(TEXT('Daily Checklist'!$B$2:$B$2000,"yyyy-mm-dd")=TEXT(($B$4+16),"yyyy-mm-dd"))*('Daily Checklist'!$L$2:$L$2000="Y"))&gt;0,SUMPRODUCT(('Daily Checklist'!$D$2:$D$2000=$A56)*(TEXT('Daily Checklist'!$B$2:$B$2000,"yyyy-mm-dd")=TEXT(($B$4+16),"yyyy-mm-dd"))*('Daily Checklist'!$F$2:$F$2000="Done"))&amp;"/"&amp;SUMPRODUCT(('Daily Checklist'!$D$2:$D$2000=$A56)*(TEXT('Daily Checklist'!$B$2:$B$2000,"yyyy-mm-dd")=TEXT(($B$4+16),"yyyy-mm-dd")))&amp;" ESC",SUMPRODUCT(('Daily Checklist'!$D$2:$D$2000=$A56)*(TEXT('Daily Checklist'!$B$2:$B$2000,"yyyy-mm-dd")=TEXT(($B$4+16),"yyyy-mm-dd"))*('Daily Checklist'!$F$2:$F$2000="Done"))&amp;"/"&amp;SUMPRODUCT(('Daily Checklist'!$D$2:$D$2000=$A56)*(TEXT('Daily Checklist'!$B$2:$B$2000,"yyyy-mm-dd")=TEXT(($B$4+16),"yyyy-mm-dd"))))))</f>
        <v/>
      </c>
      <c r="S56" s="25" t="str">
        <f aca="false">IF($A56="","",IF(SUMPRODUCT(('Daily Checklist'!$D$2:$D$2000=$A56)*(TEXT('Daily Checklist'!$B$2:$B$2000,"yyyy-mm-dd")=TEXT(($B$4+17),"yyyy-mm-dd")))=0,"-",IF(SUMPRODUCT(('Daily Checklist'!$D$2:$D$2000=$A56)*(TEXT('Daily Checklist'!$B$2:$B$2000,"yyyy-mm-dd")=TEXT(($B$4+17),"yyyy-mm-dd"))*('Daily Checklist'!$L$2:$L$2000="Y"))&gt;0,SUMPRODUCT(('Daily Checklist'!$D$2:$D$2000=$A56)*(TEXT('Daily Checklist'!$B$2:$B$2000,"yyyy-mm-dd")=TEXT(($B$4+17),"yyyy-mm-dd"))*('Daily Checklist'!$F$2:$F$2000="Done"))&amp;"/"&amp;SUMPRODUCT(('Daily Checklist'!$D$2:$D$2000=$A56)*(TEXT('Daily Checklist'!$B$2:$B$2000,"yyyy-mm-dd")=TEXT(($B$4+17),"yyyy-mm-dd")))&amp;" ESC",SUMPRODUCT(('Daily Checklist'!$D$2:$D$2000=$A56)*(TEXT('Daily Checklist'!$B$2:$B$2000,"yyyy-mm-dd")=TEXT(($B$4+17),"yyyy-mm-dd"))*('Daily Checklist'!$F$2:$F$2000="Done"))&amp;"/"&amp;SUMPRODUCT(('Daily Checklist'!$D$2:$D$2000=$A56)*(TEXT('Daily Checklist'!$B$2:$B$2000,"yyyy-mm-dd")=TEXT(($B$4+17),"yyyy-mm-dd"))))))</f>
        <v/>
      </c>
      <c r="T56" s="25" t="str">
        <f aca="false">IF($A56="","",IF(SUMPRODUCT(('Daily Checklist'!$D$2:$D$2000=$A56)*(TEXT('Daily Checklist'!$B$2:$B$2000,"yyyy-mm-dd")=TEXT(($B$4+18),"yyyy-mm-dd")))=0,"-",IF(SUMPRODUCT(('Daily Checklist'!$D$2:$D$2000=$A56)*(TEXT('Daily Checklist'!$B$2:$B$2000,"yyyy-mm-dd")=TEXT(($B$4+18),"yyyy-mm-dd"))*('Daily Checklist'!$L$2:$L$2000="Y"))&gt;0,SUMPRODUCT(('Daily Checklist'!$D$2:$D$2000=$A56)*(TEXT('Daily Checklist'!$B$2:$B$2000,"yyyy-mm-dd")=TEXT(($B$4+18),"yyyy-mm-dd"))*('Daily Checklist'!$F$2:$F$2000="Done"))&amp;"/"&amp;SUMPRODUCT(('Daily Checklist'!$D$2:$D$2000=$A56)*(TEXT('Daily Checklist'!$B$2:$B$2000,"yyyy-mm-dd")=TEXT(($B$4+18),"yyyy-mm-dd")))&amp;" ESC",SUMPRODUCT(('Daily Checklist'!$D$2:$D$2000=$A56)*(TEXT('Daily Checklist'!$B$2:$B$2000,"yyyy-mm-dd")=TEXT(($B$4+18),"yyyy-mm-dd"))*('Daily Checklist'!$F$2:$F$2000="Done"))&amp;"/"&amp;SUMPRODUCT(('Daily Checklist'!$D$2:$D$2000=$A56)*(TEXT('Daily Checklist'!$B$2:$B$2000,"yyyy-mm-dd")=TEXT(($B$4+18),"yyyy-mm-dd"))))))</f>
        <v/>
      </c>
      <c r="U56" s="25" t="str">
        <f aca="false">IF($A56="","",IF(SUMPRODUCT(('Daily Checklist'!$D$2:$D$2000=$A56)*(TEXT('Daily Checklist'!$B$2:$B$2000,"yyyy-mm-dd")=TEXT(($B$4+19),"yyyy-mm-dd")))=0,"-",IF(SUMPRODUCT(('Daily Checklist'!$D$2:$D$2000=$A56)*(TEXT('Daily Checklist'!$B$2:$B$2000,"yyyy-mm-dd")=TEXT(($B$4+19),"yyyy-mm-dd"))*('Daily Checklist'!$L$2:$L$2000="Y"))&gt;0,SUMPRODUCT(('Daily Checklist'!$D$2:$D$2000=$A56)*(TEXT('Daily Checklist'!$B$2:$B$2000,"yyyy-mm-dd")=TEXT(($B$4+19),"yyyy-mm-dd"))*('Daily Checklist'!$F$2:$F$2000="Done"))&amp;"/"&amp;SUMPRODUCT(('Daily Checklist'!$D$2:$D$2000=$A56)*(TEXT('Daily Checklist'!$B$2:$B$2000,"yyyy-mm-dd")=TEXT(($B$4+19),"yyyy-mm-dd")))&amp;" ESC",SUMPRODUCT(('Daily Checklist'!$D$2:$D$2000=$A56)*(TEXT('Daily Checklist'!$B$2:$B$2000,"yyyy-mm-dd")=TEXT(($B$4+19),"yyyy-mm-dd"))*('Daily Checklist'!$F$2:$F$2000="Done"))&amp;"/"&amp;SUMPRODUCT(('Daily Checklist'!$D$2:$D$2000=$A56)*(TEXT('Daily Checklist'!$B$2:$B$2000,"yyyy-mm-dd")=TEXT(($B$4+19),"yyyy-mm-dd"))))))</f>
        <v/>
      </c>
      <c r="V56" s="25" t="str">
        <f aca="false">IF($A56="","",IF(SUMPRODUCT(('Daily Checklist'!$D$2:$D$2000=$A56)*(TEXT('Daily Checklist'!$B$2:$B$2000,"yyyy-mm-dd")=TEXT(($B$4+20),"yyyy-mm-dd")))=0,"-",IF(SUMPRODUCT(('Daily Checklist'!$D$2:$D$2000=$A56)*(TEXT('Daily Checklist'!$B$2:$B$2000,"yyyy-mm-dd")=TEXT(($B$4+20),"yyyy-mm-dd"))*('Daily Checklist'!$L$2:$L$2000="Y"))&gt;0,SUMPRODUCT(('Daily Checklist'!$D$2:$D$2000=$A56)*(TEXT('Daily Checklist'!$B$2:$B$2000,"yyyy-mm-dd")=TEXT(($B$4+20),"yyyy-mm-dd"))*('Daily Checklist'!$F$2:$F$2000="Done"))&amp;"/"&amp;SUMPRODUCT(('Daily Checklist'!$D$2:$D$2000=$A56)*(TEXT('Daily Checklist'!$B$2:$B$2000,"yyyy-mm-dd")=TEXT(($B$4+20),"yyyy-mm-dd")))&amp;" ESC",SUMPRODUCT(('Daily Checklist'!$D$2:$D$2000=$A56)*(TEXT('Daily Checklist'!$B$2:$B$2000,"yyyy-mm-dd")=TEXT(($B$4+20),"yyyy-mm-dd"))*('Daily Checklist'!$F$2:$F$2000="Done"))&amp;"/"&amp;SUMPRODUCT(('Daily Checklist'!$D$2:$D$2000=$A56)*(TEXT('Daily Checklist'!$B$2:$B$2000,"yyyy-mm-dd")=TEXT(($B$4+20),"yyyy-mm-dd"))))))</f>
        <v/>
      </c>
      <c r="W56" s="25" t="str">
        <f aca="false">IF($A56="","",IF(SUMPRODUCT(('Daily Checklist'!$D$2:$D$2000=$A56)*(TEXT('Daily Checklist'!$B$2:$B$2000,"yyyy-mm-dd")=TEXT(($B$4+21),"yyyy-mm-dd")))=0,"-",IF(SUMPRODUCT(('Daily Checklist'!$D$2:$D$2000=$A56)*(TEXT('Daily Checklist'!$B$2:$B$2000,"yyyy-mm-dd")=TEXT(($B$4+21),"yyyy-mm-dd"))*('Daily Checklist'!$L$2:$L$2000="Y"))&gt;0,SUMPRODUCT(('Daily Checklist'!$D$2:$D$2000=$A56)*(TEXT('Daily Checklist'!$B$2:$B$2000,"yyyy-mm-dd")=TEXT(($B$4+21),"yyyy-mm-dd"))*('Daily Checklist'!$F$2:$F$2000="Done"))&amp;"/"&amp;SUMPRODUCT(('Daily Checklist'!$D$2:$D$2000=$A56)*(TEXT('Daily Checklist'!$B$2:$B$2000,"yyyy-mm-dd")=TEXT(($B$4+21),"yyyy-mm-dd")))&amp;" ESC",SUMPRODUCT(('Daily Checklist'!$D$2:$D$2000=$A56)*(TEXT('Daily Checklist'!$B$2:$B$2000,"yyyy-mm-dd")=TEXT(($B$4+21),"yyyy-mm-dd"))*('Daily Checklist'!$F$2:$F$2000="Done"))&amp;"/"&amp;SUMPRODUCT(('Daily Checklist'!$D$2:$D$2000=$A56)*(TEXT('Daily Checklist'!$B$2:$B$2000,"yyyy-mm-dd")=TEXT(($B$4+21),"yyyy-mm-dd"))))))</f>
        <v/>
      </c>
      <c r="X56" s="25" t="str">
        <f aca="false">IF($A56="","",IF(SUMPRODUCT(('Daily Checklist'!$D$2:$D$2000=$A56)*(TEXT('Daily Checklist'!$B$2:$B$2000,"yyyy-mm-dd")=TEXT(($B$4+22),"yyyy-mm-dd")))=0,"-",IF(SUMPRODUCT(('Daily Checklist'!$D$2:$D$2000=$A56)*(TEXT('Daily Checklist'!$B$2:$B$2000,"yyyy-mm-dd")=TEXT(($B$4+22),"yyyy-mm-dd"))*('Daily Checklist'!$L$2:$L$2000="Y"))&gt;0,SUMPRODUCT(('Daily Checklist'!$D$2:$D$2000=$A56)*(TEXT('Daily Checklist'!$B$2:$B$2000,"yyyy-mm-dd")=TEXT(($B$4+22),"yyyy-mm-dd"))*('Daily Checklist'!$F$2:$F$2000="Done"))&amp;"/"&amp;SUMPRODUCT(('Daily Checklist'!$D$2:$D$2000=$A56)*(TEXT('Daily Checklist'!$B$2:$B$2000,"yyyy-mm-dd")=TEXT(($B$4+22),"yyyy-mm-dd")))&amp;" ESC",SUMPRODUCT(('Daily Checklist'!$D$2:$D$2000=$A56)*(TEXT('Daily Checklist'!$B$2:$B$2000,"yyyy-mm-dd")=TEXT(($B$4+22),"yyyy-mm-dd"))*('Daily Checklist'!$F$2:$F$2000="Done"))&amp;"/"&amp;SUMPRODUCT(('Daily Checklist'!$D$2:$D$2000=$A56)*(TEXT('Daily Checklist'!$B$2:$B$2000,"yyyy-mm-dd")=TEXT(($B$4+22),"yyyy-mm-dd"))))))</f>
        <v/>
      </c>
      <c r="Y56" s="25" t="str">
        <f aca="false">IF($A56="","",IF(SUMPRODUCT(('Daily Checklist'!$D$2:$D$2000=$A56)*(TEXT('Daily Checklist'!$B$2:$B$2000,"yyyy-mm-dd")=TEXT(($B$4+23),"yyyy-mm-dd")))=0,"-",IF(SUMPRODUCT(('Daily Checklist'!$D$2:$D$2000=$A56)*(TEXT('Daily Checklist'!$B$2:$B$2000,"yyyy-mm-dd")=TEXT(($B$4+23),"yyyy-mm-dd"))*('Daily Checklist'!$L$2:$L$2000="Y"))&gt;0,SUMPRODUCT(('Daily Checklist'!$D$2:$D$2000=$A56)*(TEXT('Daily Checklist'!$B$2:$B$2000,"yyyy-mm-dd")=TEXT(($B$4+23),"yyyy-mm-dd"))*('Daily Checklist'!$F$2:$F$2000="Done"))&amp;"/"&amp;SUMPRODUCT(('Daily Checklist'!$D$2:$D$2000=$A56)*(TEXT('Daily Checklist'!$B$2:$B$2000,"yyyy-mm-dd")=TEXT(($B$4+23),"yyyy-mm-dd")))&amp;" ESC",SUMPRODUCT(('Daily Checklist'!$D$2:$D$2000=$A56)*(TEXT('Daily Checklist'!$B$2:$B$2000,"yyyy-mm-dd")=TEXT(($B$4+23),"yyyy-mm-dd"))*('Daily Checklist'!$F$2:$F$2000="Done"))&amp;"/"&amp;SUMPRODUCT(('Daily Checklist'!$D$2:$D$2000=$A56)*(TEXT('Daily Checklist'!$B$2:$B$2000,"yyyy-mm-dd")=TEXT(($B$4+23),"yyyy-mm-dd"))))))</f>
        <v/>
      </c>
      <c r="Z56" s="25" t="str">
        <f aca="false">IF($A56="","",IF(SUMPRODUCT(('Daily Checklist'!$D$2:$D$2000=$A56)*(TEXT('Daily Checklist'!$B$2:$B$2000,"yyyy-mm-dd")=TEXT(($B$4+24),"yyyy-mm-dd")))=0,"-",IF(SUMPRODUCT(('Daily Checklist'!$D$2:$D$2000=$A56)*(TEXT('Daily Checklist'!$B$2:$B$2000,"yyyy-mm-dd")=TEXT(($B$4+24),"yyyy-mm-dd"))*('Daily Checklist'!$L$2:$L$2000="Y"))&gt;0,SUMPRODUCT(('Daily Checklist'!$D$2:$D$2000=$A56)*(TEXT('Daily Checklist'!$B$2:$B$2000,"yyyy-mm-dd")=TEXT(($B$4+24),"yyyy-mm-dd"))*('Daily Checklist'!$F$2:$F$2000="Done"))&amp;"/"&amp;SUMPRODUCT(('Daily Checklist'!$D$2:$D$2000=$A56)*(TEXT('Daily Checklist'!$B$2:$B$2000,"yyyy-mm-dd")=TEXT(($B$4+24),"yyyy-mm-dd")))&amp;" ESC",SUMPRODUCT(('Daily Checklist'!$D$2:$D$2000=$A56)*(TEXT('Daily Checklist'!$B$2:$B$2000,"yyyy-mm-dd")=TEXT(($B$4+24),"yyyy-mm-dd"))*('Daily Checklist'!$F$2:$F$2000="Done"))&amp;"/"&amp;SUMPRODUCT(('Daily Checklist'!$D$2:$D$2000=$A56)*(TEXT('Daily Checklist'!$B$2:$B$2000,"yyyy-mm-dd")=TEXT(($B$4+24),"yyyy-mm-dd"))))))</f>
        <v/>
      </c>
      <c r="AA56" s="25" t="str">
        <f aca="false">IF($A56="","",IF(SUMPRODUCT(('Daily Checklist'!$D$2:$D$2000=$A56)*(TEXT('Daily Checklist'!$B$2:$B$2000,"yyyy-mm-dd")=TEXT(($B$4+25),"yyyy-mm-dd")))=0,"-",IF(SUMPRODUCT(('Daily Checklist'!$D$2:$D$2000=$A56)*(TEXT('Daily Checklist'!$B$2:$B$2000,"yyyy-mm-dd")=TEXT(($B$4+25),"yyyy-mm-dd"))*('Daily Checklist'!$L$2:$L$2000="Y"))&gt;0,SUMPRODUCT(('Daily Checklist'!$D$2:$D$2000=$A56)*(TEXT('Daily Checklist'!$B$2:$B$2000,"yyyy-mm-dd")=TEXT(($B$4+25),"yyyy-mm-dd"))*('Daily Checklist'!$F$2:$F$2000="Done"))&amp;"/"&amp;SUMPRODUCT(('Daily Checklist'!$D$2:$D$2000=$A56)*(TEXT('Daily Checklist'!$B$2:$B$2000,"yyyy-mm-dd")=TEXT(($B$4+25),"yyyy-mm-dd")))&amp;" ESC",SUMPRODUCT(('Daily Checklist'!$D$2:$D$2000=$A56)*(TEXT('Daily Checklist'!$B$2:$B$2000,"yyyy-mm-dd")=TEXT(($B$4+25),"yyyy-mm-dd"))*('Daily Checklist'!$F$2:$F$2000="Done"))&amp;"/"&amp;SUMPRODUCT(('Daily Checklist'!$D$2:$D$2000=$A56)*(TEXT('Daily Checklist'!$B$2:$B$2000,"yyyy-mm-dd")=TEXT(($B$4+25),"yyyy-mm-dd"))))))</f>
        <v/>
      </c>
      <c r="AB56" s="25" t="str">
        <f aca="false">IF($A56="","",IF(SUMPRODUCT(('Daily Checklist'!$D$2:$D$2000=$A56)*(TEXT('Daily Checklist'!$B$2:$B$2000,"yyyy-mm-dd")=TEXT(($B$4+26),"yyyy-mm-dd")))=0,"-",IF(SUMPRODUCT(('Daily Checklist'!$D$2:$D$2000=$A56)*(TEXT('Daily Checklist'!$B$2:$B$2000,"yyyy-mm-dd")=TEXT(($B$4+26),"yyyy-mm-dd"))*('Daily Checklist'!$L$2:$L$2000="Y"))&gt;0,SUMPRODUCT(('Daily Checklist'!$D$2:$D$2000=$A56)*(TEXT('Daily Checklist'!$B$2:$B$2000,"yyyy-mm-dd")=TEXT(($B$4+26),"yyyy-mm-dd"))*('Daily Checklist'!$F$2:$F$2000="Done"))&amp;"/"&amp;SUMPRODUCT(('Daily Checklist'!$D$2:$D$2000=$A56)*(TEXT('Daily Checklist'!$B$2:$B$2000,"yyyy-mm-dd")=TEXT(($B$4+26),"yyyy-mm-dd")))&amp;" ESC",SUMPRODUCT(('Daily Checklist'!$D$2:$D$2000=$A56)*(TEXT('Daily Checklist'!$B$2:$B$2000,"yyyy-mm-dd")=TEXT(($B$4+26),"yyyy-mm-dd"))*('Daily Checklist'!$F$2:$F$2000="Done"))&amp;"/"&amp;SUMPRODUCT(('Daily Checklist'!$D$2:$D$2000=$A56)*(TEXT('Daily Checklist'!$B$2:$B$2000,"yyyy-mm-dd")=TEXT(($B$4+26),"yyyy-mm-dd"))))))</f>
        <v/>
      </c>
      <c r="AC56" s="25" t="str">
        <f aca="false">IF($A56="","",IF(SUMPRODUCT(('Daily Checklist'!$D$2:$D$2000=$A56)*(TEXT('Daily Checklist'!$B$2:$B$2000,"yyyy-mm-dd")=TEXT(($B$4+27),"yyyy-mm-dd")))=0,"-",IF(SUMPRODUCT(('Daily Checklist'!$D$2:$D$2000=$A56)*(TEXT('Daily Checklist'!$B$2:$B$2000,"yyyy-mm-dd")=TEXT(($B$4+27),"yyyy-mm-dd"))*('Daily Checklist'!$L$2:$L$2000="Y"))&gt;0,SUMPRODUCT(('Daily Checklist'!$D$2:$D$2000=$A56)*(TEXT('Daily Checklist'!$B$2:$B$2000,"yyyy-mm-dd")=TEXT(($B$4+27),"yyyy-mm-dd"))*('Daily Checklist'!$F$2:$F$2000="Done"))&amp;"/"&amp;SUMPRODUCT(('Daily Checklist'!$D$2:$D$2000=$A56)*(TEXT('Daily Checklist'!$B$2:$B$2000,"yyyy-mm-dd")=TEXT(($B$4+27),"yyyy-mm-dd")))&amp;" ESC",SUMPRODUCT(('Daily Checklist'!$D$2:$D$2000=$A56)*(TEXT('Daily Checklist'!$B$2:$B$2000,"yyyy-mm-dd")=TEXT(($B$4+27),"yyyy-mm-dd"))*('Daily Checklist'!$F$2:$F$2000="Done"))&amp;"/"&amp;SUMPRODUCT(('Daily Checklist'!$D$2:$D$2000=$A56)*(TEXT('Daily Checklist'!$B$2:$B$2000,"yyyy-mm-dd")=TEXT(($B$4+27),"yyyy-mm-dd"))))))</f>
        <v/>
      </c>
      <c r="AD56" s="25" t="str">
        <f aca="false">IF($A56="","",IF(SUMPRODUCT(('Daily Checklist'!$D$2:$D$2000=$A56)*(TEXT('Daily Checklist'!$B$2:$B$2000,"yyyy-mm-dd")=TEXT(($B$4+28),"yyyy-mm-dd")))=0,"-",IF(SUMPRODUCT(('Daily Checklist'!$D$2:$D$2000=$A56)*(TEXT('Daily Checklist'!$B$2:$B$2000,"yyyy-mm-dd")=TEXT(($B$4+28),"yyyy-mm-dd"))*('Daily Checklist'!$L$2:$L$2000="Y"))&gt;0,SUMPRODUCT(('Daily Checklist'!$D$2:$D$2000=$A56)*(TEXT('Daily Checklist'!$B$2:$B$2000,"yyyy-mm-dd")=TEXT(($B$4+28),"yyyy-mm-dd"))*('Daily Checklist'!$F$2:$F$2000="Done"))&amp;"/"&amp;SUMPRODUCT(('Daily Checklist'!$D$2:$D$2000=$A56)*(TEXT('Daily Checklist'!$B$2:$B$2000,"yyyy-mm-dd")=TEXT(($B$4+28),"yyyy-mm-dd")))&amp;" ESC",SUMPRODUCT(('Daily Checklist'!$D$2:$D$2000=$A56)*(TEXT('Daily Checklist'!$B$2:$B$2000,"yyyy-mm-dd")=TEXT(($B$4+28),"yyyy-mm-dd"))*('Daily Checklist'!$F$2:$F$2000="Done"))&amp;"/"&amp;SUMPRODUCT(('Daily Checklist'!$D$2:$D$2000=$A56)*(TEXT('Daily Checklist'!$B$2:$B$2000,"yyyy-mm-dd")=TEXT(($B$4+28),"yyyy-mm-dd"))))))</f>
        <v/>
      </c>
      <c r="AE56" s="25" t="str">
        <f aca="false">IF($A56="","",IF(SUMPRODUCT(('Daily Checklist'!$D$2:$D$2000=$A56)*(TEXT('Daily Checklist'!$B$2:$B$2000,"yyyy-mm-dd")=TEXT(($B$4+29),"yyyy-mm-dd")))=0,"-",IF(SUMPRODUCT(('Daily Checklist'!$D$2:$D$2000=$A56)*(TEXT('Daily Checklist'!$B$2:$B$2000,"yyyy-mm-dd")=TEXT(($B$4+29),"yyyy-mm-dd"))*('Daily Checklist'!$L$2:$L$2000="Y"))&gt;0,SUMPRODUCT(('Daily Checklist'!$D$2:$D$2000=$A56)*(TEXT('Daily Checklist'!$B$2:$B$2000,"yyyy-mm-dd")=TEXT(($B$4+29),"yyyy-mm-dd"))*('Daily Checklist'!$F$2:$F$2000="Done"))&amp;"/"&amp;SUMPRODUCT(('Daily Checklist'!$D$2:$D$2000=$A56)*(TEXT('Daily Checklist'!$B$2:$B$2000,"yyyy-mm-dd")=TEXT(($B$4+29),"yyyy-mm-dd")))&amp;" ESC",SUMPRODUCT(('Daily Checklist'!$D$2:$D$2000=$A56)*(TEXT('Daily Checklist'!$B$2:$B$2000,"yyyy-mm-dd")=TEXT(($B$4+29),"yyyy-mm-dd"))*('Daily Checklist'!$F$2:$F$2000="Done"))&amp;"/"&amp;SUMPRODUCT(('Daily Checklist'!$D$2:$D$2000=$A56)*(TEXT('Daily Checklist'!$B$2:$B$2000,"yyyy-mm-dd")=TEXT(($B$4+29),"yyyy-mm-dd"))))))</f>
        <v/>
      </c>
      <c r="AF56" s="25" t="str">
        <f aca="false">IF($A56="","",IF(SUMPRODUCT(('Daily Checklist'!$D$2:$D$2000=$A56)*(TEXT('Daily Checklist'!$B$2:$B$2000,"yyyy-mm-dd")=TEXT(($B$4+30),"yyyy-mm-dd")))=0,"-",IF(SUMPRODUCT(('Daily Checklist'!$D$2:$D$2000=$A56)*(TEXT('Daily Checklist'!$B$2:$B$2000,"yyyy-mm-dd")=TEXT(($B$4+30),"yyyy-mm-dd"))*('Daily Checklist'!$L$2:$L$2000="Y"))&gt;0,SUMPRODUCT(('Daily Checklist'!$D$2:$D$2000=$A56)*(TEXT('Daily Checklist'!$B$2:$B$2000,"yyyy-mm-dd")=TEXT(($B$4+30),"yyyy-mm-dd"))*('Daily Checklist'!$F$2:$F$2000="Done"))&amp;"/"&amp;SUMPRODUCT(('Daily Checklist'!$D$2:$D$2000=$A56)*(TEXT('Daily Checklist'!$B$2:$B$2000,"yyyy-mm-dd")=TEXT(($B$4+30),"yyyy-mm-dd")))&amp;" ESC",SUMPRODUCT(('Daily Checklist'!$D$2:$D$2000=$A56)*(TEXT('Daily Checklist'!$B$2:$B$2000,"yyyy-mm-dd")=TEXT(($B$4+30),"yyyy-mm-dd"))*('Daily Checklist'!$F$2:$F$2000="Done"))&amp;"/"&amp;SUMPRODUCT(('Daily Checklist'!$D$2:$D$2000=$A56)*(TEXT('Daily Checklist'!$B$2:$B$2000,"yyyy-mm-dd")=TEXT(($B$4+30),"yyyy-mm-dd"))))))</f>
        <v/>
      </c>
    </row>
    <row r="59" customFormat="false" ht="15" hidden="false" customHeight="true" outlineLevel="0" collapsed="false">
      <c r="A59" s="26" t="s">
        <v>409</v>
      </c>
    </row>
    <row r="60" customFormat="false" ht="15" hidden="false" customHeight="true" outlineLevel="0" collapsed="false">
      <c r="A60" s="27" t="s">
        <v>410</v>
      </c>
      <c r="B60" s="4" t="s">
        <v>411</v>
      </c>
    </row>
    <row r="61" customFormat="false" ht="15" hidden="false" customHeight="true" outlineLevel="0" collapsed="false">
      <c r="A61" s="28" t="s">
        <v>412</v>
      </c>
      <c r="B61" s="4" t="s">
        <v>413</v>
      </c>
    </row>
    <row r="62" customFormat="false" ht="15" hidden="false" customHeight="true" outlineLevel="0" collapsed="false">
      <c r="A62" s="29" t="s">
        <v>414</v>
      </c>
      <c r="B62" s="4" t="s">
        <v>415</v>
      </c>
    </row>
    <row r="63" customFormat="false" ht="15" hidden="false" customHeight="true" outlineLevel="0" collapsed="false">
      <c r="A63" s="30" t="s">
        <v>416</v>
      </c>
      <c r="B63" s="4" t="s">
        <v>417</v>
      </c>
    </row>
    <row r="64" customFormat="false" ht="15" hidden="false" customHeight="true" outlineLevel="0" collapsed="false">
      <c r="A64" s="31" t="s">
        <v>418</v>
      </c>
      <c r="B64" s="4" t="s">
        <v>419</v>
      </c>
    </row>
  </sheetData>
  <conditionalFormatting sqref="B7:AF56">
    <cfRule type="expression" priority="2" aboveAverage="0" equalAverage="0" bottom="0" percent="0" rank="0" text="" dxfId="24">
      <formula>B7="-"</formula>
    </cfRule>
    <cfRule type="expression" priority="3" aboveAverage="0" equalAverage="0" bottom="0" percent="0" rank="0" text="" dxfId="13">
      <formula>ISNUMBER(SEARCH("ESC",B7))</formula>
    </cfRule>
    <cfRule type="expression" priority="4" aboveAverage="0" equalAverage="0" bottom="0" percent="0" rank="0" text="" dxfId="17">
      <formula>AND(NOT(ISNUMBER(SEARCH("ESC",B7))),LEFT(B7,FIND("/",B7&amp;"/")-1)=MID(B7,FIND("/",B7&amp;"/")+1,20),B7&lt;&gt;"-")</formula>
    </cfRule>
    <cfRule type="expression" priority="5" aboveAverage="0" equalAverage="0" bottom="0" percent="0" rank="0" text="" dxfId="18">
      <formula>AND(NOT(ISNUMBER(SEARCH("ESC",B7))),VALUE(LEFT(B7,FIND("/",B7&amp;"/")-1))=0,B7&lt;&gt;"-")</formula>
    </cfRule>
    <cfRule type="expression" priority="6" aboveAverage="0" equalAverage="0" bottom="0" percent="0" rank="0" text="" dxfId="19">
      <formula>AND(NOT(ISNUMBER(SEARCH("ESC",B7))),VALUE(LEFT(B7,FIND("/",B7&amp;"/")-1))&gt;0,B7&lt;&gt;"-",LEFT(B7,FIND("/",B7&amp;"/")-1)&lt;&gt;MID(B7,FIND("/",B7&amp;"/")+1,20))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2"/>
    <col collapsed="false" customWidth="true" hidden="false" outlineLevel="0" max="5" min="4" style="1" width="50"/>
    <col collapsed="false" customWidth="true" hidden="false" outlineLevel="0" max="6" min="6" style="1" width="12"/>
  </cols>
  <sheetData>
    <row r="1" customFormat="false" ht="31.5" hidden="false" customHeight="true" outlineLevel="0" collapsed="false">
      <c r="A1" s="10" t="s">
        <v>420</v>
      </c>
      <c r="B1" s="10" t="s">
        <v>421</v>
      </c>
      <c r="C1" s="10" t="s">
        <v>361</v>
      </c>
      <c r="D1" s="10" t="s">
        <v>422</v>
      </c>
      <c r="E1" s="10" t="s">
        <v>423</v>
      </c>
      <c r="F1" s="10" t="s">
        <v>424</v>
      </c>
      <c r="G1" s="9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5" min="5" style="1" width="38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31.5" hidden="false" customHeight="true" outlineLevel="0" collapsed="false">
      <c r="A1" s="10" t="s">
        <v>426</v>
      </c>
      <c r="B1" s="10" t="s">
        <v>360</v>
      </c>
      <c r="C1" s="10" t="s">
        <v>361</v>
      </c>
      <c r="D1" s="10" t="s">
        <v>80</v>
      </c>
      <c r="E1" s="10" t="s">
        <v>130</v>
      </c>
      <c r="F1" s="10" t="s">
        <v>427</v>
      </c>
      <c r="G1" s="10" t="s">
        <v>428</v>
      </c>
      <c r="H1" s="10" t="s">
        <v>369</v>
      </c>
      <c r="I1" s="10" t="s">
        <v>429</v>
      </c>
      <c r="J1" s="10" t="s">
        <v>430</v>
      </c>
      <c r="K1" s="9" t="s">
        <v>431</v>
      </c>
    </row>
    <row r="2" customFormat="false" ht="15" hidden="false" customHeight="true" outlineLevel="0" collapsed="false">
      <c r="A2" s="32" t="s">
        <v>432</v>
      </c>
      <c r="B2" s="32" t="s">
        <v>433</v>
      </c>
      <c r="C2" s="32" t="s">
        <v>144</v>
      </c>
      <c r="D2" s="32" t="s">
        <v>100</v>
      </c>
      <c r="E2" s="32" t="s">
        <v>160</v>
      </c>
      <c r="F2" s="32" t="s">
        <v>56</v>
      </c>
      <c r="G2" s="32" t="n">
        <v>3</v>
      </c>
      <c r="H2" s="32" t="s">
        <v>387</v>
      </c>
      <c r="I2" s="32" t="s">
        <v>66</v>
      </c>
      <c r="J2" s="32"/>
      <c r="K2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434</v>
      </c>
    </row>
    <row r="3" customFormat="false" ht="15" hidden="false" customHeight="true" outlineLevel="0" collapsed="false">
      <c r="A3" s="26" t="s">
        <v>435</v>
      </c>
      <c r="B3" s="33" t="n">
        <f aca="true">TODAY()</f>
        <v>46276</v>
      </c>
      <c r="D3" s="26" t="s">
        <v>436</v>
      </c>
    </row>
    <row r="4" customFormat="false" ht="15" hidden="false" customHeight="true" outlineLevel="0" collapsed="false">
      <c r="A4" s="26" t="s">
        <v>437</v>
      </c>
      <c r="B4" s="34" t="n">
        <f aca="false">COUNTIFS('Daily Checklist'!B:B,B3)</f>
        <v>0</v>
      </c>
      <c r="D4" s="35" t="s">
        <v>438</v>
      </c>
      <c r="E4" s="4" t="s">
        <v>376</v>
      </c>
    </row>
    <row r="5" customFormat="false" ht="15" hidden="false" customHeight="true" outlineLevel="0" collapsed="false">
      <c r="A5" s="26" t="s">
        <v>376</v>
      </c>
      <c r="B5" s="34" t="n">
        <f aca="false">COUNTIFS('Daily Checklist'!B:B,B3,'Daily Checklist'!F:F,"Done")</f>
        <v>0</v>
      </c>
      <c r="D5" s="36" t="s">
        <v>439</v>
      </c>
      <c r="E5" s="4" t="s">
        <v>440</v>
      </c>
    </row>
    <row r="6" customFormat="false" ht="15" hidden="false" customHeight="true" outlineLevel="0" collapsed="false">
      <c r="A6" s="26" t="s">
        <v>441</v>
      </c>
      <c r="B6" s="34" t="n">
        <f aca="false">COUNTIFS('Daily Checklist'!B:B,B3,'Daily Checklist'!F:F,"Pending",'Daily Checklist'!J:J,0)</f>
        <v>0</v>
      </c>
      <c r="D6" s="37" t="s">
        <v>442</v>
      </c>
      <c r="E6" s="4" t="s">
        <v>443</v>
      </c>
    </row>
    <row r="7" customFormat="false" ht="15" hidden="false" customHeight="true" outlineLevel="0" collapsed="false">
      <c r="A7" s="26" t="s">
        <v>444</v>
      </c>
      <c r="B7" s="34" t="n">
        <f aca="false">COUNTIFS('Daily Checklist'!B:B,B3,'Daily Checklist'!F:F,"Pending",'Daily Checklist'!J:J,"&gt;0")</f>
        <v>0</v>
      </c>
      <c r="D7" s="38" t="s">
        <v>445</v>
      </c>
      <c r="E7" s="4" t="s">
        <v>446</v>
      </c>
    </row>
    <row r="8" customFormat="false" ht="15" hidden="false" customHeight="true" outlineLevel="0" collapsed="false">
      <c r="A8" s="26" t="s">
        <v>446</v>
      </c>
      <c r="B8" s="34" t="n">
        <f aca="false">COUNTIFS('Daily Checklist'!B:B,B3,'Daily Checklist'!F:F,"Not Done")</f>
        <v>0</v>
      </c>
      <c r="D8" s="39" t="s">
        <v>447</v>
      </c>
      <c r="E8" s="4" t="s">
        <v>448</v>
      </c>
    </row>
    <row r="9" customFormat="false" ht="15" hidden="false" customHeight="true" outlineLevel="0" collapsed="false">
      <c r="A9" s="26" t="s">
        <v>448</v>
      </c>
      <c r="B9" s="34" t="n">
        <f aca="false">COUNTIFS('Daily Checklist'!B:B,B3,'Daily Checklist'!L:L,"Y")</f>
        <v>0</v>
      </c>
    </row>
    <row r="10" customFormat="false" ht="15" hidden="false" customHeight="true" outlineLevel="0" collapsed="false">
      <c r="A10" s="26" t="s">
        <v>449</v>
      </c>
      <c r="B10" s="40" t="n">
        <f aca="false">IFERROR(B5/B4,0)</f>
        <v>0</v>
      </c>
    </row>
    <row r="12" customFormat="false" ht="15" hidden="false" customHeight="true" outlineLevel="0" collapsed="false">
      <c r="A12" s="41" t="s">
        <v>450</v>
      </c>
    </row>
    <row r="13" customFormat="false" ht="14.25" hidden="false" customHeight="true" outlineLevel="0" collapsed="false">
      <c r="A13" s="1" t="s">
        <v>451</v>
      </c>
      <c r="B13" s="1" t="n">
        <f aca="false">COUNTIFS('Daily Checklist'!B:B,B3,'Daily Checklist'!F:F,"Not Done",'Daily Checklist'!P:P,"High")</f>
        <v>0</v>
      </c>
    </row>
    <row r="14" customFormat="false" ht="14.25" hidden="false" customHeight="true" outlineLevel="0" collapsed="false">
      <c r="A14" s="1" t="s">
        <v>452</v>
      </c>
      <c r="B14" s="1" t="n">
        <f aca="false">COUNTIFS('Daily Checklist'!B:B,B3,'Daily Checklist'!L:L,"Y",'Daily Checklist'!P:P,"High")</f>
        <v>0</v>
      </c>
    </row>
    <row r="16" customFormat="false" ht="14.25" hidden="false" customHeight="true" outlineLevel="0" collapsed="false">
      <c r="A16" s="9" t="s">
        <v>453</v>
      </c>
      <c r="B16" s="1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42" t="s">
        <v>455</v>
      </c>
    </row>
    <row r="2" customFormat="false" ht="15" hidden="false" customHeight="true" outlineLevel="0" collapsed="false">
      <c r="A2" s="9" t="s">
        <v>456</v>
      </c>
      <c r="B2" s="9" t="s">
        <v>361</v>
      </c>
      <c r="C2" s="9" t="s">
        <v>457</v>
      </c>
      <c r="D2" s="9" t="s">
        <v>458</v>
      </c>
      <c r="E2" s="9" t="s">
        <v>137</v>
      </c>
    </row>
    <row r="3" customFormat="false" ht="15" hidden="false" customHeight="true" outlineLevel="0" collapsed="false">
      <c r="A3" s="8" t="s">
        <v>459</v>
      </c>
      <c r="B3" s="8" t="s">
        <v>460</v>
      </c>
      <c r="C3" s="8" t="s">
        <v>461</v>
      </c>
      <c r="D3" s="8" t="s">
        <v>462</v>
      </c>
      <c r="E3" s="8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42" t="s">
        <v>464</v>
      </c>
    </row>
    <row r="2" customFormat="false" ht="15" hidden="false" customHeight="true" outlineLevel="0" collapsed="false">
      <c r="A2" s="9" t="s">
        <v>465</v>
      </c>
      <c r="B2" s="9" t="s">
        <v>128</v>
      </c>
      <c r="C2" s="9" t="s">
        <v>80</v>
      </c>
      <c r="D2" s="9" t="s">
        <v>466</v>
      </c>
      <c r="E2" s="9" t="s">
        <v>467</v>
      </c>
      <c r="F2" s="9" t="s">
        <v>468</v>
      </c>
      <c r="G2" s="9" t="s">
        <v>469</v>
      </c>
      <c r="H2" s="9" t="s">
        <v>470</v>
      </c>
      <c r="I2" s="9" t="s">
        <v>471</v>
      </c>
    </row>
    <row r="3" customFormat="false" ht="15" hidden="false" customHeight="true" outlineLevel="0" collapsed="false">
      <c r="A3" s="8" t="s">
        <v>472</v>
      </c>
      <c r="B3" s="8" t="s">
        <v>140</v>
      </c>
      <c r="C3" s="8" t="s">
        <v>94</v>
      </c>
      <c r="D3" s="8" t="s">
        <v>473</v>
      </c>
      <c r="E3" s="8" t="s">
        <v>474</v>
      </c>
      <c r="F3" s="8" t="s">
        <v>475</v>
      </c>
      <c r="G3" s="8" t="s">
        <v>56</v>
      </c>
      <c r="H3" s="8" t="s">
        <v>476</v>
      </c>
      <c r="I3" s="8" t="str">
        <f aca="true">IF(AND($D2&lt;=TODAY(),$E2&gt;=TODAY()),"Y","N")</f>
        <v>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42" t="s">
        <v>477</v>
      </c>
    </row>
    <row r="2" customFormat="false" ht="15" hidden="false" customHeight="true" outlineLevel="0" collapsed="false">
      <c r="A2" s="9" t="s">
        <v>478</v>
      </c>
      <c r="B2" s="9" t="s">
        <v>128</v>
      </c>
      <c r="C2" s="9" t="s">
        <v>479</v>
      </c>
      <c r="D2" s="9" t="s">
        <v>480</v>
      </c>
      <c r="E2" s="9" t="s">
        <v>481</v>
      </c>
      <c r="F2" s="9" t="s">
        <v>468</v>
      </c>
      <c r="G2" s="9" t="s">
        <v>482</v>
      </c>
      <c r="H2" s="9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42" t="s">
        <v>483</v>
      </c>
    </row>
    <row r="2" customFormat="false" ht="15" hidden="false" customHeight="true" outlineLevel="0" collapsed="false">
      <c r="A2" s="9" t="s">
        <v>484</v>
      </c>
      <c r="B2" s="9" t="s">
        <v>485</v>
      </c>
      <c r="C2" s="9" t="s">
        <v>486</v>
      </c>
      <c r="D2" s="9" t="s">
        <v>487</v>
      </c>
      <c r="E2" s="9" t="s">
        <v>488</v>
      </c>
      <c r="F2" s="9" t="s">
        <v>489</v>
      </c>
    </row>
    <row r="3" customFormat="false" ht="15" hidden="false" customHeight="true" outlineLevel="0" collapsed="false">
      <c r="A3" s="8" t="s">
        <v>56</v>
      </c>
      <c r="B3" s="8" t="s">
        <v>490</v>
      </c>
      <c r="C3" s="8" t="s">
        <v>491</v>
      </c>
      <c r="D3" s="8" t="s">
        <v>492</v>
      </c>
      <c r="E3" s="8" t="s">
        <v>56</v>
      </c>
      <c r="F3" s="8" t="s">
        <v>404</v>
      </c>
    </row>
    <row r="4" customFormat="false" ht="15" hidden="false" customHeight="true" outlineLevel="0" collapsed="false">
      <c r="A4" s="8" t="s">
        <v>56</v>
      </c>
      <c r="B4" s="8" t="s">
        <v>493</v>
      </c>
      <c r="C4" s="8" t="s">
        <v>494</v>
      </c>
      <c r="D4" s="8" t="s">
        <v>495</v>
      </c>
      <c r="E4" s="8" t="s">
        <v>56</v>
      </c>
      <c r="F4" s="8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A1" s="43" t="s">
        <v>496</v>
      </c>
    </row>
    <row r="3" customFormat="false" ht="15" hidden="false" customHeight="true" outlineLevel="0" collapsed="false">
      <c r="A3" s="9" t="s">
        <v>80</v>
      </c>
      <c r="B3" s="9" t="s">
        <v>497</v>
      </c>
      <c r="C3" s="9" t="s">
        <v>498</v>
      </c>
      <c r="D3" s="9" t="s">
        <v>499</v>
      </c>
      <c r="E3" s="9" t="s">
        <v>500</v>
      </c>
      <c r="F3" s="9" t="s">
        <v>501</v>
      </c>
    </row>
    <row r="4" customFormat="false" ht="15" hidden="false" customHeight="true" outlineLevel="0" collapsed="false">
      <c r="A4" s="1" t="str">
        <f aca="false">IFERROR(IF(Employees!A2="","",Employees!A2),"")</f>
        <v>Yogesh Tomar</v>
      </c>
      <c r="B4" s="44" t="n">
        <f aca="true">IF($A4="","",IFERROR(SUMPRODUCT(('Daily Checklist'!$D$2:$D$2000=$A4)*('Daily Checklist'!$B$2:$B$2000&gt;=TODAY()-6)*('Daily Checklist'!$B$2:$B$2000&lt;=TODAY())*('Daily Checklist'!$F$2:$F$2000="Done"))/SUMPRODUCT(('Daily Checklist'!$D$2:$D$2000=$A4)*('Daily Checklist'!$B$2:$B$2000&gt;=TODAY()-6)*('Daily Checklist'!$B$2:$B$2000&lt;=TODAY())),0))</f>
        <v>0</v>
      </c>
      <c r="C4" s="44" t="n">
        <f aca="true">IF($A4="","",IFERROR(SUMPRODUCT(('Daily Checklist'!$D$2:$D$2000=$A4)*('Daily Checklist'!$B$2:$B$2000&gt;=TODAY()-29)*('Daily Checklist'!$B$2:$B$2000&lt;=TODAY())*('Daily Checklist'!$F$2:$F$2000="Done"))/SUMPRODUCT(('Daily Checklist'!$D$2:$D$2000=$A4)*('Daily Checklist'!$B$2:$B$2000&gt;=TODAY()-29)*('Daily Checklist'!$B$2:$B$2000&lt;=TODAY())),0))</f>
        <v>0</v>
      </c>
      <c r="D4" s="1" t="n">
        <f aca="true">IF($A4="","",SUMPRODUCT(('Escalation Log'!$D$2:$D$500=$A4)*('Escalation Log'!$C$2:$C$500&gt;=TODAY()-29)*('Escalation Log'!$C$2:$C$500&lt;=TODAY())))</f>
        <v>0</v>
      </c>
      <c r="E4" s="1" t="str">
        <f aca="true">IF($A4="","",IF(B4&gt;IFERROR(SUMPRODUCT(('Daily Checklist'!$D$2:$D$2000=$A4)*('Daily Checklist'!$B$2:$B$2000&gt;=TODAY()-13)*('Daily Checklist'!$B$2:$B$2000&lt;=TODAY()-7)*('Daily Checklist'!$F$2:$F$2000="Done"))/SUMPRODUCT(('Daily Checklist'!$D$2:$D$2000=$A4)*('Daily Checklist'!$B$2:$B$2000&gt;=TODAY()-13)*('Daily Checklist'!$B$2:$B$2000&lt;=TODAY()-7)),0),"▲",IF(B4&lt;IFERROR(SUMPRODUCT(('Daily Checklist'!$D$2:$D$2000=$A4)*('Daily Checklist'!$B$2:$B$2000&gt;=TODAY()-13)*('Daily Checklist'!$B$2:$B$2000&lt;=TODAY()-7)*('Daily Checklist'!$F$2:$F$2000="Done"))/SUMPRODUCT(('Daily Checklist'!$D$2:$D$2000=$A4)*('Daily Checklist'!$B$2:$B$2000&gt;=TODAY()-13)*('Daily Checklist'!$B$2:$B$2000&lt;=TODAY()-7)),0),"▼","–")))</f>
        <v>–</v>
      </c>
      <c r="F4" s="1" t="str">
        <f aca="true">IF($A4="","",IF(SUMPRODUCT(('Daily Checklist'!$D$2:$D$2000=$A4)*('Daily Checklist'!$B$2:$B$2000&gt;=TODAY()-29)*('Daily Checklist'!$B$2:$B$2000&lt;=TODAY()))=0,"",IF(OR(B4&lt;0.7,D4&gt;=2),"⚠ Review","")))</f>
        <v/>
      </c>
    </row>
    <row r="5" customFormat="false" ht="15" hidden="false" customHeight="true" outlineLevel="0" collapsed="false">
      <c r="A5" s="1" t="str">
        <f aca="false">IFERROR(IF(Employees!A3="","",Employees!A3),"")</f>
        <v>Santosh Guddu</v>
      </c>
      <c r="B5" s="44" t="n">
        <f aca="true">IF($A5="","",IFERROR(SUMPRODUCT(('Daily Checklist'!$D$2:$D$2000=$A5)*('Daily Checklist'!$B$2:$B$2000&gt;=TODAY()-6)*('Daily Checklist'!$B$2:$B$2000&lt;=TODAY())*('Daily Checklist'!$F$2:$F$2000="Done"))/SUMPRODUCT(('Daily Checklist'!$D$2:$D$2000=$A5)*('Daily Checklist'!$B$2:$B$2000&gt;=TODAY()-6)*('Daily Checklist'!$B$2:$B$2000&lt;=TODAY())),0))</f>
        <v>0</v>
      </c>
      <c r="C5" s="44" t="n">
        <f aca="true">IF($A5="","",IFERROR(SUMPRODUCT(('Daily Checklist'!$D$2:$D$2000=$A5)*('Daily Checklist'!$B$2:$B$2000&gt;=TODAY()-29)*('Daily Checklist'!$B$2:$B$2000&lt;=TODAY())*('Daily Checklist'!$F$2:$F$2000="Done"))/SUMPRODUCT(('Daily Checklist'!$D$2:$D$2000=$A5)*('Daily Checklist'!$B$2:$B$2000&gt;=TODAY()-29)*('Daily Checklist'!$B$2:$B$2000&lt;=TODAY())),0))</f>
        <v>0</v>
      </c>
      <c r="D5" s="1" t="n">
        <f aca="true">IF($A5="","",SUMPRODUCT(('Escalation Log'!$D$2:$D$500=$A5)*('Escalation Log'!$C$2:$C$500&gt;=TODAY()-29)*('Escalation Log'!$C$2:$C$500&lt;=TODAY())))</f>
        <v>0</v>
      </c>
      <c r="E5" s="1" t="str">
        <f aca="true">IF($A5="","",IF(B5&gt;IFERROR(SUMPRODUCT(('Daily Checklist'!$D$2:$D$2000=$A5)*('Daily Checklist'!$B$2:$B$2000&gt;=TODAY()-13)*('Daily Checklist'!$B$2:$B$2000&lt;=TODAY()-7)*('Daily Checklist'!$F$2:$F$2000="Done"))/SUMPRODUCT(('Daily Checklist'!$D$2:$D$2000=$A5)*('Daily Checklist'!$B$2:$B$2000&gt;=TODAY()-13)*('Daily Checklist'!$B$2:$B$2000&lt;=TODAY()-7)),0),"▲",IF(B5&lt;IFERROR(SUMPRODUCT(('Daily Checklist'!$D$2:$D$2000=$A5)*('Daily Checklist'!$B$2:$B$2000&gt;=TODAY()-13)*('Daily Checklist'!$B$2:$B$2000&lt;=TODAY()-7)*('Daily Checklist'!$F$2:$F$2000="Done"))/SUMPRODUCT(('Daily Checklist'!$D$2:$D$2000=$A5)*('Daily Checklist'!$B$2:$B$2000&gt;=TODAY()-13)*('Daily Checklist'!$B$2:$B$2000&lt;=TODAY()-7)),0),"▼","–")))</f>
        <v>–</v>
      </c>
      <c r="F5" s="1" t="str">
        <f aca="true">IF($A5="","",IF(SUMPRODUCT(('Daily Checklist'!$D$2:$D$2000=$A5)*('Daily Checklist'!$B$2:$B$2000&gt;=TODAY()-29)*('Daily Checklist'!$B$2:$B$2000&lt;=TODAY()))=0,"",IF(OR(B5&lt;0.7,D5&gt;=2),"⚠ Review","")))</f>
        <v/>
      </c>
    </row>
    <row r="6" customFormat="false" ht="15" hidden="false" customHeight="true" outlineLevel="0" collapsed="false">
      <c r="A6" s="1" t="str">
        <f aca="false">IFERROR(IF(Employees!A4="","",Employees!A4),"")</f>
        <v>Satish Bhumihar</v>
      </c>
      <c r="B6" s="44" t="n">
        <f aca="true">IF($A6="","",IFERROR(SUMPRODUCT(('Daily Checklist'!$D$2:$D$2000=$A6)*('Daily Checklist'!$B$2:$B$2000&gt;=TODAY()-6)*('Daily Checklist'!$B$2:$B$2000&lt;=TODAY())*('Daily Checklist'!$F$2:$F$2000="Done"))/SUMPRODUCT(('Daily Checklist'!$D$2:$D$2000=$A6)*('Daily Checklist'!$B$2:$B$2000&gt;=TODAY()-6)*('Daily Checklist'!$B$2:$B$2000&lt;=TODAY())),0))</f>
        <v>0</v>
      </c>
      <c r="C6" s="44" t="n">
        <f aca="true">IF($A6="","",IFERROR(SUMPRODUCT(('Daily Checklist'!$D$2:$D$2000=$A6)*('Daily Checklist'!$B$2:$B$2000&gt;=TODAY()-29)*('Daily Checklist'!$B$2:$B$2000&lt;=TODAY())*('Daily Checklist'!$F$2:$F$2000="Done"))/SUMPRODUCT(('Daily Checklist'!$D$2:$D$2000=$A6)*('Daily Checklist'!$B$2:$B$2000&gt;=TODAY()-29)*('Daily Checklist'!$B$2:$B$2000&lt;=TODAY())),0))</f>
        <v>0</v>
      </c>
      <c r="D6" s="1" t="n">
        <f aca="true">IF($A6="","",SUMPRODUCT(('Escalation Log'!$D$2:$D$500=$A6)*('Escalation Log'!$C$2:$C$500&gt;=TODAY()-29)*('Escalation Log'!$C$2:$C$500&lt;=TODAY())))</f>
        <v>0</v>
      </c>
      <c r="E6" s="1" t="str">
        <f aca="true">IF($A6="","",IF(B6&gt;IFERROR(SUMPRODUCT(('Daily Checklist'!$D$2:$D$2000=$A6)*('Daily Checklist'!$B$2:$B$2000&gt;=TODAY()-13)*('Daily Checklist'!$B$2:$B$2000&lt;=TODAY()-7)*('Daily Checklist'!$F$2:$F$2000="Done"))/SUMPRODUCT(('Daily Checklist'!$D$2:$D$2000=$A6)*('Daily Checklist'!$B$2:$B$2000&gt;=TODAY()-13)*('Daily Checklist'!$B$2:$B$2000&lt;=TODAY()-7)),0),"▲",IF(B6&lt;IFERROR(SUMPRODUCT(('Daily Checklist'!$D$2:$D$2000=$A6)*('Daily Checklist'!$B$2:$B$2000&gt;=TODAY()-13)*('Daily Checklist'!$B$2:$B$2000&lt;=TODAY()-7)*('Daily Checklist'!$F$2:$F$2000="Done"))/SUMPRODUCT(('Daily Checklist'!$D$2:$D$2000=$A6)*('Daily Checklist'!$B$2:$B$2000&gt;=TODAY()-13)*('Daily Checklist'!$B$2:$B$2000&lt;=TODAY()-7)),0),"▼","–")))</f>
        <v>–</v>
      </c>
      <c r="F6" s="1" t="str">
        <f aca="true">IF($A6="","",IF(SUMPRODUCT(('Daily Checklist'!$D$2:$D$2000=$A6)*('Daily Checklist'!$B$2:$B$2000&gt;=TODAY()-29)*('Daily Checklist'!$B$2:$B$2000&lt;=TODAY()))=0,"",IF(OR(B6&lt;0.7,D6&gt;=2),"⚠ Review","")))</f>
        <v/>
      </c>
    </row>
    <row r="7" customFormat="false" ht="15" hidden="false" customHeight="true" outlineLevel="0" collapsed="false">
      <c r="A7" s="1" t="str">
        <f aca="false">IFERROR(IF(Employees!A5="","",Employees!A5),"")</f>
        <v>Sushmita Mukherjee</v>
      </c>
      <c r="B7" s="44" t="n">
        <f aca="true">IF($A7="","",IFERROR(SUMPRODUCT(('Daily Checklist'!$D$2:$D$2000=$A7)*('Daily Checklist'!$B$2:$B$2000&gt;=TODAY()-6)*('Daily Checklist'!$B$2:$B$2000&lt;=TODAY())*('Daily Checklist'!$F$2:$F$2000="Done"))/SUMPRODUCT(('Daily Checklist'!$D$2:$D$2000=$A7)*('Daily Checklist'!$B$2:$B$2000&gt;=TODAY()-6)*('Daily Checklist'!$B$2:$B$2000&lt;=TODAY())),0))</f>
        <v>0</v>
      </c>
      <c r="C7" s="44" t="n">
        <f aca="true">IF($A7="","",IFERROR(SUMPRODUCT(('Daily Checklist'!$D$2:$D$2000=$A7)*('Daily Checklist'!$B$2:$B$2000&gt;=TODAY()-29)*('Daily Checklist'!$B$2:$B$2000&lt;=TODAY())*('Daily Checklist'!$F$2:$F$2000="Done"))/SUMPRODUCT(('Daily Checklist'!$D$2:$D$2000=$A7)*('Daily Checklist'!$B$2:$B$2000&gt;=TODAY()-29)*('Daily Checklist'!$B$2:$B$2000&lt;=TODAY())),0))</f>
        <v>0</v>
      </c>
      <c r="D7" s="1" t="n">
        <f aca="true">IF($A7="","",SUMPRODUCT(('Escalation Log'!$D$2:$D$500=$A7)*('Escalation Log'!$C$2:$C$500&gt;=TODAY()-29)*('Escalation Log'!$C$2:$C$500&lt;=TODAY())))</f>
        <v>0</v>
      </c>
      <c r="E7" s="1" t="str">
        <f aca="true">IF($A7="","",IF(B7&gt;IFERROR(SUMPRODUCT(('Daily Checklist'!$D$2:$D$2000=$A7)*('Daily Checklist'!$B$2:$B$2000&gt;=TODAY()-13)*('Daily Checklist'!$B$2:$B$2000&lt;=TODAY()-7)*('Daily Checklist'!$F$2:$F$2000="Done"))/SUMPRODUCT(('Daily Checklist'!$D$2:$D$2000=$A7)*('Daily Checklist'!$B$2:$B$2000&gt;=TODAY()-13)*('Daily Checklist'!$B$2:$B$2000&lt;=TODAY()-7)),0),"▲",IF(B7&lt;IFERROR(SUMPRODUCT(('Daily Checklist'!$D$2:$D$2000=$A7)*('Daily Checklist'!$B$2:$B$2000&gt;=TODAY()-13)*('Daily Checklist'!$B$2:$B$2000&lt;=TODAY()-7)*('Daily Checklist'!$F$2:$F$2000="Done"))/SUMPRODUCT(('Daily Checklist'!$D$2:$D$2000=$A7)*('Daily Checklist'!$B$2:$B$2000&gt;=TODAY()-13)*('Daily Checklist'!$B$2:$B$2000&lt;=TODAY()-7)),0),"▼","–")))</f>
        <v>–</v>
      </c>
      <c r="F7" s="1" t="str">
        <f aca="true">IF($A7="","",IF(SUMPRODUCT(('Daily Checklist'!$D$2:$D$2000=$A7)*('Daily Checklist'!$B$2:$B$2000&gt;=TODAY()-29)*('Daily Checklist'!$B$2:$B$2000&lt;=TODAY()))=0,"",IF(OR(B7&lt;0.7,D7&gt;=2),"⚠ Review","")))</f>
        <v/>
      </c>
    </row>
    <row r="8" customFormat="false" ht="15" hidden="false" customHeight="true" outlineLevel="0" collapsed="false">
      <c r="A8" s="1" t="str">
        <f aca="false">IFERROR(IF(Employees!A6="","",Employees!A6),"")</f>
        <v>Rajeshwar Pandey</v>
      </c>
      <c r="B8" s="44" t="n">
        <f aca="true">IF($A8="","",IFERROR(SUMPRODUCT(('Daily Checklist'!$D$2:$D$2000=$A8)*('Daily Checklist'!$B$2:$B$2000&gt;=TODAY()-6)*('Daily Checklist'!$B$2:$B$2000&lt;=TODAY())*('Daily Checklist'!$F$2:$F$2000="Done"))/SUMPRODUCT(('Daily Checklist'!$D$2:$D$2000=$A8)*('Daily Checklist'!$B$2:$B$2000&gt;=TODAY()-6)*('Daily Checklist'!$B$2:$B$2000&lt;=TODAY())),0))</f>
        <v>0</v>
      </c>
      <c r="C8" s="44" t="n">
        <f aca="true">IF($A8="","",IFERROR(SUMPRODUCT(('Daily Checklist'!$D$2:$D$2000=$A8)*('Daily Checklist'!$B$2:$B$2000&gt;=TODAY()-29)*('Daily Checklist'!$B$2:$B$2000&lt;=TODAY())*('Daily Checklist'!$F$2:$F$2000="Done"))/SUMPRODUCT(('Daily Checklist'!$D$2:$D$2000=$A8)*('Daily Checklist'!$B$2:$B$2000&gt;=TODAY()-29)*('Daily Checklist'!$B$2:$B$2000&lt;=TODAY())),0))</f>
        <v>0</v>
      </c>
      <c r="D8" s="1" t="n">
        <f aca="true">IF($A8="","",SUMPRODUCT(('Escalation Log'!$D$2:$D$500=$A8)*('Escalation Log'!$C$2:$C$500&gt;=TODAY()-29)*('Escalation Log'!$C$2:$C$500&lt;=TODAY())))</f>
        <v>0</v>
      </c>
      <c r="E8" s="1" t="str">
        <f aca="true">IF($A8="","",IF(B8&gt;IFERROR(SUMPRODUCT(('Daily Checklist'!$D$2:$D$2000=$A8)*('Daily Checklist'!$B$2:$B$2000&gt;=TODAY()-13)*('Daily Checklist'!$B$2:$B$2000&lt;=TODAY()-7)*('Daily Checklist'!$F$2:$F$2000="Done"))/SUMPRODUCT(('Daily Checklist'!$D$2:$D$2000=$A8)*('Daily Checklist'!$B$2:$B$2000&gt;=TODAY()-13)*('Daily Checklist'!$B$2:$B$2000&lt;=TODAY()-7)),0),"▲",IF(B8&lt;IFERROR(SUMPRODUCT(('Daily Checklist'!$D$2:$D$2000=$A8)*('Daily Checklist'!$B$2:$B$2000&gt;=TODAY()-13)*('Daily Checklist'!$B$2:$B$2000&lt;=TODAY()-7)*('Daily Checklist'!$F$2:$F$2000="Done"))/SUMPRODUCT(('Daily Checklist'!$D$2:$D$2000=$A8)*('Daily Checklist'!$B$2:$B$2000&gt;=TODAY()-13)*('Daily Checklist'!$B$2:$B$2000&lt;=TODAY()-7)),0),"▼","–")))</f>
        <v>–</v>
      </c>
      <c r="F8" s="1" t="str">
        <f aca="true">IF($A8="","",IF(SUMPRODUCT(('Daily Checklist'!$D$2:$D$2000=$A8)*('Daily Checklist'!$B$2:$B$2000&gt;=TODAY()-29)*('Daily Checklist'!$B$2:$B$2000&lt;=TODAY()))=0,"",IF(OR(B8&lt;0.7,D8&gt;=2),"⚠ Review","")))</f>
        <v/>
      </c>
    </row>
    <row r="9" customFormat="false" ht="15" hidden="false" customHeight="true" outlineLevel="0" collapsed="false">
      <c r="A9" s="1" t="str">
        <f aca="false">IFERROR(IF(Employees!A7="","",Employees!A7),"")</f>
        <v>Aparna Kumari</v>
      </c>
      <c r="B9" s="44" t="n">
        <f aca="true">IF($A9="","",IFERROR(SUMPRODUCT(('Daily Checklist'!$D$2:$D$2000=$A9)*('Daily Checklist'!$B$2:$B$2000&gt;=TODAY()-6)*('Daily Checklist'!$B$2:$B$2000&lt;=TODAY())*('Daily Checklist'!$F$2:$F$2000="Done"))/SUMPRODUCT(('Daily Checklist'!$D$2:$D$2000=$A9)*('Daily Checklist'!$B$2:$B$2000&gt;=TODAY()-6)*('Daily Checklist'!$B$2:$B$2000&lt;=TODAY())),0))</f>
        <v>0</v>
      </c>
      <c r="C9" s="44" t="n">
        <f aca="true">IF($A9="","",IFERROR(SUMPRODUCT(('Daily Checklist'!$D$2:$D$2000=$A9)*('Daily Checklist'!$B$2:$B$2000&gt;=TODAY()-29)*('Daily Checklist'!$B$2:$B$2000&lt;=TODAY())*('Daily Checklist'!$F$2:$F$2000="Done"))/SUMPRODUCT(('Daily Checklist'!$D$2:$D$2000=$A9)*('Daily Checklist'!$B$2:$B$2000&gt;=TODAY()-29)*('Daily Checklist'!$B$2:$B$2000&lt;=TODAY())),0))</f>
        <v>0</v>
      </c>
      <c r="D9" s="1" t="n">
        <f aca="true">IF($A9="","",SUMPRODUCT(('Escalation Log'!$D$2:$D$500=$A9)*('Escalation Log'!$C$2:$C$500&gt;=TODAY()-29)*('Escalation Log'!$C$2:$C$500&lt;=TODAY())))</f>
        <v>0</v>
      </c>
      <c r="E9" s="1" t="str">
        <f aca="true">IF($A9="","",IF(B9&gt;IFERROR(SUMPRODUCT(('Daily Checklist'!$D$2:$D$2000=$A9)*('Daily Checklist'!$B$2:$B$2000&gt;=TODAY()-13)*('Daily Checklist'!$B$2:$B$2000&lt;=TODAY()-7)*('Daily Checklist'!$F$2:$F$2000="Done"))/SUMPRODUCT(('Daily Checklist'!$D$2:$D$2000=$A9)*('Daily Checklist'!$B$2:$B$2000&gt;=TODAY()-13)*('Daily Checklist'!$B$2:$B$2000&lt;=TODAY()-7)),0),"▲",IF(B9&lt;IFERROR(SUMPRODUCT(('Daily Checklist'!$D$2:$D$2000=$A9)*('Daily Checklist'!$B$2:$B$2000&gt;=TODAY()-13)*('Daily Checklist'!$B$2:$B$2000&lt;=TODAY()-7)*('Daily Checklist'!$F$2:$F$2000="Done"))/SUMPRODUCT(('Daily Checklist'!$D$2:$D$2000=$A9)*('Daily Checklist'!$B$2:$B$2000&gt;=TODAY()-13)*('Daily Checklist'!$B$2:$B$2000&lt;=TODAY()-7)),0),"▼","–")))</f>
        <v>–</v>
      </c>
      <c r="F9" s="1" t="str">
        <f aca="true">IF($A9="","",IF(SUMPRODUCT(('Daily Checklist'!$D$2:$D$2000=$A9)*('Daily Checklist'!$B$2:$B$2000&gt;=TODAY()-29)*('Daily Checklist'!$B$2:$B$2000&lt;=TODAY()))=0,"",IF(OR(B9&lt;0.7,D9&gt;=2),"⚠ Review","")))</f>
        <v/>
      </c>
    </row>
    <row r="10" customFormat="false" ht="15" hidden="false" customHeight="true" outlineLevel="0" collapsed="false">
      <c r="A10" s="1" t="str">
        <f aca="false">IFERROR(IF(Employees!A8="","",Employees!A8),"")</f>
        <v>Deb Kumar Nag</v>
      </c>
      <c r="B10" s="44" t="n">
        <f aca="true">IF($A10="","",IFERROR(SUMPRODUCT(('Daily Checklist'!$D$2:$D$2000=$A10)*('Daily Checklist'!$B$2:$B$2000&gt;=TODAY()-6)*('Daily Checklist'!$B$2:$B$2000&lt;=TODAY())*('Daily Checklist'!$F$2:$F$2000="Done"))/SUMPRODUCT(('Daily Checklist'!$D$2:$D$2000=$A10)*('Daily Checklist'!$B$2:$B$2000&gt;=TODAY()-6)*('Daily Checklist'!$B$2:$B$2000&lt;=TODAY())),0))</f>
        <v>0</v>
      </c>
      <c r="C10" s="44" t="n">
        <f aca="true">IF($A10="","",IFERROR(SUMPRODUCT(('Daily Checklist'!$D$2:$D$2000=$A10)*('Daily Checklist'!$B$2:$B$2000&gt;=TODAY()-29)*('Daily Checklist'!$B$2:$B$2000&lt;=TODAY())*('Daily Checklist'!$F$2:$F$2000="Done"))/SUMPRODUCT(('Daily Checklist'!$D$2:$D$2000=$A10)*('Daily Checklist'!$B$2:$B$2000&gt;=TODAY()-29)*('Daily Checklist'!$B$2:$B$2000&lt;=TODAY())),0))</f>
        <v>0</v>
      </c>
      <c r="D10" s="1" t="n">
        <f aca="true">IF($A10="","",SUMPRODUCT(('Escalation Log'!$D$2:$D$500=$A10)*('Escalation Log'!$C$2:$C$500&gt;=TODAY()-29)*('Escalation Log'!$C$2:$C$500&lt;=TODAY())))</f>
        <v>0</v>
      </c>
      <c r="E10" s="1" t="str">
        <f aca="true">IF($A10="","",IF(B10&gt;IFERROR(SUMPRODUCT(('Daily Checklist'!$D$2:$D$2000=$A10)*('Daily Checklist'!$B$2:$B$2000&gt;=TODAY()-13)*('Daily Checklist'!$B$2:$B$2000&lt;=TODAY()-7)*('Daily Checklist'!$F$2:$F$2000="Done"))/SUMPRODUCT(('Daily Checklist'!$D$2:$D$2000=$A10)*('Daily Checklist'!$B$2:$B$2000&gt;=TODAY()-13)*('Daily Checklist'!$B$2:$B$2000&lt;=TODAY()-7)),0),"▲",IF(B10&lt;IFERROR(SUMPRODUCT(('Daily Checklist'!$D$2:$D$2000=$A10)*('Daily Checklist'!$B$2:$B$2000&gt;=TODAY()-13)*('Daily Checklist'!$B$2:$B$2000&lt;=TODAY()-7)*('Daily Checklist'!$F$2:$F$2000="Done"))/SUMPRODUCT(('Daily Checklist'!$D$2:$D$2000=$A10)*('Daily Checklist'!$B$2:$B$2000&gt;=TODAY()-13)*('Daily Checklist'!$B$2:$B$2000&lt;=TODAY()-7)),0),"▼","–")))</f>
        <v>–</v>
      </c>
      <c r="F10" s="1" t="str">
        <f aca="true">IF($A10="","",IF(SUMPRODUCT(('Daily Checklist'!$D$2:$D$2000=$A10)*('Daily Checklist'!$B$2:$B$2000&gt;=TODAY()-29)*('Daily Checklist'!$B$2:$B$2000&lt;=TODAY()))=0,"",IF(OR(B10&lt;0.7,D10&gt;=2),"⚠ Review","")))</f>
        <v/>
      </c>
    </row>
    <row r="11" customFormat="false" ht="15" hidden="false" customHeight="true" outlineLevel="0" collapsed="false">
      <c r="A11" s="1" t="str">
        <f aca="false">IFERROR(IF(Employees!A9="","",Employees!A9),"")</f>
        <v>Pratyush Nanda</v>
      </c>
      <c r="B11" s="44" t="n">
        <f aca="true">IF($A11="","",IFERROR(SUMPRODUCT(('Daily Checklist'!$D$2:$D$2000=$A11)*('Daily Checklist'!$B$2:$B$2000&gt;=TODAY()-6)*('Daily Checklist'!$B$2:$B$2000&lt;=TODAY())*('Daily Checklist'!$F$2:$F$2000="Done"))/SUMPRODUCT(('Daily Checklist'!$D$2:$D$2000=$A11)*('Daily Checklist'!$B$2:$B$2000&gt;=TODAY()-6)*('Daily Checklist'!$B$2:$B$2000&lt;=TODAY())),0))</f>
        <v>0</v>
      </c>
      <c r="C11" s="44" t="n">
        <f aca="true">IF($A11="","",IFERROR(SUMPRODUCT(('Daily Checklist'!$D$2:$D$2000=$A11)*('Daily Checklist'!$B$2:$B$2000&gt;=TODAY()-29)*('Daily Checklist'!$B$2:$B$2000&lt;=TODAY())*('Daily Checklist'!$F$2:$F$2000="Done"))/SUMPRODUCT(('Daily Checklist'!$D$2:$D$2000=$A11)*('Daily Checklist'!$B$2:$B$2000&gt;=TODAY()-29)*('Daily Checklist'!$B$2:$B$2000&lt;=TODAY())),0))</f>
        <v>0</v>
      </c>
      <c r="D11" s="1" t="n">
        <f aca="true">IF($A11="","",SUMPRODUCT(('Escalation Log'!$D$2:$D$500=$A11)*('Escalation Log'!$C$2:$C$500&gt;=TODAY()-29)*('Escalation Log'!$C$2:$C$500&lt;=TODAY())))</f>
        <v>0</v>
      </c>
      <c r="E11" s="1" t="str">
        <f aca="true">IF($A11="","",IF(B11&gt;IFERROR(SUMPRODUCT(('Daily Checklist'!$D$2:$D$2000=$A11)*('Daily Checklist'!$B$2:$B$2000&gt;=TODAY()-13)*('Daily Checklist'!$B$2:$B$2000&lt;=TODAY()-7)*('Daily Checklist'!$F$2:$F$2000="Done"))/SUMPRODUCT(('Daily Checklist'!$D$2:$D$2000=$A11)*('Daily Checklist'!$B$2:$B$2000&gt;=TODAY()-13)*('Daily Checklist'!$B$2:$B$2000&lt;=TODAY()-7)),0),"▲",IF(B11&lt;IFERROR(SUMPRODUCT(('Daily Checklist'!$D$2:$D$2000=$A11)*('Daily Checklist'!$B$2:$B$2000&gt;=TODAY()-13)*('Daily Checklist'!$B$2:$B$2000&lt;=TODAY()-7)*('Daily Checklist'!$F$2:$F$2000="Done"))/SUMPRODUCT(('Daily Checklist'!$D$2:$D$2000=$A11)*('Daily Checklist'!$B$2:$B$2000&gt;=TODAY()-13)*('Daily Checklist'!$B$2:$B$2000&lt;=TODAY()-7)),0),"▼","–")))</f>
        <v>–</v>
      </c>
      <c r="F11" s="1" t="str">
        <f aca="true">IF($A11="","",IF(SUMPRODUCT(('Daily Checklist'!$D$2:$D$2000=$A11)*('Daily Checklist'!$B$2:$B$2000&gt;=TODAY()-29)*('Daily Checklist'!$B$2:$B$2000&lt;=TODAY()))=0,"",IF(OR(B11&lt;0.7,D11&gt;=2),"⚠ Review","")))</f>
        <v/>
      </c>
    </row>
    <row r="12" customFormat="false" ht="15" hidden="false" customHeight="true" outlineLevel="0" collapsed="false">
      <c r="A12" s="1" t="str">
        <f aca="false">IFERROR(IF(Employees!A10="","",Employees!A10),"")</f>
        <v>Om Kumar Choudhury</v>
      </c>
      <c r="B12" s="44" t="n">
        <f aca="true">IF($A12="","",IFERROR(SUMPRODUCT(('Daily Checklist'!$D$2:$D$2000=$A12)*('Daily Checklist'!$B$2:$B$2000&gt;=TODAY()-6)*('Daily Checklist'!$B$2:$B$2000&lt;=TODAY())*('Daily Checklist'!$F$2:$F$2000="Done"))/SUMPRODUCT(('Daily Checklist'!$D$2:$D$2000=$A12)*('Daily Checklist'!$B$2:$B$2000&gt;=TODAY()-6)*('Daily Checklist'!$B$2:$B$2000&lt;=TODAY())),0))</f>
        <v>0</v>
      </c>
      <c r="C12" s="44" t="n">
        <f aca="true">IF($A12="","",IFERROR(SUMPRODUCT(('Daily Checklist'!$D$2:$D$2000=$A12)*('Daily Checklist'!$B$2:$B$2000&gt;=TODAY()-29)*('Daily Checklist'!$B$2:$B$2000&lt;=TODAY())*('Daily Checklist'!$F$2:$F$2000="Done"))/SUMPRODUCT(('Daily Checklist'!$D$2:$D$2000=$A12)*('Daily Checklist'!$B$2:$B$2000&gt;=TODAY()-29)*('Daily Checklist'!$B$2:$B$2000&lt;=TODAY())),0))</f>
        <v>0</v>
      </c>
      <c r="D12" s="1" t="n">
        <f aca="true">IF($A12="","",SUMPRODUCT(('Escalation Log'!$D$2:$D$500=$A12)*('Escalation Log'!$C$2:$C$500&gt;=TODAY()-29)*('Escalation Log'!$C$2:$C$500&lt;=TODAY())))</f>
        <v>0</v>
      </c>
      <c r="E12" s="1" t="str">
        <f aca="true">IF($A12="","",IF(B12&gt;IFERROR(SUMPRODUCT(('Daily Checklist'!$D$2:$D$2000=$A12)*('Daily Checklist'!$B$2:$B$2000&gt;=TODAY()-13)*('Daily Checklist'!$B$2:$B$2000&lt;=TODAY()-7)*('Daily Checklist'!$F$2:$F$2000="Done"))/SUMPRODUCT(('Daily Checklist'!$D$2:$D$2000=$A12)*('Daily Checklist'!$B$2:$B$2000&gt;=TODAY()-13)*('Daily Checklist'!$B$2:$B$2000&lt;=TODAY()-7)),0),"▲",IF(B12&lt;IFERROR(SUMPRODUCT(('Daily Checklist'!$D$2:$D$2000=$A12)*('Daily Checklist'!$B$2:$B$2000&gt;=TODAY()-13)*('Daily Checklist'!$B$2:$B$2000&lt;=TODAY()-7)*('Daily Checklist'!$F$2:$F$2000="Done"))/SUMPRODUCT(('Daily Checklist'!$D$2:$D$2000=$A12)*('Daily Checklist'!$B$2:$B$2000&gt;=TODAY()-13)*('Daily Checklist'!$B$2:$B$2000&lt;=TODAY()-7)),0),"▼","–")))</f>
        <v>–</v>
      </c>
      <c r="F12" s="1" t="str">
        <f aca="true">IF($A12="","",IF(SUMPRODUCT(('Daily Checklist'!$D$2:$D$2000=$A12)*('Daily Checklist'!$B$2:$B$2000&gt;=TODAY()-29)*('Daily Checklist'!$B$2:$B$2000&lt;=TODAY()))=0,"",IF(OR(B12&lt;0.7,D12&gt;=2),"⚠ Review","")))</f>
        <v/>
      </c>
    </row>
    <row r="13" customFormat="false" ht="15" hidden="false" customHeight="true" outlineLevel="0" collapsed="false">
      <c r="A13" s="1" t="str">
        <f aca="false">IFERROR(IF(Employees!A11="","",Employees!A11),"")</f>
        <v>Chandan Kumar</v>
      </c>
      <c r="B13" s="44" t="n">
        <f aca="true">IF($A13="","",IFERROR(SUMPRODUCT(('Daily Checklist'!$D$2:$D$2000=$A13)*('Daily Checklist'!$B$2:$B$2000&gt;=TODAY()-6)*('Daily Checklist'!$B$2:$B$2000&lt;=TODAY())*('Daily Checklist'!$F$2:$F$2000="Done"))/SUMPRODUCT(('Daily Checklist'!$D$2:$D$2000=$A13)*('Daily Checklist'!$B$2:$B$2000&gt;=TODAY()-6)*('Daily Checklist'!$B$2:$B$2000&lt;=TODAY())),0))</f>
        <v>0</v>
      </c>
      <c r="C13" s="44" t="n">
        <f aca="true">IF($A13="","",IFERROR(SUMPRODUCT(('Daily Checklist'!$D$2:$D$2000=$A13)*('Daily Checklist'!$B$2:$B$2000&gt;=TODAY()-29)*('Daily Checklist'!$B$2:$B$2000&lt;=TODAY())*('Daily Checklist'!$F$2:$F$2000="Done"))/SUMPRODUCT(('Daily Checklist'!$D$2:$D$2000=$A13)*('Daily Checklist'!$B$2:$B$2000&gt;=TODAY()-29)*('Daily Checklist'!$B$2:$B$2000&lt;=TODAY())),0))</f>
        <v>0</v>
      </c>
      <c r="D13" s="1" t="n">
        <f aca="true">IF($A13="","",SUMPRODUCT(('Escalation Log'!$D$2:$D$500=$A13)*('Escalation Log'!$C$2:$C$500&gt;=TODAY()-29)*('Escalation Log'!$C$2:$C$500&lt;=TODAY())))</f>
        <v>0</v>
      </c>
      <c r="E13" s="1" t="str">
        <f aca="true">IF($A13="","",IF(B13&gt;IFERROR(SUMPRODUCT(('Daily Checklist'!$D$2:$D$2000=$A13)*('Daily Checklist'!$B$2:$B$2000&gt;=TODAY()-13)*('Daily Checklist'!$B$2:$B$2000&lt;=TODAY()-7)*('Daily Checklist'!$F$2:$F$2000="Done"))/SUMPRODUCT(('Daily Checklist'!$D$2:$D$2000=$A13)*('Daily Checklist'!$B$2:$B$2000&gt;=TODAY()-13)*('Daily Checklist'!$B$2:$B$2000&lt;=TODAY()-7)),0),"▲",IF(B13&lt;IFERROR(SUMPRODUCT(('Daily Checklist'!$D$2:$D$2000=$A13)*('Daily Checklist'!$B$2:$B$2000&gt;=TODAY()-13)*('Daily Checklist'!$B$2:$B$2000&lt;=TODAY()-7)*('Daily Checklist'!$F$2:$F$2000="Done"))/SUMPRODUCT(('Daily Checklist'!$D$2:$D$2000=$A13)*('Daily Checklist'!$B$2:$B$2000&gt;=TODAY()-13)*('Daily Checklist'!$B$2:$B$2000&lt;=TODAY()-7)),0),"▼","–")))</f>
        <v>–</v>
      </c>
      <c r="F13" s="1" t="str">
        <f aca="true">IF($A13="","",IF(SUMPRODUCT(('Daily Checklist'!$D$2:$D$2000=$A13)*('Daily Checklist'!$B$2:$B$2000&gt;=TODAY()-29)*('Daily Checklist'!$B$2:$B$2000&lt;=TODAY()))=0,"",IF(OR(B13&lt;0.7,D13&gt;=2),"⚠ Review","")))</f>
        <v/>
      </c>
    </row>
    <row r="14" customFormat="false" ht="15" hidden="false" customHeight="true" outlineLevel="0" collapsed="false">
      <c r="A14" s="1" t="str">
        <f aca="false">IFERROR(IF(Employees!A12="","",Employees!A12),"")</f>
        <v>Ravi Anand</v>
      </c>
      <c r="B14" s="44" t="n">
        <f aca="true">IF($A14="","",IFERROR(SUMPRODUCT(('Daily Checklist'!$D$2:$D$2000=$A14)*('Daily Checklist'!$B$2:$B$2000&gt;=TODAY()-6)*('Daily Checklist'!$B$2:$B$2000&lt;=TODAY())*('Daily Checklist'!$F$2:$F$2000="Done"))/SUMPRODUCT(('Daily Checklist'!$D$2:$D$2000=$A14)*('Daily Checklist'!$B$2:$B$2000&gt;=TODAY()-6)*('Daily Checklist'!$B$2:$B$2000&lt;=TODAY())),0))</f>
        <v>0</v>
      </c>
      <c r="C14" s="44" t="n">
        <f aca="true">IF($A14="","",IFERROR(SUMPRODUCT(('Daily Checklist'!$D$2:$D$2000=$A14)*('Daily Checklist'!$B$2:$B$2000&gt;=TODAY()-29)*('Daily Checklist'!$B$2:$B$2000&lt;=TODAY())*('Daily Checklist'!$F$2:$F$2000="Done"))/SUMPRODUCT(('Daily Checklist'!$D$2:$D$2000=$A14)*('Daily Checklist'!$B$2:$B$2000&gt;=TODAY()-29)*('Daily Checklist'!$B$2:$B$2000&lt;=TODAY())),0))</f>
        <v>0</v>
      </c>
      <c r="D14" s="1" t="n">
        <f aca="true">IF($A14="","",SUMPRODUCT(('Escalation Log'!$D$2:$D$500=$A14)*('Escalation Log'!$C$2:$C$500&gt;=TODAY()-29)*('Escalation Log'!$C$2:$C$500&lt;=TODAY())))</f>
        <v>0</v>
      </c>
      <c r="E14" s="1" t="str">
        <f aca="true">IF($A14="","",IF(B14&gt;IFERROR(SUMPRODUCT(('Daily Checklist'!$D$2:$D$2000=$A14)*('Daily Checklist'!$B$2:$B$2000&gt;=TODAY()-13)*('Daily Checklist'!$B$2:$B$2000&lt;=TODAY()-7)*('Daily Checklist'!$F$2:$F$2000="Done"))/SUMPRODUCT(('Daily Checklist'!$D$2:$D$2000=$A14)*('Daily Checklist'!$B$2:$B$2000&gt;=TODAY()-13)*('Daily Checklist'!$B$2:$B$2000&lt;=TODAY()-7)),0),"▲",IF(B14&lt;IFERROR(SUMPRODUCT(('Daily Checklist'!$D$2:$D$2000=$A14)*('Daily Checklist'!$B$2:$B$2000&gt;=TODAY()-13)*('Daily Checklist'!$B$2:$B$2000&lt;=TODAY()-7)*('Daily Checklist'!$F$2:$F$2000="Done"))/SUMPRODUCT(('Daily Checklist'!$D$2:$D$2000=$A14)*('Daily Checklist'!$B$2:$B$2000&gt;=TODAY()-13)*('Daily Checklist'!$B$2:$B$2000&lt;=TODAY()-7)),0),"▼","–")))</f>
        <v>–</v>
      </c>
      <c r="F14" s="1" t="str">
        <f aca="true">IF($A14="","",IF(SUMPRODUCT(('Daily Checklist'!$D$2:$D$2000=$A14)*('Daily Checklist'!$B$2:$B$2000&gt;=TODAY()-29)*('Daily Checklist'!$B$2:$B$2000&lt;=TODAY()))=0,"",IF(OR(B14&lt;0.7,D14&gt;=2),"⚠ Review","")))</f>
        <v/>
      </c>
    </row>
    <row r="15" customFormat="false" ht="15" hidden="false" customHeight="true" outlineLevel="0" collapsed="false">
      <c r="A15" s="1" t="str">
        <f aca="false">IFERROR(IF(Employees!A13="","",Employees!A13),"")</f>
        <v>Shahin Sheikh</v>
      </c>
      <c r="B15" s="44" t="n">
        <f aca="true">IF($A15="","",IFERROR(SUMPRODUCT(('Daily Checklist'!$D$2:$D$2000=$A15)*('Daily Checklist'!$B$2:$B$2000&gt;=TODAY()-6)*('Daily Checklist'!$B$2:$B$2000&lt;=TODAY())*('Daily Checklist'!$F$2:$F$2000="Done"))/SUMPRODUCT(('Daily Checklist'!$D$2:$D$2000=$A15)*('Daily Checklist'!$B$2:$B$2000&gt;=TODAY()-6)*('Daily Checklist'!$B$2:$B$2000&lt;=TODAY())),0))</f>
        <v>0</v>
      </c>
      <c r="C15" s="44" t="n">
        <f aca="true">IF($A15="","",IFERROR(SUMPRODUCT(('Daily Checklist'!$D$2:$D$2000=$A15)*('Daily Checklist'!$B$2:$B$2000&gt;=TODAY()-29)*('Daily Checklist'!$B$2:$B$2000&lt;=TODAY())*('Daily Checklist'!$F$2:$F$2000="Done"))/SUMPRODUCT(('Daily Checklist'!$D$2:$D$2000=$A15)*('Daily Checklist'!$B$2:$B$2000&gt;=TODAY()-29)*('Daily Checklist'!$B$2:$B$2000&lt;=TODAY())),0))</f>
        <v>0</v>
      </c>
      <c r="D15" s="1" t="n">
        <f aca="true">IF($A15="","",SUMPRODUCT(('Escalation Log'!$D$2:$D$500=$A15)*('Escalation Log'!$C$2:$C$500&gt;=TODAY()-29)*('Escalation Log'!$C$2:$C$500&lt;=TODAY())))</f>
        <v>0</v>
      </c>
      <c r="E15" s="1" t="str">
        <f aca="true">IF($A15="","",IF(B15&gt;IFERROR(SUMPRODUCT(('Daily Checklist'!$D$2:$D$2000=$A15)*('Daily Checklist'!$B$2:$B$2000&gt;=TODAY()-13)*('Daily Checklist'!$B$2:$B$2000&lt;=TODAY()-7)*('Daily Checklist'!$F$2:$F$2000="Done"))/SUMPRODUCT(('Daily Checklist'!$D$2:$D$2000=$A15)*('Daily Checklist'!$B$2:$B$2000&gt;=TODAY()-13)*('Daily Checklist'!$B$2:$B$2000&lt;=TODAY()-7)),0),"▲",IF(B15&lt;IFERROR(SUMPRODUCT(('Daily Checklist'!$D$2:$D$2000=$A15)*('Daily Checklist'!$B$2:$B$2000&gt;=TODAY()-13)*('Daily Checklist'!$B$2:$B$2000&lt;=TODAY()-7)*('Daily Checklist'!$F$2:$F$2000="Done"))/SUMPRODUCT(('Daily Checklist'!$D$2:$D$2000=$A15)*('Daily Checklist'!$B$2:$B$2000&gt;=TODAY()-13)*('Daily Checklist'!$B$2:$B$2000&lt;=TODAY()-7)),0),"▼","–")))</f>
        <v>–</v>
      </c>
      <c r="F15" s="1" t="str">
        <f aca="true">IF($A15="","",IF(SUMPRODUCT(('Daily Checklist'!$D$2:$D$2000=$A15)*('Daily Checklist'!$B$2:$B$2000&gt;=TODAY()-29)*('Daily Checklist'!$B$2:$B$2000&lt;=TODAY()))=0,"",IF(OR(B15&lt;0.7,D15&gt;=2),"⚠ Review","")))</f>
        <v/>
      </c>
    </row>
    <row r="16" customFormat="false" ht="15" hidden="false" customHeight="true" outlineLevel="0" collapsed="false">
      <c r="A16" s="1" t="str">
        <f aca="false">IFERROR(IF(Employees!A14="","",Employees!A14),"")</f>
        <v>Mobin Ansari</v>
      </c>
      <c r="B16" s="44" t="n">
        <f aca="true">IF($A16="","",IFERROR(SUMPRODUCT(('Daily Checklist'!$D$2:$D$2000=$A16)*('Daily Checklist'!$B$2:$B$2000&gt;=TODAY()-6)*('Daily Checklist'!$B$2:$B$2000&lt;=TODAY())*('Daily Checklist'!$F$2:$F$2000="Done"))/SUMPRODUCT(('Daily Checklist'!$D$2:$D$2000=$A16)*('Daily Checklist'!$B$2:$B$2000&gt;=TODAY()-6)*('Daily Checklist'!$B$2:$B$2000&lt;=TODAY())),0))</f>
        <v>0</v>
      </c>
      <c r="C16" s="44" t="n">
        <f aca="true">IF($A16="","",IFERROR(SUMPRODUCT(('Daily Checklist'!$D$2:$D$2000=$A16)*('Daily Checklist'!$B$2:$B$2000&gt;=TODAY()-29)*('Daily Checklist'!$B$2:$B$2000&lt;=TODAY())*('Daily Checklist'!$F$2:$F$2000="Done"))/SUMPRODUCT(('Daily Checklist'!$D$2:$D$2000=$A16)*('Daily Checklist'!$B$2:$B$2000&gt;=TODAY()-29)*('Daily Checklist'!$B$2:$B$2000&lt;=TODAY())),0))</f>
        <v>0</v>
      </c>
      <c r="D16" s="1" t="n">
        <f aca="true">IF($A16="","",SUMPRODUCT(('Escalation Log'!$D$2:$D$500=$A16)*('Escalation Log'!$C$2:$C$500&gt;=TODAY()-29)*('Escalation Log'!$C$2:$C$500&lt;=TODAY())))</f>
        <v>0</v>
      </c>
      <c r="E16" s="1" t="str">
        <f aca="true">IF($A16="","",IF(B16&gt;IFERROR(SUMPRODUCT(('Daily Checklist'!$D$2:$D$2000=$A16)*('Daily Checklist'!$B$2:$B$2000&gt;=TODAY()-13)*('Daily Checklist'!$B$2:$B$2000&lt;=TODAY()-7)*('Daily Checklist'!$F$2:$F$2000="Done"))/SUMPRODUCT(('Daily Checklist'!$D$2:$D$2000=$A16)*('Daily Checklist'!$B$2:$B$2000&gt;=TODAY()-13)*('Daily Checklist'!$B$2:$B$2000&lt;=TODAY()-7)),0),"▲",IF(B16&lt;IFERROR(SUMPRODUCT(('Daily Checklist'!$D$2:$D$2000=$A16)*('Daily Checklist'!$B$2:$B$2000&gt;=TODAY()-13)*('Daily Checklist'!$B$2:$B$2000&lt;=TODAY()-7)*('Daily Checklist'!$F$2:$F$2000="Done"))/SUMPRODUCT(('Daily Checklist'!$D$2:$D$2000=$A16)*('Daily Checklist'!$B$2:$B$2000&gt;=TODAY()-13)*('Daily Checklist'!$B$2:$B$2000&lt;=TODAY()-7)),0),"▼","–")))</f>
        <v>–</v>
      </c>
      <c r="F16" s="1" t="str">
        <f aca="true">IF($A16="","",IF(SUMPRODUCT(('Daily Checklist'!$D$2:$D$2000=$A16)*('Daily Checklist'!$B$2:$B$2000&gt;=TODAY()-29)*('Daily Checklist'!$B$2:$B$2000&lt;=TODAY()))=0,"",IF(OR(B16&lt;0.7,D16&gt;=2),"⚠ Review","")))</f>
        <v/>
      </c>
    </row>
    <row r="17" customFormat="false" ht="15" hidden="false" customHeight="true" outlineLevel="0" collapsed="false">
      <c r="A17" s="1" t="str">
        <f aca="false">IFERROR(IF(Employees!A15="","",Employees!A15),"")</f>
        <v/>
      </c>
      <c r="B17" s="44" t="str">
        <f aca="true">IF($A17="","",IFERROR(SUMPRODUCT(('Daily Checklist'!$D$2:$D$2000=$A17)*('Daily Checklist'!$B$2:$B$2000&gt;=TODAY()-6)*('Daily Checklist'!$B$2:$B$2000&lt;=TODAY())*('Daily Checklist'!$F$2:$F$2000="Done"))/SUMPRODUCT(('Daily Checklist'!$D$2:$D$2000=$A17)*('Daily Checklist'!$B$2:$B$2000&gt;=TODAY()-6)*('Daily Checklist'!$B$2:$B$2000&lt;=TODAY())),0))</f>
        <v/>
      </c>
      <c r="C17" s="44" t="str">
        <f aca="true">IF($A17="","",IFERROR(SUMPRODUCT(('Daily Checklist'!$D$2:$D$2000=$A17)*('Daily Checklist'!$B$2:$B$2000&gt;=TODAY()-29)*('Daily Checklist'!$B$2:$B$2000&lt;=TODAY())*('Daily Checklist'!$F$2:$F$2000="Done"))/SUMPRODUCT(('Daily Checklist'!$D$2:$D$2000=$A17)*('Daily Checklist'!$B$2:$B$2000&gt;=TODAY()-29)*('Daily Checklist'!$B$2:$B$2000&lt;=TODAY())),0))</f>
        <v/>
      </c>
      <c r="D17" s="1" t="str">
        <f aca="true">IF($A17="","",SUMPRODUCT(('Escalation Log'!$D$2:$D$500=$A17)*('Escalation Log'!$C$2:$C$500&gt;=TODAY()-29)*('Escalation Log'!$C$2:$C$500&lt;=TODAY())))</f>
        <v/>
      </c>
      <c r="E17" s="1" t="str">
        <f aca="true">IF($A17="","",IF(B17&gt;IFERROR(SUMPRODUCT(('Daily Checklist'!$D$2:$D$2000=$A17)*('Daily Checklist'!$B$2:$B$2000&gt;=TODAY()-13)*('Daily Checklist'!$B$2:$B$2000&lt;=TODAY()-7)*('Daily Checklist'!$F$2:$F$2000="Done"))/SUMPRODUCT(('Daily Checklist'!$D$2:$D$2000=$A17)*('Daily Checklist'!$B$2:$B$2000&gt;=TODAY()-13)*('Daily Checklist'!$B$2:$B$2000&lt;=TODAY()-7)),0),"▲",IF(B17&lt;IFERROR(SUMPRODUCT(('Daily Checklist'!$D$2:$D$2000=$A17)*('Daily Checklist'!$B$2:$B$2000&gt;=TODAY()-13)*('Daily Checklist'!$B$2:$B$2000&lt;=TODAY()-7)*('Daily Checklist'!$F$2:$F$2000="Done"))/SUMPRODUCT(('Daily Checklist'!$D$2:$D$2000=$A17)*('Daily Checklist'!$B$2:$B$2000&gt;=TODAY()-13)*('Daily Checklist'!$B$2:$B$2000&lt;=TODAY()-7)),0),"▼","–")))</f>
        <v/>
      </c>
      <c r="F17" s="1" t="str">
        <f aca="true">IF($A17="","",IF(SUMPRODUCT(('Daily Checklist'!$D$2:$D$2000=$A17)*('Daily Checklist'!$B$2:$B$2000&gt;=TODAY()-29)*('Daily Checklist'!$B$2:$B$2000&lt;=TODAY()))=0,"",IF(OR(B17&lt;0.7,D17&gt;=2),"⚠ Review","")))</f>
        <v/>
      </c>
    </row>
    <row r="18" customFormat="false" ht="15" hidden="false" customHeight="true" outlineLevel="0" collapsed="false">
      <c r="A18" s="1" t="str">
        <f aca="false">IFERROR(IF(Employees!A16="","",Employees!A16),"")</f>
        <v/>
      </c>
      <c r="B18" s="44" t="str">
        <f aca="true">IF($A18="","",IFERROR(SUMPRODUCT(('Daily Checklist'!$D$2:$D$2000=$A18)*('Daily Checklist'!$B$2:$B$2000&gt;=TODAY()-6)*('Daily Checklist'!$B$2:$B$2000&lt;=TODAY())*('Daily Checklist'!$F$2:$F$2000="Done"))/SUMPRODUCT(('Daily Checklist'!$D$2:$D$2000=$A18)*('Daily Checklist'!$B$2:$B$2000&gt;=TODAY()-6)*('Daily Checklist'!$B$2:$B$2000&lt;=TODAY())),0))</f>
        <v/>
      </c>
      <c r="C18" s="44" t="str">
        <f aca="true">IF($A18="","",IFERROR(SUMPRODUCT(('Daily Checklist'!$D$2:$D$2000=$A18)*('Daily Checklist'!$B$2:$B$2000&gt;=TODAY()-29)*('Daily Checklist'!$B$2:$B$2000&lt;=TODAY())*('Daily Checklist'!$F$2:$F$2000="Done"))/SUMPRODUCT(('Daily Checklist'!$D$2:$D$2000=$A18)*('Daily Checklist'!$B$2:$B$2000&gt;=TODAY()-29)*('Daily Checklist'!$B$2:$B$2000&lt;=TODAY())),0))</f>
        <v/>
      </c>
      <c r="D18" s="1" t="str">
        <f aca="true">IF($A18="","",SUMPRODUCT(('Escalation Log'!$D$2:$D$500=$A18)*('Escalation Log'!$C$2:$C$500&gt;=TODAY()-29)*('Escalation Log'!$C$2:$C$500&lt;=TODAY())))</f>
        <v/>
      </c>
      <c r="E18" s="1" t="str">
        <f aca="true">IF($A18="","",IF(B18&gt;IFERROR(SUMPRODUCT(('Daily Checklist'!$D$2:$D$2000=$A18)*('Daily Checklist'!$B$2:$B$2000&gt;=TODAY()-13)*('Daily Checklist'!$B$2:$B$2000&lt;=TODAY()-7)*('Daily Checklist'!$F$2:$F$2000="Done"))/SUMPRODUCT(('Daily Checklist'!$D$2:$D$2000=$A18)*('Daily Checklist'!$B$2:$B$2000&gt;=TODAY()-13)*('Daily Checklist'!$B$2:$B$2000&lt;=TODAY()-7)),0),"▲",IF(B18&lt;IFERROR(SUMPRODUCT(('Daily Checklist'!$D$2:$D$2000=$A18)*('Daily Checklist'!$B$2:$B$2000&gt;=TODAY()-13)*('Daily Checklist'!$B$2:$B$2000&lt;=TODAY()-7)*('Daily Checklist'!$F$2:$F$2000="Done"))/SUMPRODUCT(('Daily Checklist'!$D$2:$D$2000=$A18)*('Daily Checklist'!$B$2:$B$2000&gt;=TODAY()-13)*('Daily Checklist'!$B$2:$B$2000&lt;=TODAY()-7)),0),"▼","–")))</f>
        <v/>
      </c>
      <c r="F18" s="1" t="str">
        <f aca="true">IF($A18="","",IF(SUMPRODUCT(('Daily Checklist'!$D$2:$D$2000=$A18)*('Daily Checklist'!$B$2:$B$2000&gt;=TODAY()-29)*('Daily Checklist'!$B$2:$B$2000&lt;=TODAY()))=0,"",IF(OR(B18&lt;0.7,D18&gt;=2),"⚠ Review","")))</f>
        <v/>
      </c>
    </row>
    <row r="19" customFormat="false" ht="15" hidden="false" customHeight="true" outlineLevel="0" collapsed="false">
      <c r="A19" s="1" t="str">
        <f aca="false">IFERROR(IF(Employees!A17="","",Employees!A17),"")</f>
        <v/>
      </c>
      <c r="B19" s="44" t="str">
        <f aca="true">IF($A19="","",IFERROR(SUMPRODUCT(('Daily Checklist'!$D$2:$D$2000=$A19)*('Daily Checklist'!$B$2:$B$2000&gt;=TODAY()-6)*('Daily Checklist'!$B$2:$B$2000&lt;=TODAY())*('Daily Checklist'!$F$2:$F$2000="Done"))/SUMPRODUCT(('Daily Checklist'!$D$2:$D$2000=$A19)*('Daily Checklist'!$B$2:$B$2000&gt;=TODAY()-6)*('Daily Checklist'!$B$2:$B$2000&lt;=TODAY())),0))</f>
        <v/>
      </c>
      <c r="C19" s="44" t="str">
        <f aca="true">IF($A19="","",IFERROR(SUMPRODUCT(('Daily Checklist'!$D$2:$D$2000=$A19)*('Daily Checklist'!$B$2:$B$2000&gt;=TODAY()-29)*('Daily Checklist'!$B$2:$B$2000&lt;=TODAY())*('Daily Checklist'!$F$2:$F$2000="Done"))/SUMPRODUCT(('Daily Checklist'!$D$2:$D$2000=$A19)*('Daily Checklist'!$B$2:$B$2000&gt;=TODAY()-29)*('Daily Checklist'!$B$2:$B$2000&lt;=TODAY())),0))</f>
        <v/>
      </c>
      <c r="D19" s="1" t="str">
        <f aca="true">IF($A19="","",SUMPRODUCT(('Escalation Log'!$D$2:$D$500=$A19)*('Escalation Log'!$C$2:$C$500&gt;=TODAY()-29)*('Escalation Log'!$C$2:$C$500&lt;=TODAY())))</f>
        <v/>
      </c>
      <c r="E19" s="1" t="str">
        <f aca="true">IF($A19="","",IF(B19&gt;IFERROR(SUMPRODUCT(('Daily Checklist'!$D$2:$D$2000=$A19)*('Daily Checklist'!$B$2:$B$2000&gt;=TODAY()-13)*('Daily Checklist'!$B$2:$B$2000&lt;=TODAY()-7)*('Daily Checklist'!$F$2:$F$2000="Done"))/SUMPRODUCT(('Daily Checklist'!$D$2:$D$2000=$A19)*('Daily Checklist'!$B$2:$B$2000&gt;=TODAY()-13)*('Daily Checklist'!$B$2:$B$2000&lt;=TODAY()-7)),0),"▲",IF(B19&lt;IFERROR(SUMPRODUCT(('Daily Checklist'!$D$2:$D$2000=$A19)*('Daily Checklist'!$B$2:$B$2000&gt;=TODAY()-13)*('Daily Checklist'!$B$2:$B$2000&lt;=TODAY()-7)*('Daily Checklist'!$F$2:$F$2000="Done"))/SUMPRODUCT(('Daily Checklist'!$D$2:$D$2000=$A19)*('Daily Checklist'!$B$2:$B$2000&gt;=TODAY()-13)*('Daily Checklist'!$B$2:$B$2000&lt;=TODAY()-7)),0),"▼","–")))</f>
        <v/>
      </c>
      <c r="F19" s="1" t="str">
        <f aca="true">IF($A19="","",IF(SUMPRODUCT(('Daily Checklist'!$D$2:$D$2000=$A19)*('Daily Checklist'!$B$2:$B$2000&gt;=TODAY()-29)*('Daily Checklist'!$B$2:$B$2000&lt;=TODAY()))=0,"",IF(OR(B19&lt;0.7,D19&gt;=2),"⚠ Review","")))</f>
        <v/>
      </c>
    </row>
    <row r="20" customFormat="false" ht="15" hidden="false" customHeight="true" outlineLevel="0" collapsed="false">
      <c r="A20" s="1" t="str">
        <f aca="false">IFERROR(IF(Employees!A18="","",Employees!A18),"")</f>
        <v/>
      </c>
      <c r="B20" s="44" t="str">
        <f aca="true">IF($A20="","",IFERROR(SUMPRODUCT(('Daily Checklist'!$D$2:$D$2000=$A20)*('Daily Checklist'!$B$2:$B$2000&gt;=TODAY()-6)*('Daily Checklist'!$B$2:$B$2000&lt;=TODAY())*('Daily Checklist'!$F$2:$F$2000="Done"))/SUMPRODUCT(('Daily Checklist'!$D$2:$D$2000=$A20)*('Daily Checklist'!$B$2:$B$2000&gt;=TODAY()-6)*('Daily Checklist'!$B$2:$B$2000&lt;=TODAY())),0))</f>
        <v/>
      </c>
      <c r="C20" s="44" t="str">
        <f aca="true">IF($A20="","",IFERROR(SUMPRODUCT(('Daily Checklist'!$D$2:$D$2000=$A20)*('Daily Checklist'!$B$2:$B$2000&gt;=TODAY()-29)*('Daily Checklist'!$B$2:$B$2000&lt;=TODAY())*('Daily Checklist'!$F$2:$F$2000="Done"))/SUMPRODUCT(('Daily Checklist'!$D$2:$D$2000=$A20)*('Daily Checklist'!$B$2:$B$2000&gt;=TODAY()-29)*('Daily Checklist'!$B$2:$B$2000&lt;=TODAY())),0))</f>
        <v/>
      </c>
      <c r="D20" s="1" t="str">
        <f aca="true">IF($A20="","",SUMPRODUCT(('Escalation Log'!$D$2:$D$500=$A20)*('Escalation Log'!$C$2:$C$500&gt;=TODAY()-29)*('Escalation Log'!$C$2:$C$500&lt;=TODAY())))</f>
        <v/>
      </c>
      <c r="E20" s="1" t="str">
        <f aca="true">IF($A20="","",IF(B20&gt;IFERROR(SUMPRODUCT(('Daily Checklist'!$D$2:$D$2000=$A20)*('Daily Checklist'!$B$2:$B$2000&gt;=TODAY()-13)*('Daily Checklist'!$B$2:$B$2000&lt;=TODAY()-7)*('Daily Checklist'!$F$2:$F$2000="Done"))/SUMPRODUCT(('Daily Checklist'!$D$2:$D$2000=$A20)*('Daily Checklist'!$B$2:$B$2000&gt;=TODAY()-13)*('Daily Checklist'!$B$2:$B$2000&lt;=TODAY()-7)),0),"▲",IF(B20&lt;IFERROR(SUMPRODUCT(('Daily Checklist'!$D$2:$D$2000=$A20)*('Daily Checklist'!$B$2:$B$2000&gt;=TODAY()-13)*('Daily Checklist'!$B$2:$B$2000&lt;=TODAY()-7)*('Daily Checklist'!$F$2:$F$2000="Done"))/SUMPRODUCT(('Daily Checklist'!$D$2:$D$2000=$A20)*('Daily Checklist'!$B$2:$B$2000&gt;=TODAY()-13)*('Daily Checklist'!$B$2:$B$2000&lt;=TODAY()-7)),0),"▼","–")))</f>
        <v/>
      </c>
      <c r="F20" s="1" t="str">
        <f aca="true">IF($A20="","",IF(SUMPRODUCT(('Daily Checklist'!$D$2:$D$2000=$A20)*('Daily Checklist'!$B$2:$B$2000&gt;=TODAY()-29)*('Daily Checklist'!$B$2:$B$2000&lt;=TODAY()))=0,"",IF(OR(B20&lt;0.7,D20&gt;=2),"⚠ Review","")))</f>
        <v/>
      </c>
    </row>
    <row r="21" customFormat="false" ht="15" hidden="false" customHeight="true" outlineLevel="0" collapsed="false">
      <c r="A21" s="1" t="str">
        <f aca="false">IFERROR(IF(Employees!A19="","",Employees!A19),"")</f>
        <v/>
      </c>
      <c r="B21" s="44" t="str">
        <f aca="true">IF($A21="","",IFERROR(SUMPRODUCT(('Daily Checklist'!$D$2:$D$2000=$A21)*('Daily Checklist'!$B$2:$B$2000&gt;=TODAY()-6)*('Daily Checklist'!$B$2:$B$2000&lt;=TODAY())*('Daily Checklist'!$F$2:$F$2000="Done"))/SUMPRODUCT(('Daily Checklist'!$D$2:$D$2000=$A21)*('Daily Checklist'!$B$2:$B$2000&gt;=TODAY()-6)*('Daily Checklist'!$B$2:$B$2000&lt;=TODAY())),0))</f>
        <v/>
      </c>
      <c r="C21" s="44" t="str">
        <f aca="true">IF($A21="","",IFERROR(SUMPRODUCT(('Daily Checklist'!$D$2:$D$2000=$A21)*('Daily Checklist'!$B$2:$B$2000&gt;=TODAY()-29)*('Daily Checklist'!$B$2:$B$2000&lt;=TODAY())*('Daily Checklist'!$F$2:$F$2000="Done"))/SUMPRODUCT(('Daily Checklist'!$D$2:$D$2000=$A21)*('Daily Checklist'!$B$2:$B$2000&gt;=TODAY()-29)*('Daily Checklist'!$B$2:$B$2000&lt;=TODAY())),0))</f>
        <v/>
      </c>
      <c r="D21" s="1" t="str">
        <f aca="true">IF($A21="","",SUMPRODUCT(('Escalation Log'!$D$2:$D$500=$A21)*('Escalation Log'!$C$2:$C$500&gt;=TODAY()-29)*('Escalation Log'!$C$2:$C$500&lt;=TODAY())))</f>
        <v/>
      </c>
      <c r="E21" s="1" t="str">
        <f aca="true">IF($A21="","",IF(B21&gt;IFERROR(SUMPRODUCT(('Daily Checklist'!$D$2:$D$2000=$A21)*('Daily Checklist'!$B$2:$B$2000&gt;=TODAY()-13)*('Daily Checklist'!$B$2:$B$2000&lt;=TODAY()-7)*('Daily Checklist'!$F$2:$F$2000="Done"))/SUMPRODUCT(('Daily Checklist'!$D$2:$D$2000=$A21)*('Daily Checklist'!$B$2:$B$2000&gt;=TODAY()-13)*('Daily Checklist'!$B$2:$B$2000&lt;=TODAY()-7)),0),"▲",IF(B21&lt;IFERROR(SUMPRODUCT(('Daily Checklist'!$D$2:$D$2000=$A21)*('Daily Checklist'!$B$2:$B$2000&gt;=TODAY()-13)*('Daily Checklist'!$B$2:$B$2000&lt;=TODAY()-7)*('Daily Checklist'!$F$2:$F$2000="Done"))/SUMPRODUCT(('Daily Checklist'!$D$2:$D$2000=$A21)*('Daily Checklist'!$B$2:$B$2000&gt;=TODAY()-13)*('Daily Checklist'!$B$2:$B$2000&lt;=TODAY()-7)),0),"▼","–")))</f>
        <v/>
      </c>
      <c r="F21" s="1" t="str">
        <f aca="true">IF($A21="","",IF(SUMPRODUCT(('Daily Checklist'!$D$2:$D$2000=$A21)*('Daily Checklist'!$B$2:$B$2000&gt;=TODAY()-29)*('Daily Checklist'!$B$2:$B$2000&lt;=TODAY()))=0,"",IF(OR(B21&lt;0.7,D21&gt;=2),"⚠ Review","")))</f>
        <v/>
      </c>
    </row>
    <row r="22" customFormat="false" ht="15" hidden="false" customHeight="true" outlineLevel="0" collapsed="false">
      <c r="A22" s="1" t="str">
        <f aca="false">IFERROR(IF(Employees!A20="","",Employees!A20),"")</f>
        <v/>
      </c>
      <c r="B22" s="44" t="str">
        <f aca="true">IF($A22="","",IFERROR(SUMPRODUCT(('Daily Checklist'!$D$2:$D$2000=$A22)*('Daily Checklist'!$B$2:$B$2000&gt;=TODAY()-6)*('Daily Checklist'!$B$2:$B$2000&lt;=TODAY())*('Daily Checklist'!$F$2:$F$2000="Done"))/SUMPRODUCT(('Daily Checklist'!$D$2:$D$2000=$A22)*('Daily Checklist'!$B$2:$B$2000&gt;=TODAY()-6)*('Daily Checklist'!$B$2:$B$2000&lt;=TODAY())),0))</f>
        <v/>
      </c>
      <c r="C22" s="44" t="str">
        <f aca="true">IF($A22="","",IFERROR(SUMPRODUCT(('Daily Checklist'!$D$2:$D$2000=$A22)*('Daily Checklist'!$B$2:$B$2000&gt;=TODAY()-29)*('Daily Checklist'!$B$2:$B$2000&lt;=TODAY())*('Daily Checklist'!$F$2:$F$2000="Done"))/SUMPRODUCT(('Daily Checklist'!$D$2:$D$2000=$A22)*('Daily Checklist'!$B$2:$B$2000&gt;=TODAY()-29)*('Daily Checklist'!$B$2:$B$2000&lt;=TODAY())),0))</f>
        <v/>
      </c>
      <c r="D22" s="1" t="str">
        <f aca="true">IF($A22="","",SUMPRODUCT(('Escalation Log'!$D$2:$D$500=$A22)*('Escalation Log'!$C$2:$C$500&gt;=TODAY()-29)*('Escalation Log'!$C$2:$C$500&lt;=TODAY())))</f>
        <v/>
      </c>
      <c r="E22" s="1" t="str">
        <f aca="true">IF($A22="","",IF(B22&gt;IFERROR(SUMPRODUCT(('Daily Checklist'!$D$2:$D$2000=$A22)*('Daily Checklist'!$B$2:$B$2000&gt;=TODAY()-13)*('Daily Checklist'!$B$2:$B$2000&lt;=TODAY()-7)*('Daily Checklist'!$F$2:$F$2000="Done"))/SUMPRODUCT(('Daily Checklist'!$D$2:$D$2000=$A22)*('Daily Checklist'!$B$2:$B$2000&gt;=TODAY()-13)*('Daily Checklist'!$B$2:$B$2000&lt;=TODAY()-7)),0),"▲",IF(B22&lt;IFERROR(SUMPRODUCT(('Daily Checklist'!$D$2:$D$2000=$A22)*('Daily Checklist'!$B$2:$B$2000&gt;=TODAY()-13)*('Daily Checklist'!$B$2:$B$2000&lt;=TODAY()-7)*('Daily Checklist'!$F$2:$F$2000="Done"))/SUMPRODUCT(('Daily Checklist'!$D$2:$D$2000=$A22)*('Daily Checklist'!$B$2:$B$2000&gt;=TODAY()-13)*('Daily Checklist'!$B$2:$B$2000&lt;=TODAY()-7)),0),"▼","–")))</f>
        <v/>
      </c>
      <c r="F22" s="1" t="str">
        <f aca="true">IF($A22="","",IF(SUMPRODUCT(('Daily Checklist'!$D$2:$D$2000=$A22)*('Daily Checklist'!$B$2:$B$2000&gt;=TODAY()-29)*('Daily Checklist'!$B$2:$B$2000&lt;=TODAY()))=0,"",IF(OR(B22&lt;0.7,D22&gt;=2),"⚠ Review","")))</f>
        <v/>
      </c>
    </row>
    <row r="23" customFormat="false" ht="15" hidden="false" customHeight="true" outlineLevel="0" collapsed="false">
      <c r="A23" s="1" t="str">
        <f aca="false">IFERROR(IF(Employees!A21="","",Employees!A21),"")</f>
        <v/>
      </c>
      <c r="B23" s="44" t="str">
        <f aca="true">IF($A23="","",IFERROR(SUMPRODUCT(('Daily Checklist'!$D$2:$D$2000=$A23)*('Daily Checklist'!$B$2:$B$2000&gt;=TODAY()-6)*('Daily Checklist'!$B$2:$B$2000&lt;=TODAY())*('Daily Checklist'!$F$2:$F$2000="Done"))/SUMPRODUCT(('Daily Checklist'!$D$2:$D$2000=$A23)*('Daily Checklist'!$B$2:$B$2000&gt;=TODAY()-6)*('Daily Checklist'!$B$2:$B$2000&lt;=TODAY())),0))</f>
        <v/>
      </c>
      <c r="C23" s="44" t="str">
        <f aca="true">IF($A23="","",IFERROR(SUMPRODUCT(('Daily Checklist'!$D$2:$D$2000=$A23)*('Daily Checklist'!$B$2:$B$2000&gt;=TODAY()-29)*('Daily Checklist'!$B$2:$B$2000&lt;=TODAY())*('Daily Checklist'!$F$2:$F$2000="Done"))/SUMPRODUCT(('Daily Checklist'!$D$2:$D$2000=$A23)*('Daily Checklist'!$B$2:$B$2000&gt;=TODAY()-29)*('Daily Checklist'!$B$2:$B$2000&lt;=TODAY())),0))</f>
        <v/>
      </c>
      <c r="D23" s="1" t="str">
        <f aca="true">IF($A23="","",SUMPRODUCT(('Escalation Log'!$D$2:$D$500=$A23)*('Escalation Log'!$C$2:$C$500&gt;=TODAY()-29)*('Escalation Log'!$C$2:$C$500&lt;=TODAY())))</f>
        <v/>
      </c>
      <c r="E23" s="1" t="str">
        <f aca="true">IF($A23="","",IF(B23&gt;IFERROR(SUMPRODUCT(('Daily Checklist'!$D$2:$D$2000=$A23)*('Daily Checklist'!$B$2:$B$2000&gt;=TODAY()-13)*('Daily Checklist'!$B$2:$B$2000&lt;=TODAY()-7)*('Daily Checklist'!$F$2:$F$2000="Done"))/SUMPRODUCT(('Daily Checklist'!$D$2:$D$2000=$A23)*('Daily Checklist'!$B$2:$B$2000&gt;=TODAY()-13)*('Daily Checklist'!$B$2:$B$2000&lt;=TODAY()-7)),0),"▲",IF(B23&lt;IFERROR(SUMPRODUCT(('Daily Checklist'!$D$2:$D$2000=$A23)*('Daily Checklist'!$B$2:$B$2000&gt;=TODAY()-13)*('Daily Checklist'!$B$2:$B$2000&lt;=TODAY()-7)*('Daily Checklist'!$F$2:$F$2000="Done"))/SUMPRODUCT(('Daily Checklist'!$D$2:$D$2000=$A23)*('Daily Checklist'!$B$2:$B$2000&gt;=TODAY()-13)*('Daily Checklist'!$B$2:$B$2000&lt;=TODAY()-7)),0),"▼","–")))</f>
        <v/>
      </c>
      <c r="F23" s="1" t="str">
        <f aca="true">IF($A23="","",IF(SUMPRODUCT(('Daily Checklist'!$D$2:$D$2000=$A23)*('Daily Checklist'!$B$2:$B$2000&gt;=TODAY()-29)*('Daily Checklist'!$B$2:$B$2000&lt;=TODAY()))=0,"",IF(OR(B23&lt;0.7,D23&gt;=2),"⚠ Review","")))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2026-09-05T06:35:29Z</dcterms:created>
  <dc:creator>openpyxl</dc:creator>
  <dc:description/>
  <dc:language>en-US</dc:language>
  <cp:lastModifiedBy>Satyam Sharma</cp:lastModifiedBy>
  <dcterms:modified xsi:type="dcterms:W3CDTF">2026-09-11T11:44:48Z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